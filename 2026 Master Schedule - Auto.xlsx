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80" windowWidth="19200" windowHeight="6590" tabRatio="600" firstSheet="0" activeTab="0" autoFilterDateGrouping="1"/>
  </bookViews>
  <sheets>
    <sheet name="SCHEDULE" sheetId="1" state="visible" r:id="rId1"/>
    <sheet name="Sheet2" sheetId="2" state="visible" r:id="rId2"/>
    <sheet name="Sheet4" sheetId="3" state="visible" r:id="rId3"/>
    <sheet name="CATEGORY" sheetId="4" state="visible" r:id="rId4"/>
    <sheet name="Sheet1" sheetId="5" state="visible" r:id="rId5"/>
    <sheet name="SOLVER_CONFIG" sheetId="6" state="visible" r:id="rId6"/>
    <sheet name="RESIDENTS" sheetId="7" state="visible" r:id="rId7"/>
    <sheet name="REQUIREMENTS_TARGETS" sheetId="8" state="visible" r:id="rId8"/>
    <sheet name="VACATION_REQUESTS" sheetId="9" state="visible" r:id="rId9"/>
    <sheet name="COVERAGE_RULES" sheetId="10" state="visible" r:id="rId10"/>
    <sheet name="COHORTS" sheetId="11" state="visible" r:id="rId11"/>
    <sheet name="PROGRESS" sheetId="12" state="visible" r:id="rId12"/>
  </sheets>
  <definedNames>
    <definedName name="_xlnm._FilterDatabase" localSheetId="0" hidden="1">'SCHEDULE'!$A$1:$CD$272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6">
    <font>
      <name val="Calibri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i val="1"/>
      <color theme="1"/>
      <sz val="24"/>
      <u val="single"/>
    </font>
    <font>
      <name val="Calibri"/>
      <family val="2"/>
      <sz val="24"/>
    </font>
    <font>
      <name val="Calibri"/>
      <family val="2"/>
      <b val="1"/>
      <color theme="1"/>
      <sz val="24"/>
    </font>
    <font>
      <name val="Calibri"/>
      <family val="2"/>
      <color rgb="FF000000"/>
      <sz val="24"/>
      <scheme val="minor"/>
    </font>
    <font>
      <name val="Calibri"/>
      <family val="2"/>
      <color theme="1"/>
      <sz val="24"/>
    </font>
    <font>
      <name val="Calibri"/>
      <family val="2"/>
      <b val="1"/>
      <color rgb="FF000000"/>
      <sz val="24"/>
    </font>
    <font>
      <name val="Calibri"/>
      <family val="2"/>
      <color rgb="FF000000"/>
      <sz val="24"/>
    </font>
    <font>
      <name val="Calibri"/>
      <family val="2"/>
      <i val="1"/>
      <color theme="1"/>
      <sz val="24"/>
    </font>
    <font>
      <name val="Calibri"/>
      <family val="2"/>
      <color rgb="FFFF0000"/>
      <sz val="24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24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ahoma"/>
      <family val="2"/>
      <color indexed="81"/>
      <sz val="16"/>
    </font>
    <font>
      <name val="Tahoma"/>
      <family val="2"/>
      <b val="1"/>
      <color indexed="81"/>
      <sz val="16"/>
    </font>
    <font>
      <name val="Calibri"/>
      <family val="2"/>
      <b val="1"/>
      <color theme="2"/>
      <sz val="24"/>
    </font>
    <font>
      <name val="Calibri"/>
      <family val="2"/>
      <b val="1"/>
      <color theme="2"/>
      <sz val="11"/>
      <u val="single"/>
      <scheme val="minor"/>
    </font>
    <font>
      <name val="Calibri"/>
      <family val="2"/>
      <b val="1"/>
      <color theme="2"/>
      <sz val="11"/>
      <scheme val="minor"/>
    </font>
    <font>
      <name val="Calibri"/>
      <family val="2"/>
      <color theme="0"/>
      <sz val="24"/>
      <scheme val="minor"/>
    </font>
    <font>
      <name val="Calibri"/>
      <family val="2"/>
      <b val="1"/>
      <color theme="0"/>
      <sz val="24"/>
      <scheme val="minor"/>
    </font>
    <font>
      <name val="Calibri"/>
      <family val="2"/>
      <b val="1"/>
      <color rgb="FFFF0000"/>
      <sz val="24"/>
    </font>
    <font>
      <name val="Calibri"/>
      <b val="1"/>
      <color rgb="FF000000"/>
      <sz val="24"/>
    </font>
    <font>
      <name val="Calibri"/>
      <charset val="1"/>
      <b val="1"/>
      <color rgb="FF000000"/>
      <sz val="24"/>
    </font>
  </fonts>
  <fills count="32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rgb="FFDEEAF6"/>
      </patternFill>
    </fill>
    <fill>
      <patternFill patternType="solid">
        <fgColor theme="4" tint="0.7999816888943144"/>
        <bgColor rgb="FFFFFF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0">
    <xf numFmtId="0" fontId="0" fillId="0" borderId="0" pivotButton="0" quotePrefix="0" xfId="0"/>
    <xf numFmtId="0" fontId="6" fillId="0" borderId="0" pivotButton="0" quotePrefix="0" xfId="0"/>
    <xf numFmtId="0" fontId="5" fillId="2" borderId="6" applyAlignment="1" pivotButton="0" quotePrefix="0" xfId="0">
      <alignment horizontal="center" vertical="center"/>
    </xf>
    <xf numFmtId="14" fontId="5" fillId="0" borderId="6" applyAlignment="1" pivotButton="0" quotePrefix="0" xfId="0">
      <alignment horizontal="center" vertical="center"/>
    </xf>
    <xf numFmtId="14" fontId="5" fillId="0" borderId="4" applyAlignment="1" pivotButton="0" quotePrefix="0" xfId="0">
      <alignment horizontal="center" vertical="center"/>
    </xf>
    <xf numFmtId="14" fontId="5" fillId="0" borderId="10" applyAlignment="1" pivotButton="0" quotePrefix="0" xfId="0">
      <alignment horizontal="center" vertical="center"/>
    </xf>
    <xf numFmtId="14" fontId="5" fillId="4" borderId="10" applyAlignment="1" pivotButton="0" quotePrefix="0" xfId="0">
      <alignment horizontal="center" vertical="center"/>
    </xf>
    <xf numFmtId="14" fontId="5" fillId="5" borderId="11" applyAlignment="1" pivotButton="0" quotePrefix="0" xfId="0">
      <alignment horizontal="center" vertical="center"/>
    </xf>
    <xf numFmtId="0" fontId="7" fillId="0" borderId="6" pivotButton="0" quotePrefix="0" xfId="0"/>
    <xf numFmtId="0" fontId="5" fillId="4" borderId="6" applyAlignment="1" pivotButton="0" quotePrefix="0" xfId="0">
      <alignment horizontal="center" vertical="center" wrapText="1"/>
    </xf>
    <xf numFmtId="0" fontId="7" fillId="7" borderId="6" applyAlignment="1" pivotButton="0" quotePrefix="0" xfId="0">
      <alignment horizontal="center" vertical="center" wrapText="1"/>
    </xf>
    <xf numFmtId="0" fontId="7" fillId="5" borderId="6" pivotButton="0" quotePrefix="0" xfId="0"/>
    <xf numFmtId="0" fontId="7" fillId="0" borderId="6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7" fillId="8" borderId="6" pivotButton="0" quotePrefix="0" xfId="0"/>
    <xf numFmtId="0" fontId="11" fillId="8" borderId="6" pivotButton="0" quotePrefix="0" xfId="0"/>
    <xf numFmtId="0" fontId="11" fillId="8" borderId="6" applyAlignment="1" pivotButton="0" quotePrefix="0" xfId="0">
      <alignment horizontal="center" vertical="center" wrapText="1"/>
    </xf>
    <xf numFmtId="0" fontId="7" fillId="7" borderId="6" pivotButton="0" quotePrefix="0" xfId="0"/>
    <xf numFmtId="0" fontId="5" fillId="7" borderId="6" pivotButton="0" quotePrefix="0" xfId="0"/>
    <xf numFmtId="0" fontId="11" fillId="4" borderId="6" pivotButton="0" quotePrefix="0" xfId="0"/>
    <xf numFmtId="0" fontId="7" fillId="0" borderId="6" applyAlignment="1" pivotButton="0" quotePrefix="0" xfId="0">
      <alignment horizontal="center" vertical="center"/>
    </xf>
    <xf numFmtId="0" fontId="9" fillId="0" borderId="6" pivotButton="0" quotePrefix="0" xfId="0"/>
    <xf numFmtId="0" fontId="7" fillId="17" borderId="6" pivotButton="0" quotePrefix="0" xfId="0"/>
    <xf numFmtId="0" fontId="18" fillId="17" borderId="11" applyAlignment="1" pivotButton="0" quotePrefix="0" xfId="0">
      <alignment horizontal="center" vertical="center"/>
    </xf>
    <xf numFmtId="0" fontId="12" fillId="15" borderId="15" pivotButton="0" quotePrefix="0" xfId="0"/>
    <xf numFmtId="0" fontId="2" fillId="0" borderId="16" pivotButton="0" quotePrefix="0" xfId="0"/>
    <xf numFmtId="0" fontId="20" fillId="18" borderId="15" pivotButton="0" quotePrefix="0" xfId="0"/>
    <xf numFmtId="0" fontId="0" fillId="0" borderId="16" pivotButton="0" quotePrefix="0" xfId="0"/>
    <xf numFmtId="0" fontId="19" fillId="19" borderId="18" pivotButton="0" quotePrefix="0" xfId="0"/>
    <xf numFmtId="0" fontId="0" fillId="0" borderId="20" pivotButton="0" quotePrefix="0" xfId="0"/>
    <xf numFmtId="0" fontId="0" fillId="0" borderId="21" pivotButton="0" quotePrefix="0" xfId="0"/>
    <xf numFmtId="0" fontId="2" fillId="9" borderId="20" pivotButton="0" quotePrefix="0" xfId="0"/>
    <xf numFmtId="0" fontId="0" fillId="9" borderId="21" pivotButton="0" quotePrefix="0" xfId="0"/>
    <xf numFmtId="0" fontId="2" fillId="10" borderId="20" pivotButton="0" quotePrefix="0" xfId="0"/>
    <xf numFmtId="0" fontId="1" fillId="13" borderId="21" pivotButton="0" quotePrefix="0" xfId="0"/>
    <xf numFmtId="0" fontId="2" fillId="13" borderId="20" pivotButton="0" quotePrefix="0" xfId="0"/>
    <xf numFmtId="0" fontId="2" fillId="14" borderId="20" pivotButton="0" quotePrefix="0" xfId="0"/>
    <xf numFmtId="0" fontId="0" fillId="14" borderId="21" pivotButton="0" quotePrefix="0" xfId="0"/>
    <xf numFmtId="0" fontId="2" fillId="0" borderId="20" pivotButton="0" quotePrefix="0" xfId="0"/>
    <xf numFmtId="0" fontId="2" fillId="0" borderId="21" pivotButton="0" quotePrefix="0" xfId="0"/>
    <xf numFmtId="0" fontId="2" fillId="11" borderId="20" pivotButton="0" quotePrefix="0" xfId="0"/>
    <xf numFmtId="0" fontId="1" fillId="11" borderId="21" pivotButton="0" quotePrefix="0" xfId="0"/>
    <xf numFmtId="0" fontId="2" fillId="12" borderId="20" pivotButton="0" quotePrefix="0" xfId="0"/>
    <xf numFmtId="0" fontId="1" fillId="12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19" borderId="19" pivotButton="0" quotePrefix="0" xfId="0"/>
    <xf numFmtId="14" fontId="5" fillId="0" borderId="11" applyAlignment="1" pivotButton="0" quotePrefix="0" xfId="0">
      <alignment horizontal="center" vertical="center"/>
    </xf>
    <xf numFmtId="49" fontId="5" fillId="21" borderId="6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14" fontId="5" fillId="0" borderId="24" applyAlignment="1" pivotButton="0" quotePrefix="0" xfId="0">
      <alignment horizontal="center" vertical="center"/>
    </xf>
    <xf numFmtId="14" fontId="5" fillId="0" borderId="3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 wrapText="1"/>
    </xf>
    <xf numFmtId="0" fontId="2" fillId="0" borderId="17" pivotButton="0" quotePrefix="0" xfId="0"/>
    <xf numFmtId="0" fontId="6" fillId="22" borderId="24" pivotButton="0" quotePrefix="0" xfId="0"/>
    <xf numFmtId="0" fontId="22" fillId="22" borderId="24" applyAlignment="1" pivotButton="0" quotePrefix="0" xfId="0">
      <alignment vertical="center"/>
    </xf>
    <xf numFmtId="0" fontId="7" fillId="18" borderId="4" pivotButton="0" quotePrefix="0" xfId="0"/>
    <xf numFmtId="0" fontId="18" fillId="18" borderId="4" applyAlignment="1" pivotButton="0" quotePrefix="0" xfId="0">
      <alignment horizontal="center" vertical="center"/>
    </xf>
    <xf numFmtId="0" fontId="4" fillId="23" borderId="6" pivotButton="0" quotePrefix="0" xfId="0"/>
    <xf numFmtId="0" fontId="5" fillId="0" borderId="3" applyAlignment="1" pivotButton="0" quotePrefix="0" xfId="0">
      <alignment horizontal="center" vertical="center"/>
    </xf>
    <xf numFmtId="0" fontId="21" fillId="22" borderId="24" pivotButton="0" quotePrefix="0" xfId="0"/>
    <xf numFmtId="0" fontId="5" fillId="0" borderId="11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20" borderId="12" applyAlignment="1" pivotButton="0" quotePrefix="0" xfId="0">
      <alignment horizontal="center" vertical="center"/>
    </xf>
    <xf numFmtId="0" fontId="8" fillId="6" borderId="11" applyAlignment="1" pivotButton="0" quotePrefix="0" xfId="0">
      <alignment horizontal="center"/>
    </xf>
    <xf numFmtId="0" fontId="8" fillId="6" borderId="11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6" borderId="6" applyAlignment="1" pivotButton="0" quotePrefix="0" xfId="0">
      <alignment horizontal="center" vertical="center" wrapText="1"/>
    </xf>
    <xf numFmtId="14" fontId="5" fillId="23" borderId="0" applyAlignment="1" pivotButton="0" quotePrefix="0" xfId="0">
      <alignment horizontal="center" vertical="center"/>
    </xf>
    <xf numFmtId="14" fontId="5" fillId="23" borderId="24" applyAlignment="1" pivotButton="0" quotePrefix="0" xfId="0">
      <alignment horizontal="center" vertical="center"/>
    </xf>
    <xf numFmtId="14" fontId="5" fillId="23" borderId="4" applyAlignment="1" pivotButton="0" quotePrefix="0" xfId="0">
      <alignment horizontal="center" vertical="center"/>
    </xf>
    <xf numFmtId="0" fontId="8" fillId="23" borderId="6" applyAlignment="1" pivotButton="0" quotePrefix="0" xfId="0">
      <alignment horizontal="center" vertical="center"/>
    </xf>
    <xf numFmtId="0" fontId="8" fillId="23" borderId="6" applyAlignment="1" pivotButton="0" quotePrefix="0" xfId="0">
      <alignment horizontal="center"/>
    </xf>
    <xf numFmtId="0" fontId="5" fillId="23" borderId="6" applyAlignment="1" pivotButton="0" quotePrefix="0" xfId="0">
      <alignment horizontal="center" vertical="center"/>
    </xf>
    <xf numFmtId="0" fontId="5" fillId="23" borderId="6" applyAlignment="1" pivotButton="0" quotePrefix="0" xfId="0">
      <alignment horizontal="center" vertical="center" wrapText="1"/>
    </xf>
    <xf numFmtId="0" fontId="5" fillId="23" borderId="5" applyAlignment="1" pivotButton="0" quotePrefix="0" xfId="0">
      <alignment horizontal="center" vertical="center"/>
    </xf>
    <xf numFmtId="0" fontId="5" fillId="23" borderId="14" applyAlignment="1" pivotButton="0" quotePrefix="0" xfId="0">
      <alignment horizontal="center" vertical="center"/>
    </xf>
    <xf numFmtId="0" fontId="5" fillId="23" borderId="11" applyAlignment="1" pivotButton="0" quotePrefix="0" xfId="0">
      <alignment horizontal="center" vertical="center"/>
    </xf>
    <xf numFmtId="0" fontId="5" fillId="19" borderId="6" applyAlignment="1" pivotButton="0" quotePrefix="0" xfId="0">
      <alignment horizontal="center" vertical="center"/>
    </xf>
    <xf numFmtId="0" fontId="6" fillId="24" borderId="0" pivotButton="0" quotePrefix="0" xfId="0"/>
    <xf numFmtId="0" fontId="7" fillId="24" borderId="6" applyAlignment="1" pivotButton="0" quotePrefix="0" xfId="0">
      <alignment horizontal="center" vertical="center"/>
    </xf>
    <xf numFmtId="0" fontId="9" fillId="24" borderId="6" applyAlignment="1" pivotButton="0" quotePrefix="0" xfId="0">
      <alignment horizontal="center" vertical="center" wrapText="1"/>
    </xf>
    <xf numFmtId="0" fontId="7" fillId="24" borderId="6" applyAlignment="1" pivotButton="0" quotePrefix="0" xfId="0">
      <alignment horizontal="center" vertical="center" wrapText="1"/>
    </xf>
    <xf numFmtId="0" fontId="5" fillId="25" borderId="6" applyAlignment="1" pivotButton="0" quotePrefix="0" xfId="0">
      <alignment horizontal="center" vertical="center"/>
    </xf>
    <xf numFmtId="0" fontId="13" fillId="23" borderId="11" applyAlignment="1" pivotButton="0" quotePrefix="0" xfId="0">
      <alignment horizontal="center" vertical="center"/>
    </xf>
    <xf numFmtId="0" fontId="5" fillId="8" borderId="14" applyAlignment="1" pivotButton="0" quotePrefix="0" xfId="0">
      <alignment horizontal="center" vertical="center" textRotation="45"/>
    </xf>
    <xf numFmtId="0" fontId="2" fillId="26" borderId="16" pivotButton="0" quotePrefix="0" xfId="0"/>
    <xf numFmtId="0" fontId="23" fillId="26" borderId="6" applyAlignment="1" pivotButton="0" quotePrefix="0" xfId="0">
      <alignment horizontal="center" vertical="center"/>
    </xf>
    <xf numFmtId="0" fontId="5" fillId="27" borderId="6" applyAlignment="1" pivotButton="0" quotePrefix="0" xfId="0">
      <alignment horizontal="center" vertical="center"/>
    </xf>
    <xf numFmtId="0" fontId="2" fillId="9" borderId="21" pivotButton="0" quotePrefix="0" xfId="0"/>
    <xf numFmtId="0" fontId="8" fillId="6" borderId="11" applyAlignment="1" pivotButton="0" quotePrefix="0" xfId="0">
      <alignment horizontal="center" vertical="center"/>
    </xf>
    <xf numFmtId="0" fontId="5" fillId="25" borderId="14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 wrapText="1"/>
    </xf>
    <xf numFmtId="0" fontId="5" fillId="28" borderId="6" applyAlignment="1" pivotButton="0" quotePrefix="0" xfId="0">
      <alignment horizontal="center" vertical="center"/>
    </xf>
    <xf numFmtId="0" fontId="5" fillId="29" borderId="6" applyAlignment="1" pivotButton="0" quotePrefix="0" xfId="0">
      <alignment horizontal="center" vertical="center" wrapText="1"/>
    </xf>
    <xf numFmtId="0" fontId="5" fillId="30" borderId="6" applyAlignment="1" pivotButton="0" quotePrefix="0" xfId="0">
      <alignment horizontal="center" vertical="center"/>
    </xf>
    <xf numFmtId="0" fontId="24" fillId="23" borderId="6" applyAlignment="1" pivotButton="0" quotePrefix="0" xfId="0">
      <alignment horizontal="center" vertical="center"/>
    </xf>
    <xf numFmtId="0" fontId="5" fillId="29" borderId="6" applyAlignment="1" pivotButton="0" quotePrefix="0" xfId="0">
      <alignment horizontal="center" vertical="center"/>
    </xf>
    <xf numFmtId="0" fontId="8" fillId="31" borderId="6" applyAlignment="1" pivotButton="0" quotePrefix="0" xfId="0">
      <alignment horizontal="center" vertical="center"/>
    </xf>
    <xf numFmtId="0" fontId="25" fillId="31" borderId="0" applyAlignment="1" pivotButton="0" quotePrefix="0" xfId="0">
      <alignment horizontal="center" vertical="center"/>
    </xf>
    <xf numFmtId="0" fontId="5" fillId="31" borderId="6" applyAlignment="1" pivotButton="0" quotePrefix="0" xfId="0">
      <alignment horizontal="center" vertical="center" wrapText="1"/>
    </xf>
    <xf numFmtId="0" fontId="5" fillId="31" borderId="6" applyAlignment="1" pivotButton="0" quotePrefix="0" xfId="0">
      <alignment horizontal="center" vertical="center"/>
    </xf>
    <xf numFmtId="0" fontId="5" fillId="25" borderId="6" applyAlignment="1" pivotButton="0" quotePrefix="0" xfId="0">
      <alignment horizontal="center" vertical="center" wrapText="1"/>
    </xf>
    <xf numFmtId="0" fontId="5" fillId="29" borderId="14" applyAlignment="1" pivotButton="0" quotePrefix="0" xfId="0">
      <alignment horizontal="center" vertical="center"/>
    </xf>
    <xf numFmtId="0" fontId="13" fillId="12" borderId="12" applyAlignment="1" applyProtection="1" pivotButton="0" quotePrefix="1" xfId="0">
      <alignment horizontal="center" vertical="center" textRotation="90"/>
      <protection locked="0" hidden="0"/>
    </xf>
    <xf numFmtId="0" fontId="13" fillId="12" borderId="14" applyAlignment="1" applyProtection="1" pivotButton="0" quotePrefix="0" xfId="0">
      <alignment horizontal="center" vertical="center" textRotation="90"/>
      <protection locked="0" hidden="0"/>
    </xf>
    <xf numFmtId="0" fontId="18" fillId="17" borderId="12" applyAlignment="1" pivotButton="0" quotePrefix="0" xfId="0">
      <alignment horizontal="center" vertical="center" textRotation="90"/>
    </xf>
    <xf numFmtId="0" fontId="18" fillId="17" borderId="14" applyAlignment="1" pivotButton="0" quotePrefix="0" xfId="0">
      <alignment horizontal="center" vertical="center" textRotation="90"/>
    </xf>
    <xf numFmtId="0" fontId="5" fillId="0" borderId="29" applyAlignment="1" pivotButton="0" quotePrefix="0" xfId="0">
      <alignment horizontal="center" vertical="center" textRotation="45" wrapText="1"/>
    </xf>
    <xf numFmtId="0" fontId="5" fillId="0" borderId="30" applyAlignment="1" pivotButton="0" quotePrefix="0" xfId="0">
      <alignment horizontal="center" vertical="center" textRotation="45" wrapText="1"/>
    </xf>
    <xf numFmtId="0" fontId="5" fillId="0" borderId="31" applyAlignment="1" pivotButton="0" quotePrefix="0" xfId="0">
      <alignment horizontal="center" vertical="center" textRotation="45" wrapText="1"/>
    </xf>
    <xf numFmtId="0" fontId="5" fillId="2" borderId="4" applyAlignment="1" pivotButton="0" quotePrefix="0" xfId="0">
      <alignment horizontal="center" vertical="center"/>
    </xf>
    <xf numFmtId="0" fontId="13" fillId="13" borderId="12" applyAlignment="1" applyProtection="1" pivotButton="0" quotePrefix="0" xfId="0">
      <alignment horizontal="center" vertical="center" textRotation="90"/>
      <protection locked="0" hidden="0"/>
    </xf>
    <xf numFmtId="0" fontId="13" fillId="13" borderId="14" applyAlignment="1" applyProtection="1" pivotButton="0" quotePrefix="0" xfId="0">
      <alignment horizontal="center" vertical="center" textRotation="90"/>
      <protection locked="0" hidden="0"/>
    </xf>
    <xf numFmtId="0" fontId="5" fillId="21" borderId="8" applyAlignment="1" pivotButton="0" quotePrefix="0" xfId="0">
      <alignment horizontal="center" vertical="center"/>
    </xf>
    <xf numFmtId="0" fontId="5" fillId="21" borderId="9" applyAlignment="1" pivotButton="0" quotePrefix="0" xfId="0">
      <alignment horizontal="center" vertical="center"/>
    </xf>
    <xf numFmtId="0" fontId="5" fillId="23" borderId="27" applyAlignment="1" pivotButton="0" quotePrefix="0" xfId="0">
      <alignment horizontal="center" vertical="center" textRotation="45" wrapText="1"/>
    </xf>
    <xf numFmtId="0" fontId="5" fillId="23" borderId="32" applyAlignment="1" pivotButton="0" quotePrefix="0" xfId="0">
      <alignment horizontal="center" vertical="center" textRotation="45" wrapText="1"/>
    </xf>
    <xf numFmtId="0" fontId="5" fillId="23" borderId="28" applyAlignment="1" pivotButton="0" quotePrefix="0" xfId="0">
      <alignment horizontal="center" vertical="center" textRotation="45" wrapText="1"/>
    </xf>
    <xf numFmtId="0" fontId="5" fillId="0" borderId="27" applyAlignment="1" pivotButton="0" quotePrefix="0" xfId="0">
      <alignment horizontal="center" vertical="center" textRotation="45" wrapText="1"/>
    </xf>
    <xf numFmtId="0" fontId="5" fillId="0" borderId="28" applyAlignment="1" pivotButton="0" quotePrefix="0" xfId="0">
      <alignment horizontal="center" vertical="center" textRotation="45" wrapText="1"/>
    </xf>
    <xf numFmtId="0" fontId="5" fillId="23" borderId="26" applyAlignment="1" pivotButton="0" quotePrefix="0" xfId="0">
      <alignment horizontal="center" vertical="center" textRotation="45" wrapText="1"/>
    </xf>
    <xf numFmtId="0" fontId="5" fillId="0" borderId="12" applyAlignment="1" pivotButton="0" quotePrefix="0" xfId="0">
      <alignment horizontal="center" vertical="center" textRotation="45" wrapText="1"/>
    </xf>
    <xf numFmtId="0" fontId="5" fillId="0" borderId="26" applyAlignment="1" pivotButton="0" quotePrefix="0" xfId="0">
      <alignment horizontal="center" vertical="center" textRotation="45" wrapText="1"/>
    </xf>
    <xf numFmtId="0" fontId="13" fillId="12" borderId="12" applyAlignment="1" applyProtection="1" pivotButton="0" quotePrefix="0" xfId="0">
      <alignment horizontal="center" vertical="center" textRotation="90"/>
      <protection locked="0" hidden="0"/>
    </xf>
    <xf numFmtId="0" fontId="18" fillId="16" borderId="12" applyAlignment="1" pivotButton="0" quotePrefix="0" xfId="0">
      <alignment horizontal="center" vertical="center" textRotation="90"/>
    </xf>
    <xf numFmtId="0" fontId="18" fillId="16" borderId="13" applyAlignment="1" pivotButton="0" quotePrefix="0" xfId="0">
      <alignment horizontal="center" vertical="center" textRotation="90"/>
    </xf>
    <xf numFmtId="0" fontId="18" fillId="18" borderId="12" applyAlignment="1" pivotButton="0" quotePrefix="0" xfId="0">
      <alignment horizontal="center" vertical="center" textRotation="90"/>
    </xf>
    <xf numFmtId="0" fontId="18" fillId="18" borderId="14" applyAlignment="1" pivotButton="0" quotePrefix="0" xfId="0">
      <alignment horizontal="center" vertical="center" textRotation="90"/>
    </xf>
    <xf numFmtId="0" fontId="5" fillId="3" borderId="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5" pivotButton="0" quotePrefix="0" xfId="0"/>
    <xf numFmtId="0" fontId="4" fillId="0" borderId="11" pivotButton="0" quotePrefix="0" xfId="0"/>
    <xf numFmtId="0" fontId="4" fillId="0" borderId="14" pivotButton="0" quotePrefix="0" xfId="0"/>
    <xf numFmtId="0" fontId="3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9" pivotButton="0" quotePrefix="0" xfId="0"/>
    <xf numFmtId="0" fontId="13" fillId="13" borderId="6" applyAlignment="1" applyProtection="1" pivotButton="0" quotePrefix="0" xfId="0">
      <alignment horizontal="center" vertical="center" textRotation="90"/>
      <protection locked="0" hidden="0"/>
    </xf>
    <xf numFmtId="0" fontId="18" fillId="17" borderId="6" applyAlignment="1" pivotButton="0" quotePrefix="0" xfId="0">
      <alignment horizontal="center" vertical="center" textRotation="90"/>
    </xf>
    <xf numFmtId="0" fontId="13" fillId="12" borderId="6" applyAlignment="1" applyProtection="1" pivotButton="0" quotePrefix="0" xfId="0">
      <alignment horizontal="center" vertical="center" textRotation="90"/>
      <protection locked="0" hidden="0"/>
    </xf>
    <xf numFmtId="0" fontId="13" fillId="12" borderId="6" applyAlignment="1" applyProtection="1" pivotButton="0" quotePrefix="1" xfId="0">
      <alignment horizontal="center" vertical="center" textRotation="90"/>
      <protection locked="0" hidden="0"/>
    </xf>
    <xf numFmtId="0" fontId="18" fillId="18" borderId="6" applyAlignment="1" pivotButton="0" quotePrefix="0" xfId="0">
      <alignment horizontal="center" vertical="center" textRotation="90"/>
    </xf>
    <xf numFmtId="0" fontId="0" fillId="0" borderId="7" pivotButton="0" quotePrefix="0" xfId="0"/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0" fontId="0" fillId="0" borderId="13" pivotButton="0" quotePrefix="0" xfId="0"/>
    <xf numFmtId="0" fontId="5" fillId="0" borderId="12" applyAlignment="1" pivotButton="0" quotePrefix="0" xfId="0">
      <alignment horizontal="center" vertical="center" wrapText="1"/>
    </xf>
    <xf numFmtId="0" fontId="5" fillId="23" borderId="36" applyAlignment="1" pivotButton="0" quotePrefix="0" xfId="0">
      <alignment horizontal="center" vertical="center" textRotation="45" wrapText="1"/>
    </xf>
    <xf numFmtId="0" fontId="0" fillId="0" borderId="27" pivotButton="0" quotePrefix="0" xfId="0"/>
    <xf numFmtId="0" fontId="0" fillId="0" borderId="29" pivotButton="0" quotePrefix="0" xfId="0"/>
    <xf numFmtId="0" fontId="5" fillId="0" borderId="33" applyAlignment="1" pivotButton="0" quotePrefix="0" xfId="0">
      <alignment horizontal="center" vertical="center" textRotation="45" wrapText="1"/>
    </xf>
    <xf numFmtId="0" fontId="0" fillId="0" borderId="28" pivotButton="0" quotePrefix="0" xfId="0"/>
    <xf numFmtId="0" fontId="0" fillId="0" borderId="30" pivotButton="0" quotePrefix="0" xfId="0"/>
    <xf numFmtId="0" fontId="5" fillId="0" borderId="36" applyAlignment="1" pivotButton="0" quotePrefix="0" xfId="0">
      <alignment horizontal="center" vertical="center" textRotation="45" wrapText="1"/>
    </xf>
    <xf numFmtId="0" fontId="5" fillId="0" borderId="6" applyAlignment="1" pivotButton="0" quotePrefix="0" xfId="0">
      <alignment horizontal="center" vertical="center" textRotation="45" wrapText="1"/>
    </xf>
  </cellXfs>
  <cellStyles count="1">
    <cellStyle name="Normal" xfId="0" builtinId="0"/>
  </cellStyles>
  <dxfs count="16774"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MIRIAM LARA</author>
  </authors>
  <commentList>
    <comment ref="BD1" authorId="0" shapeId="0">
      <text>
        <t>JENNIFER LARA:
CARDIO
CARDIO E
CARDIOHCA
CARDIO HCA*
CARDIO-RAM
CARDIO-RAM*</t>
      </text>
    </comment>
    <comment ref="BE1" authorId="0" shapeId="0">
      <text>
        <t xml:space="preserve">JENNIFER LARA:
CLINIC
CLINIC *
INR CLINIC
INR CLINIC *
URGENT CARE
URGENT CARE *
</t>
      </text>
    </comment>
    <comment ref="BG1" authorId="0" shapeId="0">
      <text>
        <t xml:space="preserve">JENNIFER LARA:
A
B
C
D
G
</t>
      </text>
    </comment>
    <comment ref="BK1" authorId="0" shapeId="0">
      <text>
        <t xml:space="preserve">JENNIFER LARA:
ID
ID *
</t>
      </text>
    </comment>
    <comment ref="BL1" authorId="0" shapeId="0">
      <text>
        <t xml:space="preserve">JENNIFER LARA:
NEURO
NEURO *
</t>
      </text>
    </comment>
    <comment ref="BR1" authorId="0" shapeId="0">
      <text>
        <t xml:space="preserve">JENNIFER LARA:
GERIATRIC
GERIATRIC 2
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D272"/>
  <sheetViews>
    <sheetView tabSelected="1" zoomScale="30" zoomScaleNormal="30" workbookViewId="0">
      <pane xSplit="3" ySplit="3" topLeftCell="AD30" activePane="bottomRight" state="frozen"/>
      <selection pane="bottomRight" activeCell="AY30" sqref="AY30"/>
      <selection pane="bottomLeft" activeCell="A4" sqref="A4"/>
      <selection pane="topRight" activeCell="D1" sqref="D1"/>
    </sheetView>
  </sheetViews>
  <sheetFormatPr baseColWidth="8" defaultColWidth="44.85546875" defaultRowHeight="31.5"/>
  <cols>
    <col width="28.140625" bestFit="1" customWidth="1" style="1" min="1" max="1"/>
    <col width="23" bestFit="1" customWidth="1" style="1" min="2" max="2"/>
    <col width="51" bestFit="1" customWidth="1" style="1" min="3" max="3"/>
    <col width="57.28515625" bestFit="1" customWidth="1" style="1" min="4" max="10"/>
    <col width="56.140625" bestFit="1" customWidth="1" style="1" min="11" max="11"/>
    <col width="59" bestFit="1" customWidth="1" style="1" min="12" max="13"/>
    <col width="56.140625" bestFit="1" customWidth="1" style="1" min="14" max="15"/>
    <col width="57.28515625" bestFit="1" customWidth="1" style="1" min="16" max="17"/>
    <col width="56.140625" bestFit="1" customWidth="1" style="1" min="18" max="18"/>
    <col width="53.85546875" bestFit="1" customWidth="1" style="1" min="19" max="19"/>
    <col width="55" bestFit="1" customWidth="1" style="1" min="20" max="20"/>
    <col width="56.140625" bestFit="1" customWidth="1" style="1" min="21" max="21"/>
    <col width="53.85546875" bestFit="1" customWidth="1" style="1" min="22" max="22"/>
    <col width="58.42578125" bestFit="1" customWidth="1" style="1" min="23" max="23"/>
    <col width="52.7109375" bestFit="1" customWidth="1" style="1" min="24" max="25"/>
    <col width="55" bestFit="1" customWidth="1" style="1" min="26" max="26"/>
    <col width="53.85546875" bestFit="1" customWidth="1" style="1" min="27" max="28"/>
    <col width="55" bestFit="1" customWidth="1" style="1" min="29" max="30"/>
    <col width="56.140625" bestFit="1" customWidth="1" style="1" min="31" max="31"/>
    <col width="55" bestFit="1" customWidth="1" style="1" min="32" max="33"/>
    <col width="56.140625" bestFit="1" customWidth="1" style="1" min="34" max="34"/>
    <col width="57.28515625" bestFit="1" customWidth="1" style="1" min="35" max="36"/>
    <col width="56.140625" bestFit="1" customWidth="1" style="1" min="37" max="37"/>
    <col width="59" bestFit="1" customWidth="1" style="1" min="38" max="39"/>
    <col width="57.28515625" bestFit="1" customWidth="1" style="1" min="40" max="40"/>
    <col width="56.140625" bestFit="1" customWidth="1" style="1" min="41" max="41"/>
    <col width="59" bestFit="1" customWidth="1" style="1" min="42" max="44"/>
    <col width="56.140625" bestFit="1" customWidth="1" style="1" min="45" max="45"/>
    <col width="57.28515625" bestFit="1" customWidth="1" style="1" min="46" max="46"/>
    <col width="59" bestFit="1" customWidth="1" style="1" min="47" max="47"/>
    <col width="57.28515625" bestFit="1" customWidth="1" style="1" min="48" max="49"/>
    <col width="56.140625" bestFit="1" customWidth="1" style="1" min="50" max="50"/>
    <col width="59" bestFit="1" customWidth="1" style="1" min="51" max="52"/>
    <col width="56.140625" bestFit="1" customWidth="1" style="1" min="53" max="54"/>
    <col width="56.140625" customWidth="1" style="1" min="55" max="55"/>
    <col width="9.7109375" customWidth="1" style="1" min="56" max="56"/>
    <col width="11.5703125" customWidth="1" style="1" min="57" max="57"/>
    <col width="9.28515625" customWidth="1" style="1" min="58" max="58"/>
    <col width="11.140625" customWidth="1" style="1" min="59" max="59"/>
    <col width="10.140625" customWidth="1" style="1" min="60" max="60"/>
    <col width="7.42578125" customWidth="1" style="1" min="61" max="62"/>
    <col width="9.7109375" customWidth="1" style="1" min="63" max="63"/>
    <col width="7.42578125" customWidth="1" style="1" min="64" max="66"/>
    <col width="12.42578125" customWidth="1" style="1" min="67" max="67"/>
    <col width="10.140625" customWidth="1" style="1" min="68" max="68"/>
    <col width="7.42578125" customWidth="1" style="1" min="69" max="79"/>
    <col width="9.7109375" customWidth="1" style="1" min="80" max="80"/>
    <col width="11.140625" customWidth="1" style="1" min="81" max="81"/>
    <col width="8.42578125" customWidth="1" style="1" min="82" max="82"/>
    <col width="44.85546875" customWidth="1" style="1" min="83" max="16384"/>
  </cols>
  <sheetData>
    <row r="1" ht="84" customHeight="1">
      <c r="A1" s="145" t="n"/>
      <c r="B1" s="146" t="n"/>
      <c r="C1" s="147" t="n"/>
      <c r="D1" s="2" t="inlineStr">
        <is>
          <t>Block 1</t>
        </is>
      </c>
      <c r="E1" s="148" t="n"/>
      <c r="F1" s="148" t="n"/>
      <c r="G1" s="148" t="n"/>
      <c r="H1" s="149" t="n"/>
      <c r="I1" s="2" t="inlineStr">
        <is>
          <t>Block 2</t>
        </is>
      </c>
      <c r="J1" s="148" t="n"/>
      <c r="K1" s="148" t="n"/>
      <c r="L1" s="148" t="n"/>
      <c r="M1" s="149" t="n"/>
      <c r="N1" s="2" t="inlineStr">
        <is>
          <t>Block 3</t>
        </is>
      </c>
      <c r="O1" s="148" t="n"/>
      <c r="P1" s="148" t="n"/>
      <c r="Q1" s="148" t="n"/>
      <c r="R1" s="149" t="n"/>
      <c r="S1" s="2" t="n"/>
      <c r="T1" s="148" t="n"/>
      <c r="U1" s="148" t="n"/>
      <c r="V1" s="148" t="n"/>
      <c r="W1" s="149" t="n"/>
      <c r="X1" s="113" t="inlineStr">
        <is>
          <t>Block 5</t>
        </is>
      </c>
      <c r="Y1" s="148" t="n"/>
      <c r="Z1" s="148" t="n"/>
      <c r="AA1" s="148" t="n"/>
      <c r="AB1" s="148" t="n"/>
      <c r="AC1" s="131" t="inlineStr">
        <is>
          <t>End of the year Block</t>
        </is>
      </c>
      <c r="AD1" s="150" t="n"/>
      <c r="AE1" s="117" t="inlineStr">
        <is>
          <t>Block 6</t>
        </is>
      </c>
      <c r="AF1" s="150" t="n"/>
      <c r="AG1" s="150" t="n"/>
      <c r="AH1" s="150" t="n"/>
      <c r="AI1" s="151" t="n"/>
      <c r="AJ1" s="2" t="inlineStr">
        <is>
          <t>Block 7</t>
        </is>
      </c>
      <c r="AK1" s="148" t="n"/>
      <c r="AL1" s="148" t="n"/>
      <c r="AM1" s="148" t="n"/>
      <c r="AN1" s="149" t="n"/>
      <c r="AO1" s="2" t="inlineStr">
        <is>
          <t>Block 8</t>
        </is>
      </c>
      <c r="AP1" s="148" t="n"/>
      <c r="AQ1" s="148" t="n"/>
      <c r="AR1" s="148" t="n"/>
      <c r="AS1" s="149" t="n"/>
      <c r="AT1" s="2" t="inlineStr">
        <is>
          <t>Block 9</t>
        </is>
      </c>
      <c r="AU1" s="148" t="n"/>
      <c r="AV1" s="148" t="n"/>
      <c r="AW1" s="148" t="n"/>
      <c r="AX1" s="149" t="n"/>
      <c r="AY1" s="113" t="inlineStr">
        <is>
          <t>Block 10</t>
        </is>
      </c>
      <c r="AZ1" s="148" t="n"/>
      <c r="BA1" s="148" t="n"/>
      <c r="BB1" s="148" t="n"/>
      <c r="BC1" s="148" t="n"/>
      <c r="BD1" s="152" t="inlineStr">
        <is>
          <t>CARDIO</t>
        </is>
      </c>
      <c r="BE1" s="152" t="inlineStr">
        <is>
          <t>CLINIC</t>
        </is>
      </c>
      <c r="BF1" s="152" t="inlineStr">
        <is>
          <t>ED</t>
        </is>
      </c>
      <c r="BG1" s="152" t="inlineStr">
        <is>
          <t>FLOORS</t>
        </is>
      </c>
      <c r="BH1" s="152" t="inlineStr">
        <is>
          <t>ICU</t>
        </is>
      </c>
      <c r="BI1" s="152" t="inlineStr">
        <is>
          <t>ICU E</t>
        </is>
      </c>
      <c r="BJ1" s="152" t="inlineStr">
        <is>
          <t>ICU N</t>
        </is>
      </c>
      <c r="BK1" s="152" t="inlineStr">
        <is>
          <t>ID</t>
        </is>
      </c>
      <c r="BL1" s="152" t="inlineStr">
        <is>
          <t>NEURO</t>
        </is>
      </c>
      <c r="BM1" s="152" t="inlineStr">
        <is>
          <t>NF</t>
        </is>
      </c>
      <c r="BN1" s="152" t="inlineStr">
        <is>
          <t>SWING</t>
        </is>
      </c>
      <c r="BO1" s="152" t="inlineStr">
        <is>
          <t>VACATION</t>
        </is>
      </c>
      <c r="BP1" s="153" t="inlineStr">
        <is>
          <t>SUB-TOTAL</t>
        </is>
      </c>
      <c r="BQ1" s="154" t="inlineStr">
        <is>
          <t>PALLIATIVE</t>
        </is>
      </c>
      <c r="BR1" s="154" t="inlineStr">
        <is>
          <t>GERIATRIC</t>
        </is>
      </c>
      <c r="BS1" s="154" t="inlineStr">
        <is>
          <t>GS / GI</t>
        </is>
      </c>
      <c r="BT1" s="155" t="inlineStr">
        <is>
          <t>HEM/ONC</t>
        </is>
      </c>
      <c r="BU1" s="154" t="inlineStr">
        <is>
          <t>PAIN MANGEMENT</t>
        </is>
      </c>
      <c r="BV1" s="154" t="inlineStr">
        <is>
          <t>RHEUMA</t>
        </is>
      </c>
      <c r="BW1" s="154" t="inlineStr">
        <is>
          <t>ENDO</t>
        </is>
      </c>
      <c r="BX1" s="154" t="inlineStr">
        <is>
          <t>PLASTIC</t>
        </is>
      </c>
      <c r="BY1" s="154" t="inlineStr">
        <is>
          <t>PULM</t>
        </is>
      </c>
      <c r="BZ1" s="154" t="inlineStr">
        <is>
          <t>SICU</t>
        </is>
      </c>
      <c r="CA1" s="154" t="inlineStr">
        <is>
          <t>DERMATOLOGY</t>
        </is>
      </c>
      <c r="CB1" s="154" t="inlineStr">
        <is>
          <t>NEPHRO</t>
        </is>
      </c>
      <c r="CC1" s="156" t="inlineStr">
        <is>
          <t>SUB-TOTAL</t>
        </is>
      </c>
      <c r="CD1" s="127" t="inlineStr">
        <is>
          <t>TOTAL</t>
        </is>
      </c>
    </row>
    <row r="2" ht="84" customHeight="1">
      <c r="A2" s="157" t="n"/>
      <c r="B2" s="150" t="n"/>
      <c r="C2" s="151" t="n"/>
      <c r="D2" s="2" t="n">
        <v>1</v>
      </c>
      <c r="E2" s="2" t="n">
        <v>2</v>
      </c>
      <c r="F2" s="49" t="n">
        <v>3</v>
      </c>
      <c r="G2" s="2" t="n">
        <v>4</v>
      </c>
      <c r="H2" s="2" t="n">
        <v>5</v>
      </c>
      <c r="I2" s="2" t="n">
        <v>6</v>
      </c>
      <c r="J2" s="49" t="n">
        <v>7</v>
      </c>
      <c r="K2" s="2" t="n">
        <v>8</v>
      </c>
      <c r="L2" s="2" t="n">
        <v>9</v>
      </c>
      <c r="M2" s="2" t="n">
        <v>10</v>
      </c>
      <c r="N2" s="49" t="n">
        <v>11</v>
      </c>
      <c r="O2" s="2" t="n">
        <v>12</v>
      </c>
      <c r="P2" s="2" t="n">
        <v>13</v>
      </c>
      <c r="Q2" s="2" t="n">
        <v>14</v>
      </c>
      <c r="R2" s="49" t="n">
        <v>15</v>
      </c>
      <c r="S2" s="2" t="n">
        <v>16</v>
      </c>
      <c r="T2" s="2" t="n">
        <v>17</v>
      </c>
      <c r="U2" s="2" t="n">
        <v>18</v>
      </c>
      <c r="V2" s="49" t="n">
        <v>19</v>
      </c>
      <c r="W2" s="2" t="n">
        <v>20</v>
      </c>
      <c r="X2" s="2" t="n">
        <v>21</v>
      </c>
      <c r="Y2" s="2" t="n">
        <v>22</v>
      </c>
      <c r="Z2" s="49" t="n">
        <v>23</v>
      </c>
      <c r="AA2" s="2" t="n">
        <v>24</v>
      </c>
      <c r="AB2" s="48" t="inlineStr">
        <is>
          <t>25</t>
        </is>
      </c>
      <c r="AC2" s="64" t="n">
        <v>26</v>
      </c>
      <c r="AD2" s="65" t="n">
        <v>27</v>
      </c>
      <c r="AE2" s="2" t="n">
        <v>28</v>
      </c>
      <c r="AF2" s="2" t="n">
        <v>29</v>
      </c>
      <c r="AG2" s="2" t="n">
        <v>30</v>
      </c>
      <c r="AH2" s="49" t="n">
        <v>31</v>
      </c>
      <c r="AI2" s="2" t="n">
        <v>32</v>
      </c>
      <c r="AJ2" s="2" t="n">
        <v>33</v>
      </c>
      <c r="AK2" s="2" t="n">
        <v>34</v>
      </c>
      <c r="AL2" s="49" t="n">
        <v>35</v>
      </c>
      <c r="AM2" s="2" t="n">
        <v>36</v>
      </c>
      <c r="AN2" s="2" t="n">
        <v>37</v>
      </c>
      <c r="AO2" s="2" t="n">
        <v>38</v>
      </c>
      <c r="AP2" s="49" t="n">
        <v>39</v>
      </c>
      <c r="AQ2" s="2" t="n">
        <v>40</v>
      </c>
      <c r="AR2" s="2" t="n">
        <v>41</v>
      </c>
      <c r="AS2" s="2" t="n">
        <v>42</v>
      </c>
      <c r="AT2" s="49" t="n">
        <v>43</v>
      </c>
      <c r="AU2" s="2" t="n">
        <v>44</v>
      </c>
      <c r="AV2" s="2" t="n">
        <v>45</v>
      </c>
      <c r="AW2" s="2" t="n">
        <v>46</v>
      </c>
      <c r="AX2" s="49" t="n">
        <v>47</v>
      </c>
      <c r="AY2" s="2" t="n">
        <v>48</v>
      </c>
      <c r="AZ2" s="2" t="n">
        <v>49</v>
      </c>
      <c r="BA2" s="2" t="n">
        <v>50</v>
      </c>
      <c r="BB2" s="49" t="n">
        <v>51</v>
      </c>
      <c r="BC2" s="49" t="n">
        <v>52</v>
      </c>
      <c r="BD2" s="158" t="n"/>
      <c r="BE2" s="158" t="n"/>
      <c r="BF2" s="158" t="n"/>
      <c r="BG2" s="158" t="n"/>
      <c r="BH2" s="158" t="n"/>
      <c r="BI2" s="158" t="n"/>
      <c r="BJ2" s="158" t="n"/>
      <c r="BK2" s="158" t="n"/>
      <c r="BL2" s="158" t="n"/>
      <c r="BM2" s="158" t="n"/>
      <c r="BN2" s="158" t="n"/>
      <c r="BO2" s="158" t="n"/>
      <c r="BP2" s="159" t="n"/>
      <c r="BQ2" s="158" t="n"/>
      <c r="BR2" s="158" t="n"/>
      <c r="BS2" s="158" t="n"/>
      <c r="BT2" s="158" t="n"/>
      <c r="BU2" s="158" t="n"/>
      <c r="BV2" s="158" t="n"/>
      <c r="BW2" s="158" t="n"/>
      <c r="BX2" s="158" t="n"/>
      <c r="BY2" s="158" t="n"/>
      <c r="BZ2" s="158" t="n"/>
      <c r="CA2" s="158" t="n"/>
      <c r="CB2" s="158" t="n"/>
      <c r="CC2" s="159" t="n"/>
      <c r="CD2" s="160" t="n"/>
    </row>
    <row r="3" ht="64.5" customHeight="1">
      <c r="A3" s="161" t="inlineStr">
        <is>
          <t>PGY</t>
        </is>
      </c>
      <c r="B3" s="146" t="n"/>
      <c r="C3" s="147" t="n"/>
      <c r="D3" s="3" t="inlineStr">
        <is>
          <t>07/01-07/06</t>
        </is>
      </c>
      <c r="E3" s="4" t="inlineStr">
        <is>
          <t>07/07-07/13</t>
        </is>
      </c>
      <c r="F3" s="5" t="inlineStr">
        <is>
          <t>07/14-07/20</t>
        </is>
      </c>
      <c r="G3" s="47" t="inlineStr">
        <is>
          <t>07/21-07/27</t>
        </is>
      </c>
      <c r="H3" s="3" t="inlineStr">
        <is>
          <t>07/28-08/03</t>
        </is>
      </c>
      <c r="I3" s="4" t="inlineStr">
        <is>
          <t>08/04-08/10</t>
        </is>
      </c>
      <c r="J3" s="5" t="inlineStr">
        <is>
          <t>08/11-08/17</t>
        </is>
      </c>
      <c r="K3" s="52" t="inlineStr">
        <is>
          <t>08/18-08/24</t>
        </is>
      </c>
      <c r="L3" s="3" t="inlineStr">
        <is>
          <t>08/25-8/31</t>
        </is>
      </c>
      <c r="M3" s="4" t="inlineStr">
        <is>
          <t>09/01-09/07</t>
        </is>
      </c>
      <c r="N3" s="5" t="inlineStr">
        <is>
          <t>09/08-09/14</t>
        </is>
      </c>
      <c r="O3" s="47" t="inlineStr">
        <is>
          <t>09/15-09/21</t>
        </is>
      </c>
      <c r="P3" s="3" t="inlineStr">
        <is>
          <t>09/22-09/28</t>
        </is>
      </c>
      <c r="Q3" s="4" t="inlineStr">
        <is>
          <t>09/29-10/05</t>
        </is>
      </c>
      <c r="R3" s="5" t="inlineStr">
        <is>
          <t>10/06-10/12</t>
        </is>
      </c>
      <c r="S3" s="47" t="inlineStr">
        <is>
          <t>10/13-10/19</t>
        </is>
      </c>
      <c r="T3" s="3" t="inlineStr">
        <is>
          <t>10/20-10/26</t>
        </is>
      </c>
      <c r="U3" s="53" t="inlineStr">
        <is>
          <t>10/27-11/02</t>
        </is>
      </c>
      <c r="V3" s="5" t="inlineStr">
        <is>
          <t>11/03-11/09</t>
        </is>
      </c>
      <c r="W3" s="47" t="inlineStr">
        <is>
          <t>11/10-11/16</t>
        </is>
      </c>
      <c r="X3" s="3" t="inlineStr">
        <is>
          <t>11/17-11/23</t>
        </is>
      </c>
      <c r="Y3" s="4" t="inlineStr">
        <is>
          <t>11/24-11/30</t>
        </is>
      </c>
      <c r="Z3" s="6" t="inlineStr">
        <is>
          <t>12/01-12/07</t>
        </is>
      </c>
      <c r="AA3" s="6" t="inlineStr">
        <is>
          <t>12/08-12/14</t>
        </is>
      </c>
      <c r="AB3" s="3" t="inlineStr">
        <is>
          <t>12/15-12/21</t>
        </is>
      </c>
      <c r="AC3" s="4" t="inlineStr">
        <is>
          <t>12/22-12/28</t>
        </is>
      </c>
      <c r="AD3" s="5" t="inlineStr">
        <is>
          <t>12/29-01/04</t>
        </is>
      </c>
      <c r="AE3" s="47" t="inlineStr">
        <is>
          <t>01/05-01/11</t>
        </is>
      </c>
      <c r="AF3" s="3" t="inlineStr">
        <is>
          <t>01/12-01/18</t>
        </is>
      </c>
      <c r="AG3" s="4" t="inlineStr">
        <is>
          <t>01/19-01/25</t>
        </is>
      </c>
      <c r="AH3" s="5" t="inlineStr">
        <is>
          <t>01/26-02/01</t>
        </is>
      </c>
      <c r="AI3" s="47" t="inlineStr">
        <is>
          <t>02/02-02/08</t>
        </is>
      </c>
      <c r="AJ3" s="3" t="inlineStr">
        <is>
          <t>02/09-02/15</t>
        </is>
      </c>
      <c r="AK3" s="4" t="inlineStr">
        <is>
          <t>02/16-02/22</t>
        </is>
      </c>
      <c r="AL3" s="5" t="inlineStr">
        <is>
          <t>02/23-03/01</t>
        </is>
      </c>
      <c r="AM3" s="47" t="inlineStr">
        <is>
          <t>03/02-03/08</t>
        </is>
      </c>
      <c r="AN3" s="3" t="inlineStr">
        <is>
          <t>03/09-03/15</t>
        </is>
      </c>
      <c r="AO3" s="4" t="inlineStr">
        <is>
          <t>03/16-03/22</t>
        </is>
      </c>
      <c r="AP3" s="5" t="inlineStr">
        <is>
          <t>03/23-03/29</t>
        </is>
      </c>
      <c r="AQ3" s="7" t="inlineStr">
        <is>
          <t>03/30-04/05</t>
        </is>
      </c>
      <c r="AR3" s="3" t="inlineStr">
        <is>
          <t>04/06-04/12</t>
        </is>
      </c>
      <c r="AS3" s="4" t="inlineStr">
        <is>
          <t>04/13-04/19</t>
        </is>
      </c>
      <c r="AT3" s="5" t="inlineStr">
        <is>
          <t>04/20-04/26</t>
        </is>
      </c>
      <c r="AU3" s="47" t="inlineStr">
        <is>
          <t>04/27-05/03</t>
        </is>
      </c>
      <c r="AV3" s="3" t="inlineStr">
        <is>
          <t>05/04-05/10</t>
        </is>
      </c>
      <c r="AW3" s="4" t="inlineStr">
        <is>
          <t>05/11-05/17</t>
        </is>
      </c>
      <c r="AX3" s="5" t="inlineStr">
        <is>
          <t>05/18-05/24</t>
        </is>
      </c>
      <c r="AY3" s="47" t="inlineStr">
        <is>
          <t>05/25-05/31</t>
        </is>
      </c>
      <c r="AZ3" s="3" t="inlineStr">
        <is>
          <t>06/01-06/07</t>
        </is>
      </c>
      <c r="BA3" s="4" t="inlineStr">
        <is>
          <t>06/08-06/14</t>
        </is>
      </c>
      <c r="BB3" s="51" t="inlineStr">
        <is>
          <t>06/15-06/21</t>
        </is>
      </c>
      <c r="BC3" s="50" t="inlineStr">
        <is>
          <t>06/22-06/30</t>
        </is>
      </c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22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60" t="n"/>
      <c r="CC3" s="58" t="n"/>
      <c r="CD3" s="56" t="n"/>
    </row>
    <row r="4" ht="36" customHeight="1">
      <c r="A4" s="162" t="inlineStr">
        <is>
          <t>Cohort 1</t>
        </is>
      </c>
      <c r="B4" s="112" t="inlineStr">
        <is>
          <t>PGY-1</t>
        </is>
      </c>
      <c r="C4" s="66" t="inlineStr">
        <is>
          <t>B. Perez</t>
        </is>
      </c>
      <c r="D4" s="80" t="inlineStr">
        <is>
          <t>CLINIC *</t>
        </is>
      </c>
      <c r="E4" s="75" t="inlineStr">
        <is>
          <t>CLINIC *</t>
        </is>
      </c>
      <c r="F4" s="75" t="inlineStr">
        <is>
          <t>D</t>
        </is>
      </c>
      <c r="G4" s="75" t="inlineStr">
        <is>
          <t>ICU</t>
        </is>
      </c>
      <c r="H4" s="75" t="inlineStr">
        <is>
          <t>CARDIO-HCA</t>
        </is>
      </c>
      <c r="I4" s="80" t="inlineStr">
        <is>
          <t>CLINIC *</t>
        </is>
      </c>
      <c r="J4" s="75" t="inlineStr">
        <is>
          <t>NF</t>
        </is>
      </c>
      <c r="K4" s="70" t="inlineStr">
        <is>
          <t>NF</t>
        </is>
      </c>
      <c r="L4" s="75" t="inlineStr">
        <is>
          <t>NF</t>
        </is>
      </c>
      <c r="M4" s="75" t="inlineStr">
        <is>
          <t>NF</t>
        </is>
      </c>
      <c r="N4" s="80" t="inlineStr">
        <is>
          <t>CLINIC</t>
        </is>
      </c>
      <c r="O4" s="75" t="inlineStr">
        <is>
          <t>CLINIC</t>
        </is>
      </c>
      <c r="P4" s="75" t="inlineStr">
        <is>
          <t>SWING</t>
        </is>
      </c>
      <c r="Q4" s="75" t="inlineStr">
        <is>
          <t>SWING</t>
        </is>
      </c>
      <c r="R4" s="75" t="inlineStr">
        <is>
          <t>SWING</t>
        </is>
      </c>
      <c r="S4" s="80" t="inlineStr">
        <is>
          <t>CLINIC *</t>
        </is>
      </c>
      <c r="T4" s="75" t="inlineStr">
        <is>
          <t>VACATION</t>
        </is>
      </c>
      <c r="U4" s="75" t="inlineStr">
        <is>
          <t>VACATION</t>
        </is>
      </c>
      <c r="V4" s="80" t="inlineStr">
        <is>
          <t>VACATION</t>
        </is>
      </c>
      <c r="W4" s="80" t="inlineStr">
        <is>
          <t>VACATION</t>
        </is>
      </c>
      <c r="X4" s="80" t="inlineStr">
        <is>
          <t>CLINIC *</t>
        </is>
      </c>
      <c r="Y4" s="75" t="inlineStr">
        <is>
          <t>A</t>
        </is>
      </c>
      <c r="Z4" s="75" t="inlineStr">
        <is>
          <t>A</t>
        </is>
      </c>
      <c r="AA4" s="75" t="inlineStr">
        <is>
          <t>A</t>
        </is>
      </c>
      <c r="AB4" s="75" t="inlineStr">
        <is>
          <t>A</t>
        </is>
      </c>
      <c r="AC4" s="89" t="inlineStr">
        <is>
          <t>A</t>
        </is>
      </c>
      <c r="AD4" s="75" t="inlineStr">
        <is>
          <t>CARDIO-HCA</t>
        </is>
      </c>
      <c r="AE4" s="80" t="inlineStr">
        <is>
          <t>CLINIC *</t>
        </is>
      </c>
      <c r="AF4" s="75" t="inlineStr">
        <is>
          <t>ED</t>
        </is>
      </c>
      <c r="AG4" s="75" t="inlineStr">
        <is>
          <t>ED</t>
        </is>
      </c>
      <c r="AH4" s="80" t="inlineStr">
        <is>
          <t>ID</t>
        </is>
      </c>
      <c r="AI4" s="75" t="inlineStr">
        <is>
          <t>ID</t>
        </is>
      </c>
      <c r="AJ4" s="80" t="inlineStr">
        <is>
          <t>CLINIC *</t>
        </is>
      </c>
      <c r="AK4" s="77" t="inlineStr">
        <is>
          <t>D</t>
        </is>
      </c>
      <c r="AL4" s="71" t="inlineStr">
        <is>
          <t>D</t>
        </is>
      </c>
      <c r="AM4" s="71" t="inlineStr">
        <is>
          <t>D</t>
        </is>
      </c>
      <c r="AN4" s="71" t="inlineStr">
        <is>
          <t>CLINIC</t>
        </is>
      </c>
      <c r="AO4" s="80" t="inlineStr">
        <is>
          <t>CLINIC</t>
        </is>
      </c>
      <c r="AP4" s="78" t="inlineStr">
        <is>
          <t>ICU N</t>
        </is>
      </c>
      <c r="AQ4" s="78" t="inlineStr">
        <is>
          <t>ICU N</t>
        </is>
      </c>
      <c r="AR4" s="78" t="inlineStr">
        <is>
          <t>ICU N</t>
        </is>
      </c>
      <c r="AS4" s="78" t="inlineStr">
        <is>
          <t>ICU N</t>
        </is>
      </c>
      <c r="AT4" s="80" t="inlineStr">
        <is>
          <t>CLINIC *</t>
        </is>
      </c>
      <c r="AU4" s="80" t="inlineStr">
        <is>
          <t>B</t>
        </is>
      </c>
      <c r="AV4" s="80" t="inlineStr">
        <is>
          <t>B</t>
        </is>
      </c>
      <c r="AW4" s="75" t="inlineStr">
        <is>
          <t>B</t>
        </is>
      </c>
      <c r="AX4" s="72" t="inlineStr">
        <is>
          <t>B</t>
        </is>
      </c>
      <c r="AY4" s="80" t="inlineStr">
        <is>
          <t>CLINIC *</t>
        </is>
      </c>
      <c r="AZ4" s="78" t="inlineStr">
        <is>
          <t>ICU E</t>
        </is>
      </c>
      <c r="BA4" s="75" t="inlineStr">
        <is>
          <t>ICU E</t>
        </is>
      </c>
      <c r="BB4" s="75" t="inlineStr">
        <is>
          <t>CLINIC *</t>
        </is>
      </c>
      <c r="BC4" s="75" t="inlineStr">
        <is>
          <t>ICU E</t>
        </is>
      </c>
      <c r="BD4" s="63">
        <f>COUNTIF($D4:$BC4,"CARDIO")+COUNTIF($D4:$BC4,"CARDIO E")+COUNTIF($D4:$BC4,"CARDIO E *")+COUNTIF($D4:$BC4,"CARDIO-HCA")+COUNTIF($D4:$BC4,"CARDIO-HCA *")+COUNTIF($D4:$BC4,"CARDIO-RAM")+COUNTIF($D4:$BC4,"CARDIO-RAM *")</f>
        <v/>
      </c>
      <c r="BE4" s="63">
        <f>COUNTIF($D4:$BC4,"CLINIC")+COUNTIF($D4:$BC4,"CLINIC *")+COUNTIF($D4:$BC4,"URGENT CARE")+COUNTIF($D4:$BC4,"URGENT CARE *")</f>
        <v/>
      </c>
      <c r="BF4" s="63">
        <f>COUNTIF($D4:$BC4,"ED")</f>
        <v/>
      </c>
      <c r="BG4" s="63">
        <f>COUNTIF($D4:$BC4,"A")+COUNTIF($D4:$BC4,"B")+COUNTIF($D4:$BC4,"C")+COUNTIF($D4:$BC4,"D")+COUNTIF($D4:$BC4,"G")</f>
        <v/>
      </c>
      <c r="BH4" s="63">
        <f>COUNTIF($D4:$BC4,"ICU")</f>
        <v/>
      </c>
      <c r="BI4" s="63">
        <f>COUNTIF($D4:$BC4,"ICU E")</f>
        <v/>
      </c>
      <c r="BJ4" s="63">
        <f>COUNTIF($D4:$BC4,"ICU N")</f>
        <v/>
      </c>
      <c r="BK4" s="63">
        <f>COUNTIF($D4:$BC4,"ID")+COUNTIF($D4:$BC4,"ID *")</f>
        <v/>
      </c>
      <c r="BL4" s="63">
        <f>COUNTIF($D4:$BC4,"NEURO")+COUNTIF($D4:$BC4,"NEURO *")</f>
        <v/>
      </c>
      <c r="BM4" s="63">
        <f>COUNTIF($D4:$BC4,"NF")</f>
        <v/>
      </c>
      <c r="BN4" s="63">
        <f>COUNTIF($D4:$BC4,"SWING")</f>
        <v/>
      </c>
      <c r="BO4" s="63">
        <f>COUNTIF($D4:$BC4,"VACATION")</f>
        <v/>
      </c>
      <c r="BP4" s="23">
        <f>SUM(BD4:BO4)</f>
        <v/>
      </c>
      <c r="BQ4" s="63">
        <f>COUNTIF($D4:$BC4,"PALLIATIVE")+COUNTIF($D4:$BC4,"PALLIATIVE *")</f>
        <v/>
      </c>
      <c r="BR4" s="63">
        <f>COUNTIF($D4:$BC4,"GERIATRIC")+COUNTIF($D4:$BC4,"GERIATRIC 2")</f>
        <v/>
      </c>
      <c r="BS4" s="63">
        <f>COUNTIF($D4:$BC4,"GS")+COUNTIF($D4:$BC4,"GI")+COUNTIF($D4:$BC4,"GI *")</f>
        <v/>
      </c>
      <c r="BT4" s="63">
        <f>COUNTIF($D4:$BC4,"HEM/ONC")+COUNTIF($D4:$BC4,"HEM/ONC *")</f>
        <v/>
      </c>
      <c r="BU4" s="63">
        <f>COUNTIF($D4:$BC4,"IR RADIOLOGY")+COUNTIF($D4:$BC4,"IR RADIOLOGY *")</f>
        <v/>
      </c>
      <c r="BV4" s="63">
        <f>COUNTIF($D4:$BC4,"RHEUMA")+COUNTIF($D4:$BC4,"RHEUMA *")</f>
        <v/>
      </c>
      <c r="BW4" s="63">
        <f>COUNTIF($D4:$BC4,"ENDO")+COUNTIF($D4:$BC4,"ENDO *")</f>
        <v/>
      </c>
      <c r="BX4" s="63">
        <f>COUNTIF($D4:$BC4,"PLASTIC")+COUNTIF($D4:$BC4,"PLASTIC *")</f>
        <v/>
      </c>
      <c r="BY4" s="63">
        <f>COUNTIF($D4:$BC4,"PULM")+COUNTIF($D4:$BC4,"PULM *")</f>
        <v/>
      </c>
      <c r="BZ4" s="63">
        <f>COUNTIF($D4:$BC4,"SICU")+COUNTIF($D4:$BC4,"SICU *")</f>
        <v/>
      </c>
      <c r="CA4" s="63">
        <f>COUNTIF($D4:$BC4,"DERMATOLOGY")+COUNTIF($D4:$BC4,"DERMATOLOGY *")</f>
        <v/>
      </c>
      <c r="CB4" s="86">
        <f>COUNTIF($D4:$BC4,"NEPHRO")+COUNTIF($D4:$BC4,"NEPHRO *")</f>
        <v/>
      </c>
      <c r="CC4" s="59">
        <f>SUM(BQ4:CB4)</f>
        <v/>
      </c>
      <c r="CD4" s="57">
        <f>BP4+CC4</f>
        <v/>
      </c>
    </row>
    <row r="5" ht="39" customHeight="1">
      <c r="A5" s="163" t="n"/>
      <c r="B5" s="164" t="n"/>
      <c r="C5" s="66" t="inlineStr">
        <is>
          <t>L. Duarte</t>
        </is>
      </c>
      <c r="D5" s="80" t="inlineStr">
        <is>
          <t>CLINIC *</t>
        </is>
      </c>
      <c r="E5" s="75" t="inlineStr">
        <is>
          <t>C</t>
        </is>
      </c>
      <c r="F5" s="75" t="inlineStr">
        <is>
          <t>C</t>
        </is>
      </c>
      <c r="G5" s="75" t="inlineStr">
        <is>
          <t>C</t>
        </is>
      </c>
      <c r="H5" s="75" t="inlineStr">
        <is>
          <t>ED</t>
        </is>
      </c>
      <c r="I5" s="80" t="inlineStr">
        <is>
          <t>CLINIC *</t>
        </is>
      </c>
      <c r="J5" s="75" t="inlineStr">
        <is>
          <t>C</t>
        </is>
      </c>
      <c r="K5" s="76" t="inlineStr">
        <is>
          <t>C</t>
        </is>
      </c>
      <c r="L5" s="75" t="inlineStr">
        <is>
          <t>C</t>
        </is>
      </c>
      <c r="M5" s="75" t="inlineStr">
        <is>
          <t>C</t>
        </is>
      </c>
      <c r="N5" s="80" t="inlineStr">
        <is>
          <t>CLINIC *</t>
        </is>
      </c>
      <c r="O5" s="75" t="inlineStr">
        <is>
          <t>CLINIC *</t>
        </is>
      </c>
      <c r="P5" s="75" t="inlineStr">
        <is>
          <t>ID</t>
        </is>
      </c>
      <c r="Q5" s="75" t="inlineStr">
        <is>
          <t>ID</t>
        </is>
      </c>
      <c r="R5" s="75" t="inlineStr">
        <is>
          <t>ICU N</t>
        </is>
      </c>
      <c r="S5" s="80" t="inlineStr">
        <is>
          <t>CLINIC *</t>
        </is>
      </c>
      <c r="T5" s="75" t="inlineStr">
        <is>
          <t>A</t>
        </is>
      </c>
      <c r="U5" s="75" t="inlineStr">
        <is>
          <t>A</t>
        </is>
      </c>
      <c r="V5" s="80" t="inlineStr">
        <is>
          <t>A</t>
        </is>
      </c>
      <c r="W5" s="80" t="inlineStr">
        <is>
          <t>A</t>
        </is>
      </c>
      <c r="X5" s="80" t="inlineStr">
        <is>
          <t>CLINIC *</t>
        </is>
      </c>
      <c r="Y5" s="75" t="inlineStr">
        <is>
          <t>C</t>
        </is>
      </c>
      <c r="Z5" s="75" t="inlineStr">
        <is>
          <t>ICU N</t>
        </is>
      </c>
      <c r="AA5" s="75" t="inlineStr">
        <is>
          <t>ICU N</t>
        </is>
      </c>
      <c r="AB5" s="75" t="inlineStr">
        <is>
          <t>ICU N</t>
        </is>
      </c>
      <c r="AC5" s="89" t="inlineStr">
        <is>
          <t>ICU N</t>
        </is>
      </c>
      <c r="AD5" s="75" t="inlineStr">
        <is>
          <t>ED</t>
        </is>
      </c>
      <c r="AE5" s="80" t="inlineStr">
        <is>
          <t>CLINIC *</t>
        </is>
      </c>
      <c r="AF5" s="75" t="inlineStr">
        <is>
          <t>CARDIO-HCA</t>
        </is>
      </c>
      <c r="AG5" s="75" t="inlineStr">
        <is>
          <t>CARDIO-HCA</t>
        </is>
      </c>
      <c r="AH5" s="80" t="inlineStr">
        <is>
          <t>NF</t>
        </is>
      </c>
      <c r="AI5" s="75" t="inlineStr">
        <is>
          <t>ICU N</t>
        </is>
      </c>
      <c r="AJ5" s="80" t="inlineStr">
        <is>
          <t>CLINIC *</t>
        </is>
      </c>
      <c r="AK5" s="79" t="inlineStr">
        <is>
          <t>VACATION</t>
        </is>
      </c>
      <c r="AL5" s="78" t="inlineStr">
        <is>
          <t>VACATION</t>
        </is>
      </c>
      <c r="AM5" s="78" t="inlineStr">
        <is>
          <t>VACATION</t>
        </is>
      </c>
      <c r="AN5" s="78" t="inlineStr">
        <is>
          <t>VACATION</t>
        </is>
      </c>
      <c r="AO5" s="80" t="inlineStr">
        <is>
          <t>CLINIC *</t>
        </is>
      </c>
      <c r="AP5" s="78" t="inlineStr">
        <is>
          <t>D</t>
        </is>
      </c>
      <c r="AQ5" s="78" t="inlineStr">
        <is>
          <t>D</t>
        </is>
      </c>
      <c r="AR5" s="78" t="inlineStr">
        <is>
          <t>D</t>
        </is>
      </c>
      <c r="AS5" s="78" t="inlineStr">
        <is>
          <t>D</t>
        </is>
      </c>
      <c r="AT5" s="80" t="inlineStr">
        <is>
          <t>CLINIC</t>
        </is>
      </c>
      <c r="AU5" s="80" t="inlineStr">
        <is>
          <t>CLINIC</t>
        </is>
      </c>
      <c r="AV5" s="80" t="inlineStr">
        <is>
          <t>A</t>
        </is>
      </c>
      <c r="AW5" s="80" t="inlineStr">
        <is>
          <t>A</t>
        </is>
      </c>
      <c r="AX5" s="75" t="inlineStr">
        <is>
          <t>A</t>
        </is>
      </c>
      <c r="AY5" s="80" t="inlineStr">
        <is>
          <t>CLINIC *</t>
        </is>
      </c>
      <c r="AZ5" s="78" t="inlineStr">
        <is>
          <t>ICU E</t>
        </is>
      </c>
      <c r="BA5" s="75" t="inlineStr">
        <is>
          <t>ICU E</t>
        </is>
      </c>
      <c r="BB5" s="78" t="inlineStr">
        <is>
          <t>CLINIC</t>
        </is>
      </c>
      <c r="BC5" s="75" t="inlineStr">
        <is>
          <t>CLINIC</t>
        </is>
      </c>
      <c r="BD5" s="63">
        <f>COUNTIF($D5:$BC5,"CARDIO")+COUNTIF($D5:$BC5,"CARDIO E")+COUNTIF($D5:$BC5,"CARDIO E *")+COUNTIF($D5:$BC5,"CARDIO-HCA")+COUNTIF($D5:$BC5,"CARDIO-HCA *")+COUNTIF($D5:$BC5,"CARDIO-RAM")+COUNTIF($D5:$BC5,"CARDIO-RAM *")</f>
        <v/>
      </c>
      <c r="BE5" s="63">
        <f>COUNTIF($D5:$BC5,"CLINIC")+COUNTIF($D5:$BC5,"CLINIC *")+COUNTIF($D5:$BC5,"URGENT CARE")+COUNTIF($D5:$BC5,"URGENT CARE *")</f>
        <v/>
      </c>
      <c r="BF5" s="63">
        <f>COUNTIF($D5:$BC5,"ED")</f>
        <v/>
      </c>
      <c r="BG5" s="63">
        <f>COUNTIF($D5:$BC5,"A")+COUNTIF($D5:$BC5,"B")+COUNTIF($D5:$BC5,"C")+COUNTIF($D5:$BC5,"D")+COUNTIF($D5:$BC5,"G")</f>
        <v/>
      </c>
      <c r="BH5" s="63">
        <f>COUNTIF($D5:$BC5,"ICU")</f>
        <v/>
      </c>
      <c r="BI5" s="63">
        <f>COUNTIF($D5:$BC5,"ICU E")</f>
        <v/>
      </c>
      <c r="BJ5" s="63">
        <f>COUNTIF($D5:$BC5,"ICU N")</f>
        <v/>
      </c>
      <c r="BK5" s="63">
        <f>COUNTIF($D5:$BC5,"ID")+COUNTIF($D5:$BC5,"ID *")</f>
        <v/>
      </c>
      <c r="BL5" s="63">
        <f>COUNTIF($D5:$BC5,"NEURO")+COUNTIF($D5:$BC5,"NEURO *")</f>
        <v/>
      </c>
      <c r="BM5" s="63">
        <f>COUNTIF($D5:$BC5,"NF")</f>
        <v/>
      </c>
      <c r="BN5" s="63">
        <f>COUNTIF($D5:$BC5,"SWING")</f>
        <v/>
      </c>
      <c r="BO5" s="63">
        <f>COUNTIF($D5:$BC5,"VACATION")</f>
        <v/>
      </c>
      <c r="BP5" s="23">
        <f>SUM(BD5:BO5)</f>
        <v/>
      </c>
      <c r="BQ5" s="63">
        <f>COUNTIF($D5:$BC5,"PALLIATIVE")+COUNTIF($D5:$BC5,"PALLIATIVE *")</f>
        <v/>
      </c>
      <c r="BR5" s="63">
        <f>COUNTIF($D5:$BC5,"GERIATRIC")+COUNTIF($D5:$BC5,"GERIATRIC 2")</f>
        <v/>
      </c>
      <c r="BS5" s="63">
        <f>COUNTIF($D5:$BC5,"GS")+COUNTIF($D5:$BC5,"GI")+COUNTIF($D5:$BC5,"GI *")</f>
        <v/>
      </c>
      <c r="BT5" s="63">
        <f>COUNTIF($D5:$BC5,"HEM/ONC")+COUNTIF($D5:$BC5,"HEM/ONC *")</f>
        <v/>
      </c>
      <c r="BU5" s="63">
        <f>COUNTIF($D5:$BC5,"PAIN MANAGEMENT")+COUNTIF($D5:$BC5,"PAIN MANAGEMENT *")</f>
        <v/>
      </c>
      <c r="BV5" s="63">
        <f>COUNTIF($D5:$BC5,"RHEUMA")+COUNTIF($D5:$BC5,"RHEUMA *")</f>
        <v/>
      </c>
      <c r="BW5" s="63">
        <f>COUNTIF($D5:$BC5,"ENDO")+COUNTIF($D5:$BC5,"ENDO *")</f>
        <v/>
      </c>
      <c r="BX5" s="63">
        <f>COUNTIF($D5:$BC5,"PLASTIC")+COUNTIF($D5:$BC5,"PLASTIC *")</f>
        <v/>
      </c>
      <c r="BY5" s="63">
        <f>COUNTIF($D5:$BC5,"PULM")+COUNTIF($D5:$BC5,"PULM *")</f>
        <v/>
      </c>
      <c r="BZ5" s="63">
        <f>COUNTIF($D5:$BC5,"SICU")+COUNTIF($D5:$BC5,"SICU *")</f>
        <v/>
      </c>
      <c r="CA5" s="63">
        <f>COUNTIF($D5:$BC5,"DERMATOLOGY")+COUNTIF($D5:$BC5,"DERMATOLOGY *")</f>
        <v/>
      </c>
      <c r="CB5" s="86">
        <f>COUNTIF($D5:$BC5,"NEPHRO")+COUNTIF($D5:$BC5,"NEPHRO *")</f>
        <v/>
      </c>
      <c r="CC5" s="59">
        <f>SUM(BQ5:CB5)</f>
        <v/>
      </c>
      <c r="CD5" s="57">
        <f>BP5+CC5</f>
        <v/>
      </c>
    </row>
    <row r="6" ht="39" customHeight="1">
      <c r="A6" s="163" t="n"/>
      <c r="B6" s="112" t="inlineStr">
        <is>
          <t>PGY-2</t>
        </is>
      </c>
      <c r="C6" s="67" t="inlineStr">
        <is>
          <t>M. Garcia</t>
        </is>
      </c>
      <c r="D6" s="80" t="inlineStr">
        <is>
          <t>CLINIC *</t>
        </is>
      </c>
      <c r="E6" s="75" t="inlineStr">
        <is>
          <t>B</t>
        </is>
      </c>
      <c r="F6" s="75" t="inlineStr">
        <is>
          <t>B</t>
        </is>
      </c>
      <c r="G6" s="75" t="inlineStr">
        <is>
          <t>B</t>
        </is>
      </c>
      <c r="H6" s="80" t="inlineStr">
        <is>
          <t>B</t>
        </is>
      </c>
      <c r="I6" s="80" t="inlineStr">
        <is>
          <t>CLINIC *</t>
        </is>
      </c>
      <c r="J6" s="75" t="inlineStr">
        <is>
          <t>ICU N</t>
        </is>
      </c>
      <c r="K6" s="97" t="inlineStr">
        <is>
          <t>ICU N</t>
        </is>
      </c>
      <c r="L6" s="74" t="inlineStr">
        <is>
          <t>SWING</t>
        </is>
      </c>
      <c r="M6" s="75" t="inlineStr">
        <is>
          <t>SWING</t>
        </is>
      </c>
      <c r="N6" s="80" t="inlineStr">
        <is>
          <t>CLINIC *</t>
        </is>
      </c>
      <c r="O6" s="75" t="inlineStr">
        <is>
          <t>NEURO</t>
        </is>
      </c>
      <c r="P6" s="75" t="inlineStr">
        <is>
          <t>NEURO</t>
        </is>
      </c>
      <c r="Q6" s="75" t="inlineStr">
        <is>
          <t>ID</t>
        </is>
      </c>
      <c r="R6" s="80" t="inlineStr">
        <is>
          <t>ID</t>
        </is>
      </c>
      <c r="S6" s="80" t="inlineStr">
        <is>
          <t>CLINIC *</t>
        </is>
      </c>
      <c r="T6" s="80" t="inlineStr">
        <is>
          <t>C</t>
        </is>
      </c>
      <c r="U6" s="75" t="inlineStr">
        <is>
          <t>C</t>
        </is>
      </c>
      <c r="V6" s="75" t="inlineStr">
        <is>
          <t>C</t>
        </is>
      </c>
      <c r="W6" s="80" t="inlineStr">
        <is>
          <t>C</t>
        </is>
      </c>
      <c r="X6" s="80" t="inlineStr">
        <is>
          <t>CLINIC *</t>
        </is>
      </c>
      <c r="Y6" s="75" t="inlineStr">
        <is>
          <t>ED</t>
        </is>
      </c>
      <c r="Z6" s="75" t="inlineStr">
        <is>
          <t>ED</t>
        </is>
      </c>
      <c r="AA6" s="75" t="inlineStr">
        <is>
          <t>CARDIO</t>
        </is>
      </c>
      <c r="AB6" s="75" t="inlineStr">
        <is>
          <t>CARDIO</t>
        </is>
      </c>
      <c r="AC6" s="89" t="inlineStr">
        <is>
          <t>CARDIO</t>
        </is>
      </c>
      <c r="AD6" s="75" t="inlineStr">
        <is>
          <t>CARDIO</t>
        </is>
      </c>
      <c r="AE6" s="80" t="inlineStr">
        <is>
          <t>CLINIC *</t>
        </is>
      </c>
      <c r="AF6" s="75" t="inlineStr">
        <is>
          <t>ICU</t>
        </is>
      </c>
      <c r="AG6" s="75" t="inlineStr">
        <is>
          <t>ICU</t>
        </is>
      </c>
      <c r="AH6" s="75" t="inlineStr">
        <is>
          <t>ICU</t>
        </is>
      </c>
      <c r="AI6" s="80" t="inlineStr">
        <is>
          <t>NF</t>
        </is>
      </c>
      <c r="AJ6" s="80" t="inlineStr">
        <is>
          <t>CLINIC *</t>
        </is>
      </c>
      <c r="AK6" s="75" t="inlineStr">
        <is>
          <t>C</t>
        </is>
      </c>
      <c r="AL6" s="75" t="inlineStr">
        <is>
          <t>NF</t>
        </is>
      </c>
      <c r="AM6" s="75" t="inlineStr">
        <is>
          <t>NF</t>
        </is>
      </c>
      <c r="AN6" s="75" t="inlineStr">
        <is>
          <t>NF</t>
        </is>
      </c>
      <c r="AO6" s="80" t="inlineStr">
        <is>
          <t>CLINIC *</t>
        </is>
      </c>
      <c r="AP6" s="78" t="inlineStr">
        <is>
          <t>VACATION</t>
        </is>
      </c>
      <c r="AQ6" s="78" t="inlineStr">
        <is>
          <t>VACATION</t>
        </is>
      </c>
      <c r="AR6" s="74" t="inlineStr">
        <is>
          <t>VACATION</t>
        </is>
      </c>
      <c r="AS6" s="78" t="inlineStr">
        <is>
          <t>VACATION</t>
        </is>
      </c>
      <c r="AT6" s="80" t="inlineStr">
        <is>
          <t>CLINIC *</t>
        </is>
      </c>
      <c r="AU6" s="75" t="inlineStr">
        <is>
          <t>SWING</t>
        </is>
      </c>
      <c r="AV6" s="75" t="inlineStr">
        <is>
          <t>ICU</t>
        </is>
      </c>
      <c r="AW6" s="80" t="inlineStr">
        <is>
          <t>ICU</t>
        </is>
      </c>
      <c r="AX6" s="75" t="inlineStr">
        <is>
          <t>ICU</t>
        </is>
      </c>
      <c r="AY6" s="80" t="inlineStr">
        <is>
          <t>CLINIC</t>
        </is>
      </c>
      <c r="AZ6" s="78" t="inlineStr">
        <is>
          <t>CLINIC</t>
        </is>
      </c>
      <c r="BA6" s="80" t="inlineStr">
        <is>
          <t>CLINIC</t>
        </is>
      </c>
      <c r="BB6" s="75" t="inlineStr">
        <is>
          <t>CLINIC</t>
        </is>
      </c>
      <c r="BC6" s="75" t="inlineStr">
        <is>
          <t>CLINIC</t>
        </is>
      </c>
      <c r="BD6" s="63">
        <f>COUNTIF($D6:$BC6,"CARDIO")+COUNTIF($D6:$BC6,"CARDIO E")+COUNTIF($D6:$BC6,"CARDIO E *")+COUNTIF($D6:$BC6,"CARDIO-HCA")+COUNTIF($D6:$BC6,"CARDIO-HCA *")+COUNTIF($D6:$BC6,"CARDIO-RAM")+COUNTIF($D6:$BC6,"CARDIO-RAM *")</f>
        <v/>
      </c>
      <c r="BE6" s="63">
        <f>COUNTIF($D6:$BC6,"CLINIC")+COUNTIF($D6:$BC6,"CLINIC *")+COUNTIF($D6:$BC6,"URGENT CARE")+COUNTIF($D6:$BC6,"URGENT CARE *")</f>
        <v/>
      </c>
      <c r="BF6" s="63">
        <f>COUNTIF($D6:$BC6,"ED")</f>
        <v/>
      </c>
      <c r="BG6" s="63">
        <f>COUNTIF($D6:$BC6,"A")+COUNTIF($D6:$BC6,"B")+COUNTIF($D6:$BC6,"C")+COUNTIF($D6:$BC6,"D")+COUNTIF($D6:$BC6,"G")</f>
        <v/>
      </c>
      <c r="BH6" s="63">
        <f>COUNTIF($D6:$BC6,"ICU")</f>
        <v/>
      </c>
      <c r="BI6" s="63">
        <f>COUNTIF($D6:$BC6,"ICU E")</f>
        <v/>
      </c>
      <c r="BJ6" s="63">
        <f>COUNTIF($D6:$BC6,"ICU N")</f>
        <v/>
      </c>
      <c r="BK6" s="63">
        <f>COUNTIF($D6:$BC6,"ID")+COUNTIF($D6:$BC6,"ID *")</f>
        <v/>
      </c>
      <c r="BL6" s="63">
        <f>COUNTIF($D6:$BC6,"NEURO")+COUNTIF($D6:$BC6,"NEURO *")</f>
        <v/>
      </c>
      <c r="BM6" s="63">
        <f>COUNTIF($D6:$BC6,"NF")</f>
        <v/>
      </c>
      <c r="BN6" s="63">
        <f>COUNTIF($D6:$BC6,"SWING")</f>
        <v/>
      </c>
      <c r="BO6" s="63">
        <f>COUNTIF($D6:$BC6,"VACATION")</f>
        <v/>
      </c>
      <c r="BP6" s="23">
        <f>SUM(BD6:BO6)</f>
        <v/>
      </c>
      <c r="BQ6" s="63">
        <f>COUNTIF($D6:$BC6,"PALLIATIVE")+COUNTIF($D6:$BC6,"PALLIATIVE *")</f>
        <v/>
      </c>
      <c r="BR6" s="63">
        <f>COUNTIF($D6:$BC6,"GERIATRIC")+COUNTIF($D6:$BC6,"GERIATRIC 2")</f>
        <v/>
      </c>
      <c r="BS6" s="63">
        <f>COUNTIF($D6:$BC6,"GS")+COUNTIF($D6:$BC6,"GI")+COUNTIF($D6:$BC6,"GI *")</f>
        <v/>
      </c>
      <c r="BT6" s="63">
        <f>COUNTIF($D6:$BC6,"HEM/ONC")+COUNTIF($D6:$BC6,"HEM/ONC *")</f>
        <v/>
      </c>
      <c r="BU6" s="63">
        <f>COUNTIF($D6:$BC6,"PAIN MANAGEMENT")+COUNTIF($D6:$BC6,"PAIN MANAGEMENT *")</f>
        <v/>
      </c>
      <c r="BV6" s="63">
        <f>COUNTIF($D6:$BC6,"RHEUMA")+COUNTIF($D6:$BC6,"RHEUMA *")</f>
        <v/>
      </c>
      <c r="BW6" s="63">
        <f>COUNTIF($D6:$BC6,"ENDO")+COUNTIF($D6:$BC6,"ENDO *")</f>
        <v/>
      </c>
      <c r="BX6" s="63">
        <f>COUNTIF($D6:$BC6,"PLASTIC")+COUNTIF($D6:$BC6,"PLASTIC *")</f>
        <v/>
      </c>
      <c r="BY6" s="63">
        <f>COUNTIF($D6:$BC6,"PULM")+COUNTIF($D6:$BC6,"PULM *")</f>
        <v/>
      </c>
      <c r="BZ6" s="63">
        <f>COUNTIF($D6:$BC6,"SICU")+COUNTIF($D6:$BC6,"SICU *")</f>
        <v/>
      </c>
      <c r="CA6" s="63">
        <f>COUNTIF($D6:$BC6,"DERMATOLOGY")+COUNTIF($D6:$BC6,"DERMATOLOGY *")</f>
        <v/>
      </c>
      <c r="CB6" s="86">
        <f>COUNTIF($D6:$BC6,"NEPHRO")+COUNTIF($D6:$BC6,"NEPHRO *")</f>
        <v/>
      </c>
      <c r="CC6" s="59">
        <f>SUM(BQ6:CB6)</f>
        <v/>
      </c>
      <c r="CD6" s="57">
        <f>BP6+CC6</f>
        <v/>
      </c>
    </row>
    <row r="7" ht="39" customHeight="1">
      <c r="A7" s="163" t="n"/>
      <c r="B7" s="164" t="n"/>
      <c r="C7" s="67" t="inlineStr">
        <is>
          <t>D. Cano</t>
        </is>
      </c>
      <c r="D7" s="80" t="inlineStr">
        <is>
          <t>CLINIC *</t>
        </is>
      </c>
      <c r="E7" s="75" t="inlineStr">
        <is>
          <t>D</t>
        </is>
      </c>
      <c r="F7" s="75" t="inlineStr">
        <is>
          <t>D</t>
        </is>
      </c>
      <c r="G7" s="75" t="inlineStr">
        <is>
          <t>NEURO</t>
        </is>
      </c>
      <c r="H7" s="97" t="inlineStr">
        <is>
          <t>NEURO</t>
        </is>
      </c>
      <c r="I7" s="80" t="inlineStr">
        <is>
          <t>CLINIC</t>
        </is>
      </c>
      <c r="J7" s="75" t="inlineStr">
        <is>
          <t>D</t>
        </is>
      </c>
      <c r="K7" s="76" t="inlineStr">
        <is>
          <t>D</t>
        </is>
      </c>
      <c r="L7" s="75" t="inlineStr">
        <is>
          <t>D</t>
        </is>
      </c>
      <c r="M7" s="75" t="inlineStr">
        <is>
          <t>ED</t>
        </is>
      </c>
      <c r="N7" s="80" t="inlineStr">
        <is>
          <t>CLINIC *</t>
        </is>
      </c>
      <c r="O7" s="75" t="inlineStr">
        <is>
          <t>D</t>
        </is>
      </c>
      <c r="P7" s="75" t="inlineStr">
        <is>
          <t>D</t>
        </is>
      </c>
      <c r="Q7" s="75" t="inlineStr">
        <is>
          <t>D</t>
        </is>
      </c>
      <c r="R7" s="75" t="inlineStr">
        <is>
          <t>D</t>
        </is>
      </c>
      <c r="S7" s="80" t="inlineStr">
        <is>
          <t>CLINIC *</t>
        </is>
      </c>
      <c r="T7" s="75" t="inlineStr">
        <is>
          <t>CARDIO</t>
        </is>
      </c>
      <c r="U7" s="75" t="inlineStr">
        <is>
          <t>CARDIO</t>
        </is>
      </c>
      <c r="V7" s="75" t="inlineStr">
        <is>
          <t>CARDIO</t>
        </is>
      </c>
      <c r="W7" s="75" t="inlineStr">
        <is>
          <t>CARDIO</t>
        </is>
      </c>
      <c r="X7" s="80" t="inlineStr">
        <is>
          <t>CLINIC *</t>
        </is>
      </c>
      <c r="Y7" s="75" t="inlineStr">
        <is>
          <t>ED</t>
        </is>
      </c>
      <c r="Z7" s="75" t="inlineStr">
        <is>
          <t>ID</t>
        </is>
      </c>
      <c r="AA7" s="80" t="inlineStr">
        <is>
          <t>ID</t>
        </is>
      </c>
      <c r="AB7" s="75" t="inlineStr">
        <is>
          <t>C</t>
        </is>
      </c>
      <c r="AC7" s="75" t="inlineStr">
        <is>
          <t>ICU E</t>
        </is>
      </c>
      <c r="AD7" s="89" t="inlineStr">
        <is>
          <t>ICU E</t>
        </is>
      </c>
      <c r="AE7" s="80" t="inlineStr">
        <is>
          <t>CLINIC *</t>
        </is>
      </c>
      <c r="AF7" s="75" t="inlineStr">
        <is>
          <t>VACATION</t>
        </is>
      </c>
      <c r="AG7" s="75" t="inlineStr">
        <is>
          <t>VACATION</t>
        </is>
      </c>
      <c r="AH7" s="75" t="inlineStr">
        <is>
          <t>VACATION</t>
        </is>
      </c>
      <c r="AI7" s="80" t="inlineStr">
        <is>
          <t>VACATION</t>
        </is>
      </c>
      <c r="AJ7" s="80" t="inlineStr">
        <is>
          <t>CLINIC *</t>
        </is>
      </c>
      <c r="AK7" s="79" t="inlineStr">
        <is>
          <t>ICU N</t>
        </is>
      </c>
      <c r="AL7" s="79" t="inlineStr">
        <is>
          <t>ICU N</t>
        </is>
      </c>
      <c r="AM7" s="75" t="inlineStr">
        <is>
          <t>ICU N</t>
        </is>
      </c>
      <c r="AN7" s="78" t="inlineStr">
        <is>
          <t>CLINIC</t>
        </is>
      </c>
      <c r="AO7" s="80" t="inlineStr">
        <is>
          <t>CLINIC</t>
        </is>
      </c>
      <c r="AP7" s="78" t="inlineStr">
        <is>
          <t>ICU N</t>
        </is>
      </c>
      <c r="AQ7" s="78" t="inlineStr">
        <is>
          <t>ICU N</t>
        </is>
      </c>
      <c r="AR7" s="78" t="inlineStr">
        <is>
          <t>SWING</t>
        </is>
      </c>
      <c r="AS7" s="78" t="inlineStr">
        <is>
          <t>SWING</t>
        </is>
      </c>
      <c r="AT7" s="80" t="inlineStr">
        <is>
          <t>CLINIC *</t>
        </is>
      </c>
      <c r="AU7" s="75" t="inlineStr">
        <is>
          <t>D</t>
        </is>
      </c>
      <c r="AV7" s="80" t="inlineStr">
        <is>
          <t>D</t>
        </is>
      </c>
      <c r="AW7" s="75" t="inlineStr">
        <is>
          <t>D</t>
        </is>
      </c>
      <c r="AX7" s="80" t="inlineStr">
        <is>
          <t>D</t>
        </is>
      </c>
      <c r="AY7" s="80" t="inlineStr">
        <is>
          <t>CLINIC</t>
        </is>
      </c>
      <c r="AZ7" s="78" t="inlineStr">
        <is>
          <t>CLINIC</t>
        </is>
      </c>
      <c r="BA7" s="75" t="inlineStr">
        <is>
          <t>CLINIC</t>
        </is>
      </c>
      <c r="BB7" s="80" t="inlineStr">
        <is>
          <t>CLINIC</t>
        </is>
      </c>
      <c r="BC7" s="75" t="inlineStr">
        <is>
          <t>ICU E</t>
        </is>
      </c>
      <c r="BD7" s="63">
        <f>COUNTIF($D7:$BC7,"CARDIO")+COUNTIF($D7:$BC7,"CARDIO E")+COUNTIF($D7:$BC7,"CARDIO E *")+COUNTIF($D7:$BC7,"CARDIO-HCA")+COUNTIF($D7:$BC7,"CARDIO-HCA *")+COUNTIF($D7:$BC7,"CARDIO-RAM")+COUNTIF($D7:$BC7,"CARDIO-RAM *")</f>
        <v/>
      </c>
      <c r="BE7" s="63">
        <f>COUNTIF($D7:$BC7,"CLINIC")+COUNTIF($D7:$BC7,"CLINIC *")+COUNTIF($D7:$BC7,"URGENT CARE")+COUNTIF($D7:$BC7,"URGENT CARE *")</f>
        <v/>
      </c>
      <c r="BF7" s="63">
        <f>COUNTIF($D7:$BC7,"ED")</f>
        <v/>
      </c>
      <c r="BG7" s="63">
        <f>COUNTIF($D7:$BC7,"A")+COUNTIF($D7:$BC7,"B")+COUNTIF($D7:$BC7,"C")+COUNTIF($D7:$BC7,"D")+COUNTIF($D7:$BC7,"G")</f>
        <v/>
      </c>
      <c r="BH7" s="63">
        <f>COUNTIF($D7:$BC7,"ICU")</f>
        <v/>
      </c>
      <c r="BI7" s="63">
        <f>COUNTIF($D7:$BC7,"ICU E")</f>
        <v/>
      </c>
      <c r="BJ7" s="63">
        <f>COUNTIF($D7:$BC7,"ICU N")</f>
        <v/>
      </c>
      <c r="BK7" s="63">
        <f>COUNTIF($D7:$BC7,"ID")+COUNTIF($D7:$BC7,"ID *")</f>
        <v/>
      </c>
      <c r="BL7" s="63">
        <f>COUNTIF($D7:$BC7,"NEURO")+COUNTIF($D7:$BC7,"NEURO *")</f>
        <v/>
      </c>
      <c r="BM7" s="63">
        <f>COUNTIF($D7:$BC7,"NF")</f>
        <v/>
      </c>
      <c r="BN7" s="63">
        <f>COUNTIF($D7:$BC7,"SWING")</f>
        <v/>
      </c>
      <c r="BO7" s="63">
        <f>COUNTIF($D7:$BC7,"VACATION")</f>
        <v/>
      </c>
      <c r="BP7" s="23">
        <f>SUM(BD7:BO7)</f>
        <v/>
      </c>
      <c r="BQ7" s="63">
        <f>COUNTIF($D7:$BC7,"PALLIATIVE")+COUNTIF($D7:$BC7,"PALLIATIVE *")</f>
        <v/>
      </c>
      <c r="BR7" s="63">
        <f>COUNTIF($D7:$BC7,"GERIATRIC")+COUNTIF($D7:$BC7,"GERIATRIC 2")</f>
        <v/>
      </c>
      <c r="BS7" s="63">
        <f>COUNTIF($D7:$BC7,"GS")+COUNTIF($D7:$BC7,"GI")+COUNTIF($D7:$BC7,"GI *")</f>
        <v/>
      </c>
      <c r="BT7" s="63">
        <f>COUNTIF($D7:$BC7,"HEM/ONC")+COUNTIF($D7:$BC7,"HEM/ONC *")</f>
        <v/>
      </c>
      <c r="BU7" s="63">
        <f>COUNTIF($D7:$BC7,"PAIN MANAGEMENT")+COUNTIF($D7:$BC7,"PAIN MANAGEMENT *")</f>
        <v/>
      </c>
      <c r="BV7" s="63">
        <f>COUNTIF($D7:$BC7,"RHEUMA")+COUNTIF($D7:$BC7,"RHEUMA *")</f>
        <v/>
      </c>
      <c r="BW7" s="63">
        <f>COUNTIF($D7:$BC7,"ENDO")+COUNTIF($D7:$BC7,"ENDO *")</f>
        <v/>
      </c>
      <c r="BX7" s="63">
        <f>COUNTIF($D7:$BC7,"PLASTIC")+COUNTIF($D7:$BC7,"PLASTIC *")</f>
        <v/>
      </c>
      <c r="BY7" s="63">
        <f>COUNTIF($D7:$BC7,"PULM")+COUNTIF($D7:$BC7,"PULM *")</f>
        <v/>
      </c>
      <c r="BZ7" s="63">
        <f>COUNTIF($D7:$BC7,"SICU")+COUNTIF($D7:$BC7,"SICU *")</f>
        <v/>
      </c>
      <c r="CA7" s="63">
        <f>COUNTIF($D7:$BC7,"DERMATOLOGY")+COUNTIF($D7:$BC7,"DERMATOLOGY *")</f>
        <v/>
      </c>
      <c r="CB7" s="86">
        <f>COUNTIF($D7:$BC7,"NEPHRO")+COUNTIF($D7:$BC7,"NEPHRO *")</f>
        <v/>
      </c>
      <c r="CC7" s="59">
        <f>SUM(BQ7:CB7)</f>
        <v/>
      </c>
      <c r="CD7" s="57">
        <f>BP7+CC7</f>
        <v/>
      </c>
    </row>
    <row r="8" ht="39" customHeight="1">
      <c r="A8" s="163" t="n"/>
      <c r="B8" s="165" t="inlineStr">
        <is>
          <t>PGY-3</t>
        </is>
      </c>
      <c r="C8" s="67" t="inlineStr">
        <is>
          <t>J. Melendez</t>
        </is>
      </c>
      <c r="D8" s="80" t="inlineStr">
        <is>
          <t>CLINIC *</t>
        </is>
      </c>
      <c r="E8" s="75" t="inlineStr">
        <is>
          <t>C</t>
        </is>
      </c>
      <c r="F8" s="80" t="inlineStr">
        <is>
          <t>C</t>
        </is>
      </c>
      <c r="G8" s="80" t="inlineStr">
        <is>
          <t>C</t>
        </is>
      </c>
      <c r="H8" s="80" t="inlineStr">
        <is>
          <t>C</t>
        </is>
      </c>
      <c r="I8" s="80" t="inlineStr">
        <is>
          <t>CLINIC *</t>
        </is>
      </c>
      <c r="J8" s="76" t="inlineStr">
        <is>
          <t>CLINIC *</t>
        </is>
      </c>
      <c r="K8" s="76" t="inlineStr">
        <is>
          <t>CLINIC *</t>
        </is>
      </c>
      <c r="L8" s="75" t="inlineStr">
        <is>
          <t>ICU E</t>
        </is>
      </c>
      <c r="M8" s="75" t="inlineStr">
        <is>
          <t>ICU E</t>
        </is>
      </c>
      <c r="N8" s="80" t="inlineStr">
        <is>
          <t>CLINIC *</t>
        </is>
      </c>
      <c r="O8" s="97" t="inlineStr">
        <is>
          <t>C</t>
        </is>
      </c>
      <c r="P8" s="80" t="inlineStr">
        <is>
          <t>C</t>
        </is>
      </c>
      <c r="Q8" s="75" t="inlineStr">
        <is>
          <t>C</t>
        </is>
      </c>
      <c r="R8" s="95" t="inlineStr">
        <is>
          <t>C</t>
        </is>
      </c>
      <c r="S8" s="80" t="inlineStr">
        <is>
          <t>CLINIC *</t>
        </is>
      </c>
      <c r="T8" s="75" t="inlineStr">
        <is>
          <t>VACATION</t>
        </is>
      </c>
      <c r="U8" s="75" t="inlineStr">
        <is>
          <t>ICU</t>
        </is>
      </c>
      <c r="V8" s="80" t="inlineStr">
        <is>
          <t>ICU</t>
        </is>
      </c>
      <c r="W8" s="85" t="inlineStr">
        <is>
          <t>CLINIC *</t>
        </is>
      </c>
      <c r="X8" s="80" t="inlineStr">
        <is>
          <t>CLINIC *</t>
        </is>
      </c>
      <c r="Y8" s="75" t="inlineStr">
        <is>
          <t>CLINIC *</t>
        </is>
      </c>
      <c r="Z8" s="75" t="inlineStr">
        <is>
          <t>CLINIC *</t>
        </is>
      </c>
      <c r="AA8" s="75" t="inlineStr">
        <is>
          <t>ICU E</t>
        </is>
      </c>
      <c r="AB8" s="85" t="inlineStr">
        <is>
          <t>ICU E</t>
        </is>
      </c>
      <c r="AC8" s="89" t="inlineStr">
        <is>
          <t>ICU E</t>
        </is>
      </c>
      <c r="AD8" s="80" t="inlineStr">
        <is>
          <t>ICU E</t>
        </is>
      </c>
      <c r="AE8" s="80" t="inlineStr">
        <is>
          <t>CLINIC *</t>
        </is>
      </c>
      <c r="AF8" s="75" t="inlineStr">
        <is>
          <t>CLINIC *</t>
        </is>
      </c>
      <c r="AG8" s="75" t="inlineStr">
        <is>
          <t>VACATION</t>
        </is>
      </c>
      <c r="AH8" s="85" t="inlineStr">
        <is>
          <t>VACATION</t>
        </is>
      </c>
      <c r="AI8" s="93" t="inlineStr">
        <is>
          <t>VACATION</t>
        </is>
      </c>
      <c r="AJ8" s="80" t="inlineStr">
        <is>
          <t>CLINIC *</t>
        </is>
      </c>
      <c r="AK8" s="75" t="inlineStr">
        <is>
          <t>SWING</t>
        </is>
      </c>
      <c r="AL8" s="75" t="inlineStr">
        <is>
          <t>SWING</t>
        </is>
      </c>
      <c r="AM8" s="85" t="inlineStr">
        <is>
          <t>SWING</t>
        </is>
      </c>
      <c r="AN8" s="80" t="inlineStr">
        <is>
          <t>SWING</t>
        </is>
      </c>
      <c r="AO8" s="80" t="inlineStr">
        <is>
          <t>CLINIC *</t>
        </is>
      </c>
      <c r="AP8" s="75" t="inlineStr">
        <is>
          <t>D</t>
        </is>
      </c>
      <c r="AQ8" s="85" t="inlineStr">
        <is>
          <t>D</t>
        </is>
      </c>
      <c r="AR8" s="78" t="inlineStr">
        <is>
          <t>D</t>
        </is>
      </c>
      <c r="AS8" s="93" t="inlineStr">
        <is>
          <t>CLINIC</t>
        </is>
      </c>
      <c r="AT8" s="80" t="inlineStr">
        <is>
          <t>CLINIC</t>
        </is>
      </c>
      <c r="AU8" s="75" t="inlineStr">
        <is>
          <t>CLINIC</t>
        </is>
      </c>
      <c r="AV8" s="75" t="inlineStr">
        <is>
          <t>CLINIC</t>
        </is>
      </c>
      <c r="AW8" s="85" t="inlineStr">
        <is>
          <t>CLINIC</t>
        </is>
      </c>
      <c r="AX8" s="85" t="inlineStr">
        <is>
          <t>CLINIC</t>
        </is>
      </c>
      <c r="AY8" s="80" t="inlineStr">
        <is>
          <t>CLINIC</t>
        </is>
      </c>
      <c r="AZ8" s="93" t="inlineStr">
        <is>
          <t>ICU N</t>
        </is>
      </c>
      <c r="BA8" s="85" t="inlineStr">
        <is>
          <t>ICU N</t>
        </is>
      </c>
      <c r="BB8" s="75" t="inlineStr">
        <is>
          <t>CLINIC *</t>
        </is>
      </c>
      <c r="BC8" s="75" t="inlineStr">
        <is>
          <t>SWING</t>
        </is>
      </c>
      <c r="BD8" s="63">
        <f>COUNTIF($D8:$BC8,"CARDIO")+COUNTIF($D8:$BC8,"CARDIO E")+COUNTIF($D8:$BC8,"CARDIO E *")+COUNTIF($D8:$BC8,"CARDIO-HCA")+COUNTIF($D8:$BC8,"CARDIO-HCA *")+COUNTIF($D8:$BC8,"CARDIO-RAM")+COUNTIF($D8:$BC8,"CARDIO-RAM *")</f>
        <v/>
      </c>
      <c r="BE8" s="63">
        <f>COUNTIF($D8:$BC8,"CLINIC")+COUNTIF($D8:$BC8,"CLINIC *")+COUNTIF($D8:$BC8,"URGENT CARE")+COUNTIF($D8:$BC8,"URGENT CARE *")</f>
        <v/>
      </c>
      <c r="BF8" s="63">
        <f>COUNTIF($D8:$BC8,"ED")</f>
        <v/>
      </c>
      <c r="BG8" s="63">
        <f>COUNTIF($D8:$BC8,"A")+COUNTIF($D8:$BC8,"B")+COUNTIF($D8:$BC8,"C")+COUNTIF($D8:$BC8,"D")+COUNTIF($D8:$BC8,"G")</f>
        <v/>
      </c>
      <c r="BH8" s="63">
        <f>COUNTIF($D8:$BC8,"ICU")</f>
        <v/>
      </c>
      <c r="BI8" s="63">
        <f>COUNTIF($D8:$BC8,"ICU E")</f>
        <v/>
      </c>
      <c r="BJ8" s="63">
        <f>COUNTIF($D8:$BC8,"ICU N")</f>
        <v/>
      </c>
      <c r="BK8" s="63">
        <f>COUNTIF($D8:$BC8,"ID")+COUNTIF($D8:$BC8,"ID *")</f>
        <v/>
      </c>
      <c r="BL8" s="63">
        <f>COUNTIF($D8:$BC8,"NEURO")+COUNTIF($D8:$BC8,"NEURO *")</f>
        <v/>
      </c>
      <c r="BM8" s="63">
        <f>COUNTIF($D8:$BC8,"NF")</f>
        <v/>
      </c>
      <c r="BN8" s="63">
        <f>COUNTIF($D8:$BC8,"SWING")</f>
        <v/>
      </c>
      <c r="BO8" s="63">
        <f>COUNTIF($D8:$BC8,"VACATION")</f>
        <v/>
      </c>
      <c r="BP8" s="23">
        <f>SUM(BD8:BO8)</f>
        <v/>
      </c>
      <c r="BQ8" s="63">
        <f>COUNTIF($D8:$BC8,"PALLIATIVE")+COUNTIF($D8:$BC8,"PALLIATIVE *")</f>
        <v/>
      </c>
      <c r="BR8" s="63">
        <f>COUNTIF($D8:$BC8,"GERIATRIC")+COUNTIF($D8:$BC8,"GERIATRIC 2")</f>
        <v/>
      </c>
      <c r="BS8" s="63">
        <f>COUNTIF($D8:$BC8,"GS")+COUNTIF($D8:$BC8,"GI")+COUNTIF($D8:$BC8,"GI *")</f>
        <v/>
      </c>
      <c r="BT8" s="63">
        <f>COUNTIF($D8:$BC8,"HEM/ONC")+COUNTIF($D8:$BC8,"HEM/ONC *")</f>
        <v/>
      </c>
      <c r="BU8" s="63">
        <f>COUNTIF($D8:$BC8,"PAIN MANAGEMENT")+COUNTIF($D8:$BC8,"PAIN MANAGEMENT *")</f>
        <v/>
      </c>
      <c r="BV8" s="63">
        <f>COUNTIF($D8:$BC8,"RHEUMA")+COUNTIF($D8:$BC8,"RHEUMA *")</f>
        <v/>
      </c>
      <c r="BW8" s="63">
        <f>COUNTIF($D8:$BC8,"ENDO")+COUNTIF($D8:$BC8,"ENDO *")</f>
        <v/>
      </c>
      <c r="BX8" s="63">
        <f>COUNTIF($D8:$BC8,"PLASTIC")+COUNTIF($D8:$BC8,"PLASTIC *")</f>
        <v/>
      </c>
      <c r="BY8" s="63">
        <f>COUNTIF($D8:$BC8,"PULM")+COUNTIF($D8:$BC8,"PULM *")</f>
        <v/>
      </c>
      <c r="BZ8" s="63">
        <f>COUNTIF($D8:$BC8,"SICU")+COUNTIF($D8:$BC8,"SICU *")</f>
        <v/>
      </c>
      <c r="CA8" s="63">
        <f>COUNTIF($D8:$BC8,"DERMATOLOGY")+COUNTIF($D8:$BC8,"DERMATOLOGY *")</f>
        <v/>
      </c>
      <c r="CB8" s="86">
        <f>COUNTIF($D8:$BC8,"NEPHRO")+COUNTIF($D8:$BC8,"NEPHRO *")</f>
        <v/>
      </c>
      <c r="CC8" s="59">
        <f>SUM(BQ8:CB8)</f>
        <v/>
      </c>
      <c r="CD8" s="57">
        <f>BP8+CC8</f>
        <v/>
      </c>
    </row>
    <row r="9" ht="39" customHeight="1">
      <c r="A9" s="163" t="n"/>
      <c r="B9" s="164" t="n"/>
      <c r="C9" s="67" t="inlineStr">
        <is>
          <t>C. Correa</t>
        </is>
      </c>
      <c r="D9" s="80" t="inlineStr">
        <is>
          <t>CLINIC *</t>
        </is>
      </c>
      <c r="E9" s="80" t="inlineStr">
        <is>
          <t>VACATION</t>
        </is>
      </c>
      <c r="F9" s="75" t="inlineStr">
        <is>
          <t>VACATION</t>
        </is>
      </c>
      <c r="G9" s="75" t="inlineStr">
        <is>
          <t>VACATION</t>
        </is>
      </c>
      <c r="H9" s="80" t="inlineStr">
        <is>
          <t>VACATION</t>
        </is>
      </c>
      <c r="I9" s="97" t="inlineStr">
        <is>
          <t>CLINIC *</t>
        </is>
      </c>
      <c r="J9" s="75" t="inlineStr">
        <is>
          <t>C</t>
        </is>
      </c>
      <c r="K9" s="75" t="inlineStr">
        <is>
          <t>C</t>
        </is>
      </c>
      <c r="L9" s="75" t="inlineStr">
        <is>
          <t>ICU N</t>
        </is>
      </c>
      <c r="M9" s="75" t="inlineStr">
        <is>
          <t>ICU N</t>
        </is>
      </c>
      <c r="N9" s="80" t="inlineStr">
        <is>
          <t>CLINIC *</t>
        </is>
      </c>
      <c r="O9" s="80" t="inlineStr">
        <is>
          <t>NF</t>
        </is>
      </c>
      <c r="P9" s="75" t="inlineStr">
        <is>
          <t>NF</t>
        </is>
      </c>
      <c r="Q9" s="75" t="inlineStr">
        <is>
          <t>NF</t>
        </is>
      </c>
      <c r="R9" s="80" t="inlineStr">
        <is>
          <t>NF</t>
        </is>
      </c>
      <c r="S9" s="80" t="inlineStr">
        <is>
          <t>CLINIC *</t>
        </is>
      </c>
      <c r="T9" s="75" t="inlineStr">
        <is>
          <t>CLINIC *</t>
        </is>
      </c>
      <c r="U9" s="75" t="inlineStr">
        <is>
          <t>ICU E</t>
        </is>
      </c>
      <c r="V9" s="80" t="inlineStr">
        <is>
          <t>ICU E</t>
        </is>
      </c>
      <c r="W9" s="75" t="inlineStr">
        <is>
          <t>CLINIC *</t>
        </is>
      </c>
      <c r="X9" s="80" t="inlineStr">
        <is>
          <t>CLINIC *</t>
        </is>
      </c>
      <c r="Y9" s="99" t="inlineStr">
        <is>
          <t>A</t>
        </is>
      </c>
      <c r="Z9" s="75" t="inlineStr">
        <is>
          <t>A</t>
        </is>
      </c>
      <c r="AA9" s="75" t="inlineStr">
        <is>
          <t>A</t>
        </is>
      </c>
      <c r="AB9" s="80" t="inlineStr">
        <is>
          <t>A</t>
        </is>
      </c>
      <c r="AC9" s="89" t="inlineStr">
        <is>
          <t>A</t>
        </is>
      </c>
      <c r="AD9" s="75" t="inlineStr">
        <is>
          <t>A</t>
        </is>
      </c>
      <c r="AE9" s="80" t="inlineStr">
        <is>
          <t>CLINIC *</t>
        </is>
      </c>
      <c r="AF9" s="75" t="inlineStr">
        <is>
          <t>B</t>
        </is>
      </c>
      <c r="AG9" s="75" t="inlineStr">
        <is>
          <t>B</t>
        </is>
      </c>
      <c r="AH9" s="99" t="inlineStr">
        <is>
          <t>B</t>
        </is>
      </c>
      <c r="AI9" s="85" t="inlineStr">
        <is>
          <t>CLINIC *</t>
        </is>
      </c>
      <c r="AJ9" s="80" t="inlineStr">
        <is>
          <t>CLINIC *</t>
        </is>
      </c>
      <c r="AK9" s="79" t="inlineStr">
        <is>
          <t>CLINIC *</t>
        </is>
      </c>
      <c r="AL9" s="79" t="inlineStr">
        <is>
          <t>CLINIC</t>
        </is>
      </c>
      <c r="AM9" s="85" t="inlineStr">
        <is>
          <t>CLINIC</t>
        </is>
      </c>
      <c r="AN9" s="80" t="inlineStr">
        <is>
          <t>CLINIC</t>
        </is>
      </c>
      <c r="AO9" s="80" t="inlineStr">
        <is>
          <t>CLINIC</t>
        </is>
      </c>
      <c r="AP9" s="75" t="inlineStr">
        <is>
          <t>CLINIC</t>
        </is>
      </c>
      <c r="AQ9" s="78" t="inlineStr">
        <is>
          <t>ICU</t>
        </is>
      </c>
      <c r="AR9" s="75" t="inlineStr">
        <is>
          <t>ICU</t>
        </is>
      </c>
      <c r="AS9" s="75" t="inlineStr">
        <is>
          <t>ICU</t>
        </is>
      </c>
      <c r="AT9" s="80" t="inlineStr">
        <is>
          <t>CLINIC</t>
        </is>
      </c>
      <c r="AU9" s="85" t="inlineStr">
        <is>
          <t>CLINIC</t>
        </is>
      </c>
      <c r="AV9" s="85" t="inlineStr">
        <is>
          <t>CLINIC</t>
        </is>
      </c>
      <c r="AW9" s="75" t="inlineStr">
        <is>
          <t>G</t>
        </is>
      </c>
      <c r="AX9" s="75" t="inlineStr">
        <is>
          <t>G</t>
        </is>
      </c>
      <c r="AY9" s="80" t="inlineStr">
        <is>
          <t>CLINIC *</t>
        </is>
      </c>
      <c r="AZ9" s="93" t="inlineStr">
        <is>
          <t>CLINIC *</t>
        </is>
      </c>
      <c r="BA9" s="85" t="inlineStr">
        <is>
          <t>ICU E</t>
        </is>
      </c>
      <c r="BB9" s="80" t="inlineStr">
        <is>
          <t>CLINIC</t>
        </is>
      </c>
      <c r="BC9" s="75" t="inlineStr">
        <is>
          <t>CLINIC</t>
        </is>
      </c>
      <c r="BD9" s="63">
        <f>COUNTIF($D9:$BC9,"CARDIO")+COUNTIF($D9:$BC9,"CARDIO E")+COUNTIF($D9:$BC9,"CARDIO E *")+COUNTIF($D9:$BC9,"CARDIO-HCA")+COUNTIF($D9:$BC9,"CARDIO-HCA *")+COUNTIF($D9:$BC9,"CARDIO-RAM")+COUNTIF($D9:$BC9,"CARDIO-RAM *")</f>
        <v/>
      </c>
      <c r="BE9" s="63">
        <f>COUNTIF($D9:$BC9,"CLINIC")+COUNTIF($D9:$BC9,"CLINIC *")+COUNTIF($D9:$BC9,"URGENT CARE")+COUNTIF($D9:$BC9,"URGENT CARE *")</f>
        <v/>
      </c>
      <c r="BF9" s="63">
        <f>COUNTIF($D9:$BC9,"ED")</f>
        <v/>
      </c>
      <c r="BG9" s="63">
        <f>COUNTIF($D9:$BC9,"A")+COUNTIF($D9:$BC9,"B")+COUNTIF($D9:$BC9,"C")+COUNTIF($D9:$BC9,"D")+COUNTIF($D9:$BC9,"G")</f>
        <v/>
      </c>
      <c r="BH9" s="63">
        <f>COUNTIF($D9:$BC9,"ICU")</f>
        <v/>
      </c>
      <c r="BI9" s="63">
        <f>COUNTIF($D9:$BC9,"ICU E")</f>
        <v/>
      </c>
      <c r="BJ9" s="63">
        <f>COUNTIF($D9:$BC9,"ICU N")</f>
        <v/>
      </c>
      <c r="BK9" s="63">
        <f>COUNTIF($D9:$BC9,"ID")+COUNTIF($D9:$BC9,"ID *")</f>
        <v/>
      </c>
      <c r="BL9" s="63">
        <f>COUNTIF($D9:$BC9,"NEURO")+COUNTIF($D9:$BC9,"NEURO *")</f>
        <v/>
      </c>
      <c r="BM9" s="63">
        <f>COUNTIF($D9:$BC9,"NF")</f>
        <v/>
      </c>
      <c r="BN9" s="63">
        <f>COUNTIF($D9:$BC9,"SWING")</f>
        <v/>
      </c>
      <c r="BO9" s="63">
        <f>COUNTIF($D9:$BC9,"VACATION")</f>
        <v/>
      </c>
      <c r="BP9" s="23">
        <f>SUM(BD9:BO9)</f>
        <v/>
      </c>
      <c r="BQ9" s="63">
        <f>COUNTIF($D9:$BC9,"PALLIATIVE")+COUNTIF($D9:$BC9,"PALLIATIVE *")</f>
        <v/>
      </c>
      <c r="BR9" s="63">
        <f>COUNTIF($D9:$BC9,"GERIATRIC")+COUNTIF($D9:$BC9,"GERIATRIC 2")</f>
        <v/>
      </c>
      <c r="BS9" s="63">
        <f>COUNTIF($D9:$BC9,"GS")+COUNTIF($D9:$BC9,"GI")+COUNTIF($D9:$BC9,"GI *")</f>
        <v/>
      </c>
      <c r="BT9" s="63">
        <f>COUNTIF($D9:$BC9,"HEM/ONC")+COUNTIF($D9:$BC9,"HEM/ONC *")</f>
        <v/>
      </c>
      <c r="BU9" s="63">
        <f>COUNTIF($D9:$BC9,"PAIN MANAGEMENT")+COUNTIF($D9:$BC9,"PAIN MANAGEMENT *")</f>
        <v/>
      </c>
      <c r="BV9" s="63">
        <f>COUNTIF($D9:$BC9,"RHEUMA")+COUNTIF($D9:$BC9,"RHEUMA *")</f>
        <v/>
      </c>
      <c r="BW9" s="63">
        <f>COUNTIF($D9:$BC9,"ENDO")+COUNTIF($D9:$BC9,"ENDO *")</f>
        <v/>
      </c>
      <c r="BX9" s="63">
        <f>COUNTIF($D9:$BC9,"PLASTIC")+COUNTIF($D9:$BC9,"PLASTIC *")</f>
        <v/>
      </c>
      <c r="BY9" s="63">
        <f>COUNTIF($D9:$BC9,"PULM")+COUNTIF($D9:$BC9,"PULM *")</f>
        <v/>
      </c>
      <c r="BZ9" s="63">
        <f>COUNTIF($D9:$BC9,"SICU")+COUNTIF($D9:$BC9,"SICU *")</f>
        <v/>
      </c>
      <c r="CA9" s="63">
        <f>COUNTIF($D9:$BC9,"DERMATOLOGY")+COUNTIF($D9:$BC9,"DERMATOLOGY *")</f>
        <v/>
      </c>
      <c r="CB9" s="86">
        <f>COUNTIF($D9:$BC9,"NEPHRO")+COUNTIF($D9:$BC9,"NEPHRO *")</f>
        <v/>
      </c>
      <c r="CC9" s="59">
        <f>SUM(BQ9:CB9)</f>
        <v/>
      </c>
      <c r="CD9" s="57">
        <f>BP9+CC9</f>
        <v/>
      </c>
    </row>
    <row r="10" ht="39" customHeight="1">
      <c r="A10" s="163" t="n"/>
      <c r="B10" s="164" t="n"/>
      <c r="C10" s="67" t="inlineStr">
        <is>
          <t>L. Diaz-Fajardo</t>
        </is>
      </c>
      <c r="D10" s="80" t="inlineStr">
        <is>
          <t>CLINIC *</t>
        </is>
      </c>
      <c r="E10" s="99" t="inlineStr">
        <is>
          <t>CLINIC *</t>
        </is>
      </c>
      <c r="F10" s="75" t="inlineStr">
        <is>
          <t>ICU</t>
        </is>
      </c>
      <c r="G10" s="75" t="inlineStr">
        <is>
          <t>ICU</t>
        </is>
      </c>
      <c r="H10" s="75" t="inlineStr">
        <is>
          <t>ICU</t>
        </is>
      </c>
      <c r="I10" s="80" t="inlineStr">
        <is>
          <t>CLINIC *</t>
        </is>
      </c>
      <c r="J10" s="80" t="inlineStr">
        <is>
          <t>SWING</t>
        </is>
      </c>
      <c r="K10" s="75" t="inlineStr">
        <is>
          <t>SWING</t>
        </is>
      </c>
      <c r="L10" s="76" t="inlineStr">
        <is>
          <t>SWING</t>
        </is>
      </c>
      <c r="M10" s="75" t="inlineStr">
        <is>
          <t>SWING</t>
        </is>
      </c>
      <c r="N10" s="80" t="inlineStr">
        <is>
          <t>CLINIC *</t>
        </is>
      </c>
      <c r="O10" s="75" t="inlineStr">
        <is>
          <t>CLINIC *</t>
        </is>
      </c>
      <c r="P10" s="75" t="inlineStr">
        <is>
          <t>CLINIC *</t>
        </is>
      </c>
      <c r="Q10" s="75" t="inlineStr">
        <is>
          <t>CLINIC *</t>
        </is>
      </c>
      <c r="R10" s="80" t="inlineStr">
        <is>
          <t>CLINIC *</t>
        </is>
      </c>
      <c r="S10" s="80" t="inlineStr">
        <is>
          <t>CLINIC *</t>
        </is>
      </c>
      <c r="T10" s="75" t="inlineStr">
        <is>
          <t>CLINIC *</t>
        </is>
      </c>
      <c r="U10" s="75" t="inlineStr">
        <is>
          <t>CLINIC *</t>
        </is>
      </c>
      <c r="V10" s="75" t="inlineStr">
        <is>
          <t>CLINIC *</t>
        </is>
      </c>
      <c r="W10" s="75" t="inlineStr">
        <is>
          <t>CLINIC *</t>
        </is>
      </c>
      <c r="X10" s="80" t="inlineStr">
        <is>
          <t>CLINIC *</t>
        </is>
      </c>
      <c r="Y10" s="80" t="inlineStr">
        <is>
          <t>B</t>
        </is>
      </c>
      <c r="Z10" s="75" t="inlineStr">
        <is>
          <t>B</t>
        </is>
      </c>
      <c r="AA10" s="99" t="inlineStr">
        <is>
          <t>B</t>
        </is>
      </c>
      <c r="AB10" s="75" t="inlineStr">
        <is>
          <t>B</t>
        </is>
      </c>
      <c r="AC10" s="89" t="inlineStr">
        <is>
          <t>VACATION</t>
        </is>
      </c>
      <c r="AD10" s="80" t="inlineStr">
        <is>
          <t>VACATION</t>
        </is>
      </c>
      <c r="AE10" s="80" t="inlineStr">
        <is>
          <t>CLINIC *</t>
        </is>
      </c>
      <c r="AF10" s="97" t="inlineStr">
        <is>
          <t>D</t>
        </is>
      </c>
      <c r="AG10" s="85" t="inlineStr">
        <is>
          <t>D</t>
        </is>
      </c>
      <c r="AH10" s="99" t="inlineStr">
        <is>
          <t>D</t>
        </is>
      </c>
      <c r="AI10" s="75" t="inlineStr">
        <is>
          <t>D</t>
        </is>
      </c>
      <c r="AJ10" s="80" t="inlineStr">
        <is>
          <t>CLINIC *</t>
        </is>
      </c>
      <c r="AK10" s="75" t="inlineStr">
        <is>
          <t>VACATION</t>
        </is>
      </c>
      <c r="AL10" s="75" t="inlineStr">
        <is>
          <t>VACATION</t>
        </is>
      </c>
      <c r="AM10" s="80" t="inlineStr">
        <is>
          <t>ICU</t>
        </is>
      </c>
      <c r="AN10" s="75" t="inlineStr">
        <is>
          <t>ICU</t>
        </is>
      </c>
      <c r="AO10" s="80" t="inlineStr">
        <is>
          <t>CLINIC</t>
        </is>
      </c>
      <c r="AP10" s="75" t="inlineStr">
        <is>
          <t>CLINIC</t>
        </is>
      </c>
      <c r="AQ10" s="75" t="inlineStr">
        <is>
          <t>ICU E</t>
        </is>
      </c>
      <c r="AR10" s="78" t="inlineStr">
        <is>
          <t>ICU E</t>
        </is>
      </c>
      <c r="AS10" s="80" t="inlineStr">
        <is>
          <t>CLINIC *</t>
        </is>
      </c>
      <c r="AT10" s="80" t="inlineStr">
        <is>
          <t>CLINIC *</t>
        </is>
      </c>
      <c r="AU10" s="75" t="inlineStr">
        <is>
          <t>A</t>
        </is>
      </c>
      <c r="AV10" s="85" t="inlineStr">
        <is>
          <t>A</t>
        </is>
      </c>
      <c r="AW10" s="80" t="inlineStr">
        <is>
          <t>A</t>
        </is>
      </c>
      <c r="AX10" s="85" t="inlineStr">
        <is>
          <t>A</t>
        </is>
      </c>
      <c r="AY10" s="80" t="inlineStr">
        <is>
          <t>CLINIC</t>
        </is>
      </c>
      <c r="AZ10" s="85" t="inlineStr">
        <is>
          <t>CLINIC</t>
        </is>
      </c>
      <c r="BA10" s="85" t="inlineStr">
        <is>
          <t>CLINIC</t>
        </is>
      </c>
      <c r="BB10" s="80" t="inlineStr">
        <is>
          <t>CLINIC</t>
        </is>
      </c>
      <c r="BC10" s="85" t="inlineStr">
        <is>
          <t>CLINIC</t>
        </is>
      </c>
      <c r="BD10" s="63">
        <f>COUNTIF($D10:$BC10,"CARDIO")+COUNTIF($D10:$BC10,"CARDIO E")+COUNTIF($D10:$BC10,"CARDIO E *")+COUNTIF($D10:$BC10,"CARDIO-HCA")+COUNTIF($D10:$BC10,"CARDIO-HCA *")+COUNTIF($D10:$BC10,"CARDIO-RAM")+COUNTIF($D10:$BC10,"CARDIO-RAM *")</f>
        <v/>
      </c>
      <c r="BE10" s="63">
        <f>COUNTIF($D10:$BC10,"CLINIC")+COUNTIF($D10:$BC10,"CLINIC *")+COUNTIF($D10:$BC10,"URGENT CARE")+COUNTIF($D10:$BC10,"URGENT CARE *")</f>
        <v/>
      </c>
      <c r="BF10" s="63">
        <f>COUNTIF($D10:$BC10,"ED")</f>
        <v/>
      </c>
      <c r="BG10" s="63">
        <f>COUNTIF($D10:$BC10,"A")+COUNTIF($D10:$BC10,"B")+COUNTIF($D10:$BC10,"C")+COUNTIF($D10:$BC10,"D")+COUNTIF($D10:$BC10,"G")</f>
        <v/>
      </c>
      <c r="BH10" s="63">
        <f>COUNTIF($D10:$BC10,"ICU")</f>
        <v/>
      </c>
      <c r="BI10" s="63">
        <f>COUNTIF($D10:$BC10,"ICU E")</f>
        <v/>
      </c>
      <c r="BJ10" s="63">
        <f>COUNTIF($D10:$BC10,"ICU N")</f>
        <v/>
      </c>
      <c r="BK10" s="63">
        <f>COUNTIF($D10:$BC10,"ID")+COUNTIF($D10:$BC10,"ID *")</f>
        <v/>
      </c>
      <c r="BL10" s="63">
        <f>COUNTIF($D10:$BC10,"NEURO")+COUNTIF($D10:$BC10,"NEURO *")</f>
        <v/>
      </c>
      <c r="BM10" s="63">
        <f>COUNTIF($D10:$BC10,"NF")</f>
        <v/>
      </c>
      <c r="BN10" s="63">
        <f>COUNTIF($D10:$BC10,"SWING")</f>
        <v/>
      </c>
      <c r="BO10" s="63">
        <f>COUNTIF($D10:$BC10,"VACATION")</f>
        <v/>
      </c>
      <c r="BP10" s="23">
        <f>SUM(BD10:BO10)</f>
        <v/>
      </c>
      <c r="BQ10" s="63">
        <f>COUNTIF($D10:$BC10,"PALLIATIVE")+COUNTIF($D10:$BC10,"PALLIATIVE *")</f>
        <v/>
      </c>
      <c r="BR10" s="63">
        <f>COUNTIF($D10:$BC10,"GERIATRIC")+COUNTIF($D10:$BC10,"GERIATRIC 2")</f>
        <v/>
      </c>
      <c r="BS10" s="63">
        <f>COUNTIF($D10:$BC10,"GS")+COUNTIF($D10:$BC10,"GI")+COUNTIF($D10:$BC10,"GI *")</f>
        <v/>
      </c>
      <c r="BT10" s="63">
        <f>COUNTIF($D10:$BC10,"HEM/ONC")+COUNTIF($D10:$BC10,"HEM/ONC *")</f>
        <v/>
      </c>
      <c r="BU10" s="63">
        <f>COUNTIF($D10:$BC10,"PAIN MANAGEMENT")+COUNTIF($D10:$BC10,"PAIN MANAGEMENT *")</f>
        <v/>
      </c>
      <c r="BV10" s="63">
        <f>COUNTIF($D10:$BC10,"RHEUMA")+COUNTIF($D10:$BC10,"RHEUMA *")</f>
        <v/>
      </c>
      <c r="BW10" s="63">
        <f>COUNTIF($D10:$BC10,"ENDO")+COUNTIF($D10:$BC10,"ENDO *")</f>
        <v/>
      </c>
      <c r="BX10" s="63">
        <f>COUNTIF($D10:$BC10,"PLASTIC")+COUNTIF($D10:$BC10,"PLASTIC *")</f>
        <v/>
      </c>
      <c r="BY10" s="63">
        <f>COUNTIF($D10:$BC10,"PULM")+COUNTIF($D10:$BC10,"PULM *")</f>
        <v/>
      </c>
      <c r="BZ10" s="63">
        <f>COUNTIF($D10:$BC10,"SICU")+COUNTIF($D10:$BC10,"SICU *")</f>
        <v/>
      </c>
      <c r="CA10" s="63">
        <f>COUNTIF($D10:$BC10,"DERMATOLOGY")+COUNTIF($D10:$BC10,"DERMATOLOGY *")</f>
        <v/>
      </c>
      <c r="CB10" s="86">
        <f>COUNTIF($D10:$BC10,"NEPHRO")+COUNTIF($D10:$BC10,"NEPHRO *")</f>
        <v/>
      </c>
      <c r="CC10" s="59">
        <f>SUM(BQ10:CB10)</f>
        <v/>
      </c>
      <c r="CD10" s="57">
        <f>BP10+CC10</f>
        <v/>
      </c>
    </row>
    <row r="11" ht="39" customHeight="1">
      <c r="A11" s="166" t="n"/>
      <c r="B11" s="167" t="n"/>
      <c r="C11" s="67" t="inlineStr">
        <is>
          <t>J. Garcia-Blaya</t>
        </is>
      </c>
      <c r="D11" s="80" t="inlineStr">
        <is>
          <t>CLINIC *</t>
        </is>
      </c>
      <c r="E11" s="75" t="inlineStr">
        <is>
          <t>CLINIC *</t>
        </is>
      </c>
      <c r="F11" s="75" t="inlineStr">
        <is>
          <t>CLINIC *</t>
        </is>
      </c>
      <c r="G11" s="75" t="inlineStr">
        <is>
          <t>CLINIC *</t>
        </is>
      </c>
      <c r="H11" s="75" t="inlineStr">
        <is>
          <t>CLINIC *</t>
        </is>
      </c>
      <c r="I11" s="80" t="inlineStr">
        <is>
          <t>CLINIC *</t>
        </is>
      </c>
      <c r="J11" s="75" t="inlineStr">
        <is>
          <t>CLINIC *</t>
        </is>
      </c>
      <c r="K11" s="75" t="inlineStr">
        <is>
          <t>CLINIC *</t>
        </is>
      </c>
      <c r="L11" s="75" t="inlineStr">
        <is>
          <t>CLINIC *</t>
        </is>
      </c>
      <c r="M11" s="76" t="inlineStr">
        <is>
          <t>CLINIC *</t>
        </is>
      </c>
      <c r="N11" s="80" t="inlineStr">
        <is>
          <t>CLINIC *</t>
        </is>
      </c>
      <c r="O11" s="75" t="inlineStr">
        <is>
          <t>CLINIC *</t>
        </is>
      </c>
      <c r="P11" s="75" t="inlineStr">
        <is>
          <t>CLINIC *</t>
        </is>
      </c>
      <c r="Q11" s="80" t="inlineStr">
        <is>
          <t>CLINIC *</t>
        </is>
      </c>
      <c r="R11" s="76" t="inlineStr">
        <is>
          <t>CLINIC *</t>
        </is>
      </c>
      <c r="S11" s="80" t="inlineStr">
        <is>
          <t>CLINIC *</t>
        </is>
      </c>
      <c r="T11" s="75" t="inlineStr">
        <is>
          <t>B</t>
        </is>
      </c>
      <c r="U11" s="80" t="inlineStr">
        <is>
          <t>VACATION</t>
        </is>
      </c>
      <c r="V11" s="85" t="inlineStr">
        <is>
          <t>VACATION</t>
        </is>
      </c>
      <c r="W11" s="75" t="inlineStr">
        <is>
          <t>VACATION</t>
        </is>
      </c>
      <c r="X11" s="80" t="inlineStr">
        <is>
          <t>CLINIC</t>
        </is>
      </c>
      <c r="Y11" s="75" t="inlineStr">
        <is>
          <t>CLINIC</t>
        </is>
      </c>
      <c r="Z11" s="76" t="inlineStr">
        <is>
          <t>CLINIC</t>
        </is>
      </c>
      <c r="AA11" s="76" t="inlineStr">
        <is>
          <t>C</t>
        </is>
      </c>
      <c r="AB11" s="85" t="inlineStr">
        <is>
          <t>C</t>
        </is>
      </c>
      <c r="AC11" s="75" t="inlineStr">
        <is>
          <t>C</t>
        </is>
      </c>
      <c r="AD11" s="89" t="inlineStr">
        <is>
          <t>C</t>
        </is>
      </c>
      <c r="AE11" s="80" t="inlineStr">
        <is>
          <t>CLINIC *</t>
        </is>
      </c>
      <c r="AF11" s="75" t="inlineStr">
        <is>
          <t>ICU N</t>
        </is>
      </c>
      <c r="AG11" s="85" t="inlineStr">
        <is>
          <t>ICU N</t>
        </is>
      </c>
      <c r="AH11" s="75" t="inlineStr">
        <is>
          <t>ICU N</t>
        </is>
      </c>
      <c r="AI11" s="75" t="inlineStr">
        <is>
          <t>ICU N</t>
        </is>
      </c>
      <c r="AJ11" s="80" t="inlineStr">
        <is>
          <t>CLINIC *</t>
        </is>
      </c>
      <c r="AK11" s="85" t="inlineStr">
        <is>
          <t>B</t>
        </is>
      </c>
      <c r="AL11" s="85" t="inlineStr">
        <is>
          <t>B</t>
        </is>
      </c>
      <c r="AM11" s="75" t="inlineStr">
        <is>
          <t>B</t>
        </is>
      </c>
      <c r="AN11" s="75" t="inlineStr">
        <is>
          <t>B</t>
        </is>
      </c>
      <c r="AO11" s="75" t="inlineStr">
        <is>
          <t>CLINIC *</t>
        </is>
      </c>
      <c r="AP11" s="75" t="inlineStr">
        <is>
          <t>CLINIC *</t>
        </is>
      </c>
      <c r="AQ11" s="78" t="inlineStr">
        <is>
          <t>B</t>
        </is>
      </c>
      <c r="AR11" s="99" t="inlineStr">
        <is>
          <t>B</t>
        </is>
      </c>
      <c r="AS11" s="80" t="inlineStr">
        <is>
          <t>B</t>
        </is>
      </c>
      <c r="AT11" s="80" t="inlineStr">
        <is>
          <t>CLINIC *</t>
        </is>
      </c>
      <c r="AU11" s="75" t="inlineStr">
        <is>
          <t>C</t>
        </is>
      </c>
      <c r="AV11" s="80" t="inlineStr">
        <is>
          <t>NF</t>
        </is>
      </c>
      <c r="AW11" s="75" t="inlineStr">
        <is>
          <t>NF</t>
        </is>
      </c>
      <c r="AX11" s="99" t="inlineStr">
        <is>
          <t>CLINIC *</t>
        </is>
      </c>
      <c r="AY11" s="80" t="inlineStr">
        <is>
          <t>CLINIC *</t>
        </is>
      </c>
      <c r="AZ11" s="78" t="inlineStr">
        <is>
          <t>VACATION</t>
        </is>
      </c>
      <c r="BA11" s="75" t="inlineStr">
        <is>
          <t>C</t>
        </is>
      </c>
      <c r="BB11" s="80" t="inlineStr">
        <is>
          <t>CLINIC *</t>
        </is>
      </c>
      <c r="BC11" s="85" t="inlineStr">
        <is>
          <t>CLINIC *</t>
        </is>
      </c>
      <c r="BD11" s="63">
        <f>COUNTIF($D11:$BC11,"CARDIO")+COUNTIF($D11:$BC11,"CARDIO E")+COUNTIF($D11:$BC11,"CARDIO E *")+COUNTIF($D11:$BC11,"CARDIO-HCA")+COUNTIF($D11:$BC11,"CARDIO-HCA *")+COUNTIF($D11:$BC11,"CARDIO-RAM")+COUNTIF($D11:$BC11,"CARDIO-RAM *")</f>
        <v/>
      </c>
      <c r="BE11" s="63">
        <f>COUNTIF($D11:$BC11,"CLINIC")+COUNTIF($D11:$BC11,"CLINIC *")+COUNTIF($D11:$BC11,"URGENT CARE")+COUNTIF($D11:$BC11,"URGENT CARE *")</f>
        <v/>
      </c>
      <c r="BF11" s="63">
        <f>COUNTIF($D11:$BC11,"ED")</f>
        <v/>
      </c>
      <c r="BG11" s="63">
        <f>COUNTIF($D11:$BC11,"A")+COUNTIF($D11:$BC11,"B")+COUNTIF($D11:$BC11,"C")+COUNTIF($D11:$BC11,"D")+COUNTIF($D11:$BC11,"G")</f>
        <v/>
      </c>
      <c r="BH11" s="63">
        <f>COUNTIF($D11:$BC11,"ICU")</f>
        <v/>
      </c>
      <c r="BI11" s="63">
        <f>COUNTIF($D11:$BC11,"ICU E")</f>
        <v/>
      </c>
      <c r="BJ11" s="63">
        <f>COUNTIF($D11:$BC11,"ICU N")</f>
        <v/>
      </c>
      <c r="BK11" s="63">
        <f>COUNTIF($D11:$BC11,"ID")+COUNTIF($D11:$BC11,"ID *")</f>
        <v/>
      </c>
      <c r="BL11" s="63">
        <f>COUNTIF($D11:$BC11,"NEURO")+COUNTIF($D11:$BC11,"NEURO *")</f>
        <v/>
      </c>
      <c r="BM11" s="63">
        <f>COUNTIF($D11:$BC11,"NF")</f>
        <v/>
      </c>
      <c r="BN11" s="63">
        <f>COUNTIF($D11:$BC11,"SWING")</f>
        <v/>
      </c>
      <c r="BO11" s="63">
        <f>COUNTIF($D11:$BC11,"VACATION")</f>
        <v/>
      </c>
      <c r="BP11" s="23">
        <f>SUM(BD11:BO11)</f>
        <v/>
      </c>
      <c r="BQ11" s="63">
        <f>COUNTIF($D11:$BC11,"PALLIATIVE")+COUNTIF($D11:$BC11,"PALLIATIVE *")</f>
        <v/>
      </c>
      <c r="BR11" s="63">
        <f>COUNTIF($D11:$BC11,"GERIATRIC")+COUNTIF($D11:$BC11,"GERIATRIC 2")</f>
        <v/>
      </c>
      <c r="BS11" s="63">
        <f>COUNTIF($D11:$BC11,"GS")+COUNTIF($D11:$BC11,"GI")+COUNTIF($D11:$BC11,"GI *")</f>
        <v/>
      </c>
      <c r="BT11" s="63">
        <f>COUNTIF($D11:$BC11,"HEM/ONC")+COUNTIF($D11:$BC11,"HEM/ONC *")</f>
        <v/>
      </c>
      <c r="BU11" s="63">
        <f>COUNTIF($D11:$BC11,"PAIN MANAGEMENT")+COUNTIF($D11:$BC11,"PAIN MANAGEMENT *")</f>
        <v/>
      </c>
      <c r="BV11" s="63">
        <f>COUNTIF($D11:$BC11,"RHEUMA")+COUNTIF($D11:$BC11,"RHEUMA *")</f>
        <v/>
      </c>
      <c r="BW11" s="63">
        <f>COUNTIF($D11:$BC11,"ENDO")+COUNTIF($D11:$BC11,"ENDO *")</f>
        <v/>
      </c>
      <c r="BX11" s="63">
        <f>COUNTIF($D11:$BC11,"PLASTIC")+COUNTIF($D11:$BC11,"PLASTIC *")</f>
        <v/>
      </c>
      <c r="BY11" s="63">
        <f>COUNTIF($D11:$BC11,"PULM")+COUNTIF($D11:$BC11,"PULM *")</f>
        <v/>
      </c>
      <c r="BZ11" s="63">
        <f>COUNTIF($D11:$BC11,"SICU")+COUNTIF($D11:$BC11,"SICU *")</f>
        <v/>
      </c>
      <c r="CA11" s="63">
        <f>COUNTIF($D11:$BC11,"DERMATOLOGY")+COUNTIF($D11:$BC11,"DERMATOLOGY *")</f>
        <v/>
      </c>
      <c r="CB11" s="86">
        <f>COUNTIF($D11:$BC11,"NEPHRO")+COUNTIF($D11:$BC11,"NEPHRO *")</f>
        <v/>
      </c>
      <c r="CC11" s="59">
        <f>SUM(BQ11:CB11)</f>
        <v/>
      </c>
      <c r="CD11" s="57">
        <f>BP11+CC11</f>
        <v/>
      </c>
    </row>
    <row r="12" ht="39" customHeight="1">
      <c r="A12" s="121" t="inlineStr">
        <is>
          <t>Cohort 2</t>
        </is>
      </c>
      <c r="B12" s="111" t="inlineStr">
        <is>
          <t>PGY-1</t>
        </is>
      </c>
      <c r="C12" s="66" t="inlineStr">
        <is>
          <t>J. Jhooty</t>
        </is>
      </c>
      <c r="D12" s="75" t="inlineStr">
        <is>
          <t>CLINIC *</t>
        </is>
      </c>
      <c r="E12" s="80" t="inlineStr">
        <is>
          <t>CLINIC *</t>
        </is>
      </c>
      <c r="F12" s="75" t="inlineStr">
        <is>
          <t>A</t>
        </is>
      </c>
      <c r="G12" s="75" t="inlineStr">
        <is>
          <t>A</t>
        </is>
      </c>
      <c r="H12" s="75" t="inlineStr">
        <is>
          <t>A</t>
        </is>
      </c>
      <c r="I12" s="75" t="inlineStr">
        <is>
          <t>A</t>
        </is>
      </c>
      <c r="J12" s="80" t="inlineStr">
        <is>
          <t>CLINIC *</t>
        </is>
      </c>
      <c r="K12" s="75" t="inlineStr">
        <is>
          <t>ICU E</t>
        </is>
      </c>
      <c r="L12" s="76" t="inlineStr">
        <is>
          <t>ICU E</t>
        </is>
      </c>
      <c r="M12" s="80" t="inlineStr">
        <is>
          <t>ID</t>
        </is>
      </c>
      <c r="N12" s="75" t="inlineStr">
        <is>
          <t>ID</t>
        </is>
      </c>
      <c r="O12" s="80" t="inlineStr">
        <is>
          <t>CLINIC *</t>
        </is>
      </c>
      <c r="P12" s="75" t="inlineStr">
        <is>
          <t>ICU</t>
        </is>
      </c>
      <c r="Q12" s="75" t="inlineStr">
        <is>
          <t>ICU</t>
        </is>
      </c>
      <c r="R12" s="75" t="inlineStr">
        <is>
          <t>ICU</t>
        </is>
      </c>
      <c r="S12" s="75" t="inlineStr">
        <is>
          <t>ICU</t>
        </is>
      </c>
      <c r="T12" s="80" t="inlineStr">
        <is>
          <t>CLINIC *</t>
        </is>
      </c>
      <c r="U12" s="75" t="inlineStr">
        <is>
          <t>VACATION</t>
        </is>
      </c>
      <c r="V12" s="75" t="inlineStr">
        <is>
          <t>VACATION</t>
        </is>
      </c>
      <c r="W12" s="75" t="inlineStr">
        <is>
          <t>VACATION</t>
        </is>
      </c>
      <c r="X12" s="75" t="inlineStr">
        <is>
          <t>CLINIC *</t>
        </is>
      </c>
      <c r="Y12" s="80" t="inlineStr">
        <is>
          <t>CLINIC *</t>
        </is>
      </c>
      <c r="Z12" s="75" t="inlineStr">
        <is>
          <t>SWING</t>
        </is>
      </c>
      <c r="AA12" s="75" t="inlineStr">
        <is>
          <t>SWING</t>
        </is>
      </c>
      <c r="AB12" s="75" t="inlineStr">
        <is>
          <t>SWING</t>
        </is>
      </c>
      <c r="AC12" s="75" t="inlineStr">
        <is>
          <t>SWING</t>
        </is>
      </c>
      <c r="AD12" s="89" t="inlineStr">
        <is>
          <t>CARDIO</t>
        </is>
      </c>
      <c r="AE12" s="80" t="inlineStr">
        <is>
          <t>CARDIO</t>
        </is>
      </c>
      <c r="AF12" s="80" t="inlineStr">
        <is>
          <t>CLINIC *</t>
        </is>
      </c>
      <c r="AG12" s="75" t="inlineStr">
        <is>
          <t>B</t>
        </is>
      </c>
      <c r="AH12" s="75" t="inlineStr">
        <is>
          <t>B</t>
        </is>
      </c>
      <c r="AI12" s="85" t="inlineStr">
        <is>
          <t>B</t>
        </is>
      </c>
      <c r="AJ12" s="85" t="inlineStr">
        <is>
          <t>CLINIC</t>
        </is>
      </c>
      <c r="AK12" s="80" t="inlineStr">
        <is>
          <t>CLINIC</t>
        </is>
      </c>
      <c r="AL12" s="75" t="inlineStr">
        <is>
          <t>ICU N</t>
        </is>
      </c>
      <c r="AM12" s="75" t="inlineStr">
        <is>
          <t>ICU N</t>
        </is>
      </c>
      <c r="AN12" s="75" t="inlineStr">
        <is>
          <t>D</t>
        </is>
      </c>
      <c r="AO12" s="75" t="inlineStr">
        <is>
          <t>D</t>
        </is>
      </c>
      <c r="AP12" s="80" t="inlineStr">
        <is>
          <t>CLINIC *</t>
        </is>
      </c>
      <c r="AQ12" s="75" t="inlineStr">
        <is>
          <t>NF</t>
        </is>
      </c>
      <c r="AR12" s="78" t="inlineStr">
        <is>
          <t>NF</t>
        </is>
      </c>
      <c r="AS12" s="78" t="inlineStr">
        <is>
          <t>NF</t>
        </is>
      </c>
      <c r="AT12" s="78" t="inlineStr">
        <is>
          <t>NF</t>
        </is>
      </c>
      <c r="AU12" s="80" t="inlineStr">
        <is>
          <t>CLINIC</t>
        </is>
      </c>
      <c r="AV12" s="75" t="inlineStr">
        <is>
          <t>CLINIC</t>
        </is>
      </c>
      <c r="AW12" s="75" t="inlineStr">
        <is>
          <t>VACATION</t>
        </is>
      </c>
      <c r="AX12" s="75" t="inlineStr">
        <is>
          <t>ED</t>
        </is>
      </c>
      <c r="AY12" s="75" t="inlineStr">
        <is>
          <t>ED</t>
        </is>
      </c>
      <c r="AZ12" s="80" t="inlineStr">
        <is>
          <t>CLINIC *</t>
        </is>
      </c>
      <c r="BA12" s="75" t="inlineStr">
        <is>
          <t>D</t>
        </is>
      </c>
      <c r="BB12" s="75" t="inlineStr">
        <is>
          <t>D</t>
        </is>
      </c>
      <c r="BC12" s="75" t="inlineStr">
        <is>
          <t>D</t>
        </is>
      </c>
      <c r="BD12" s="63">
        <f>COUNTIF($D12:$BC12,"CARDIO")+COUNTIF($D12:$BC12,"CARDIO E")+COUNTIF($D12:$BC12,"CARDIO E *")+COUNTIF($D12:$BC12,"CARDIO-HCA")+COUNTIF($D12:$BC12,"CARDIO-HCA *")+COUNTIF($D12:$BC12,"CARDIO-RAM")+COUNTIF($D12:$BC12,"CARDIO-RAM *")</f>
        <v/>
      </c>
      <c r="BE12" s="63">
        <f>COUNTIF($D12:$BC12,"CLINIC")+COUNTIF($D12:$BC12,"CLINIC *")+COUNTIF($D12:$BC12,"URGENT CARE")+COUNTIF($D12:$BC12,"URGENT CARE *")</f>
        <v/>
      </c>
      <c r="BF12" s="63">
        <f>COUNTIF($D12:$BC12,"ED")</f>
        <v/>
      </c>
      <c r="BG12" s="63">
        <f>COUNTIF($D12:$BC12,"A")+COUNTIF($D12:$BC12,"B")+COUNTIF($D12:$BC12,"C")+COUNTIF($D12:$BC12,"D")+COUNTIF($D12:$BC12,"G")</f>
        <v/>
      </c>
      <c r="BH12" s="63">
        <f>COUNTIF($D12:$BC12,"ICU")</f>
        <v/>
      </c>
      <c r="BI12" s="63">
        <f>COUNTIF($D12:$BC12,"ICU E")</f>
        <v/>
      </c>
      <c r="BJ12" s="63">
        <f>COUNTIF($D12:$BC12,"ICU N")</f>
        <v/>
      </c>
      <c r="BK12" s="63">
        <f>COUNTIF($D12:$BC12,"ID")+COUNTIF($D12:$BC12,"ID *")</f>
        <v/>
      </c>
      <c r="BL12" s="63">
        <f>COUNTIF($D12:$BC12,"NEURO")+COUNTIF($D12:$BC12,"NEURO *")</f>
        <v/>
      </c>
      <c r="BM12" s="63">
        <f>COUNTIF($D12:$BC12,"NF")</f>
        <v/>
      </c>
      <c r="BN12" s="63">
        <f>COUNTIF($D12:$BC12,"SWING")</f>
        <v/>
      </c>
      <c r="BO12" s="63">
        <f>COUNTIF($D12:$BC12,"VACATION")</f>
        <v/>
      </c>
      <c r="BP12" s="23">
        <f>SUM(BD12:BO12)</f>
        <v/>
      </c>
      <c r="BQ12" s="63">
        <f>COUNTIF($D12:$BC12,"PALLIATIVE")+COUNTIF($D12:$BC12,"PALLIATIVE *")</f>
        <v/>
      </c>
      <c r="BR12" s="63">
        <f>COUNTIF($D12:$BC12,"GERIATRIC")+COUNTIF($D12:$BC12,"GERIATRIC 2")</f>
        <v/>
      </c>
      <c r="BS12" s="63">
        <f>COUNTIF($D12:$BC12,"GS")+COUNTIF($D12:$BC12,"GI")+COUNTIF($D12:$BC12,"GI *")</f>
        <v/>
      </c>
      <c r="BT12" s="63">
        <f>COUNTIF($D12:$BC12,"HEM/ONC")+COUNTIF($D12:$BC12,"HEM/ONC *")</f>
        <v/>
      </c>
      <c r="BU12" s="63">
        <f>COUNTIF($D12:$BC12,"PAIN MANAGEMENT")+COUNTIF($D12:$BC12,"PAIN MANAGEMENT *")</f>
        <v/>
      </c>
      <c r="BV12" s="63">
        <f>COUNTIF($D12:$BC12,"RHEUMA")+COUNTIF($D12:$BC12,"RHEUMA *")</f>
        <v/>
      </c>
      <c r="BW12" s="63">
        <f>COUNTIF($D12:$BC12,"ENDO")+COUNTIF($D12:$BC12,"ENDO *")</f>
        <v/>
      </c>
      <c r="BX12" s="63">
        <f>COUNTIF($D12:$BC12,"PLASTIC")+COUNTIF($D12:$BC12,"PLASTIC *")</f>
        <v/>
      </c>
      <c r="BY12" s="63">
        <f>COUNTIF($D12:$BC12,"PULM")+COUNTIF($D12:$BC12,"PULM *")</f>
        <v/>
      </c>
      <c r="BZ12" s="63">
        <f>COUNTIF($D12:$BC12,"SICU")+COUNTIF($D12:$BC12,"SICU *")</f>
        <v/>
      </c>
      <c r="CA12" s="63">
        <f>COUNTIF($D12:$BC12,"DERMATOLOGY")+COUNTIF($D12:$BC12,"DERMATOLOGY *")</f>
        <v/>
      </c>
      <c r="CB12" s="86">
        <f>COUNTIF($D12:$BC12,"NEPHRO")+COUNTIF($D12:$BC12,"NEPHRO *")</f>
        <v/>
      </c>
      <c r="CC12" s="59">
        <f>SUM(BQ12:CB12)</f>
        <v/>
      </c>
      <c r="CD12" s="57">
        <f>BP12+CC12</f>
        <v/>
      </c>
    </row>
    <row r="13" ht="39" customHeight="1">
      <c r="A13" s="163" t="n"/>
      <c r="B13" s="164" t="n"/>
      <c r="C13" s="66" t="inlineStr">
        <is>
          <t>M. Artavia</t>
        </is>
      </c>
      <c r="D13" s="75" t="inlineStr">
        <is>
          <t>ICU N</t>
        </is>
      </c>
      <c r="E13" s="80" t="inlineStr">
        <is>
          <t>CLINIC *</t>
        </is>
      </c>
      <c r="F13" s="75" t="inlineStr">
        <is>
          <t>CLINIC *</t>
        </is>
      </c>
      <c r="G13" s="75" t="inlineStr">
        <is>
          <t>NF</t>
        </is>
      </c>
      <c r="H13" s="75" t="inlineStr">
        <is>
          <t>CARDIO-HCA</t>
        </is>
      </c>
      <c r="I13" s="75" t="inlineStr">
        <is>
          <t>CARDIO</t>
        </is>
      </c>
      <c r="J13" s="80" t="inlineStr">
        <is>
          <t>CLINIC *</t>
        </is>
      </c>
      <c r="K13" s="85" t="inlineStr">
        <is>
          <t>ICU N</t>
        </is>
      </c>
      <c r="L13" s="76" t="inlineStr">
        <is>
          <t>ICU N</t>
        </is>
      </c>
      <c r="M13" s="76" t="inlineStr">
        <is>
          <t>VACATION</t>
        </is>
      </c>
      <c r="N13" s="85" t="inlineStr">
        <is>
          <t>D</t>
        </is>
      </c>
      <c r="O13" s="80" t="inlineStr">
        <is>
          <t>CLINIC *</t>
        </is>
      </c>
      <c r="P13" s="75" t="inlineStr">
        <is>
          <t>D</t>
        </is>
      </c>
      <c r="Q13" s="75" t="inlineStr">
        <is>
          <t>D</t>
        </is>
      </c>
      <c r="R13" s="75" t="inlineStr">
        <is>
          <t>D</t>
        </is>
      </c>
      <c r="S13" s="75" t="inlineStr">
        <is>
          <t>D</t>
        </is>
      </c>
      <c r="T13" s="80" t="inlineStr">
        <is>
          <t>CLINIC *</t>
        </is>
      </c>
      <c r="U13" s="75" t="inlineStr">
        <is>
          <t>B</t>
        </is>
      </c>
      <c r="V13" s="75" t="inlineStr">
        <is>
          <t>B</t>
        </is>
      </c>
      <c r="W13" s="75" t="inlineStr">
        <is>
          <t>ICU E</t>
        </is>
      </c>
      <c r="X13" s="75" t="inlineStr">
        <is>
          <t>ICU E</t>
        </is>
      </c>
      <c r="Y13" s="80" t="inlineStr">
        <is>
          <t>CLINIC</t>
        </is>
      </c>
      <c r="Z13" s="75" t="inlineStr">
        <is>
          <t>CLINIC</t>
        </is>
      </c>
      <c r="AA13" s="75" t="inlineStr">
        <is>
          <t>B</t>
        </is>
      </c>
      <c r="AB13" s="75" t="inlineStr">
        <is>
          <t>B</t>
        </is>
      </c>
      <c r="AC13" s="75" t="inlineStr">
        <is>
          <t>D</t>
        </is>
      </c>
      <c r="AD13" s="89" t="inlineStr">
        <is>
          <t>D</t>
        </is>
      </c>
      <c r="AE13" s="75" t="inlineStr">
        <is>
          <t>D</t>
        </is>
      </c>
      <c r="AF13" s="80" t="inlineStr">
        <is>
          <t>CLINIC *</t>
        </is>
      </c>
      <c r="AG13" s="75" t="inlineStr">
        <is>
          <t>VACATION</t>
        </is>
      </c>
      <c r="AH13" s="75" t="inlineStr">
        <is>
          <t>VACATION</t>
        </is>
      </c>
      <c r="AI13" s="75" t="inlineStr">
        <is>
          <t>VACATION</t>
        </is>
      </c>
      <c r="AJ13" s="75" t="inlineStr">
        <is>
          <t>ICU N</t>
        </is>
      </c>
      <c r="AK13" s="80" t="inlineStr">
        <is>
          <t>CLINIC *</t>
        </is>
      </c>
      <c r="AL13" s="75" t="inlineStr">
        <is>
          <t>A</t>
        </is>
      </c>
      <c r="AM13" s="75" t="inlineStr">
        <is>
          <t>A</t>
        </is>
      </c>
      <c r="AN13" s="75" t="inlineStr">
        <is>
          <t>A</t>
        </is>
      </c>
      <c r="AO13" s="75" t="inlineStr">
        <is>
          <t>CLINIC</t>
        </is>
      </c>
      <c r="AP13" s="80" t="inlineStr">
        <is>
          <t>CLINIC</t>
        </is>
      </c>
      <c r="AQ13" s="75" t="inlineStr">
        <is>
          <t>B</t>
        </is>
      </c>
      <c r="AR13" s="78" t="inlineStr">
        <is>
          <t>B</t>
        </is>
      </c>
      <c r="AS13" s="78" t="inlineStr">
        <is>
          <t>B</t>
        </is>
      </c>
      <c r="AT13" s="78" t="inlineStr">
        <is>
          <t>CLINIC</t>
        </is>
      </c>
      <c r="AU13" s="80" t="inlineStr">
        <is>
          <t>CLINIC</t>
        </is>
      </c>
      <c r="AV13" s="75" t="inlineStr">
        <is>
          <t>ICU E</t>
        </is>
      </c>
      <c r="AW13" s="80" t="inlineStr">
        <is>
          <t>ICU E</t>
        </is>
      </c>
      <c r="AX13" s="85" t="inlineStr">
        <is>
          <t>ID</t>
        </is>
      </c>
      <c r="AY13" s="75" t="inlineStr">
        <is>
          <t>ID</t>
        </is>
      </c>
      <c r="AZ13" s="80" t="inlineStr">
        <is>
          <t>CLINIC *</t>
        </is>
      </c>
      <c r="BA13" s="75" t="inlineStr">
        <is>
          <t>ED</t>
        </is>
      </c>
      <c r="BB13" s="80" t="inlineStr">
        <is>
          <t>ED</t>
        </is>
      </c>
      <c r="BC13" s="75" t="inlineStr">
        <is>
          <t>C</t>
        </is>
      </c>
      <c r="BD13" s="63">
        <f>COUNTIF($D13:$BC13,"CARDIO")+COUNTIF($D13:$BC13,"CARDIO E")+COUNTIF($D13:$BC13,"CARDIO E *")+COUNTIF($D13:$BC13,"CARDIO-HCA")+COUNTIF($D13:$BC13,"CARDIO-HCA *")+COUNTIF($D13:$BC13,"CARDIO-RAM")+COUNTIF($D13:$BC13,"CARDIO-RAM *")</f>
        <v/>
      </c>
      <c r="BE13" s="63">
        <f>COUNTIF($D13:$BC13,"CLINIC")+COUNTIF($D13:$BC13,"CLINIC *")+COUNTIF($D13:$BC13,"URGENT CARE")+COUNTIF($D13:$BC13,"URGENT CARE *")</f>
        <v/>
      </c>
      <c r="BF13" s="63">
        <f>COUNTIF($D13:$BC13,"ED")</f>
        <v/>
      </c>
      <c r="BG13" s="63">
        <f>COUNTIF($D13:$BC13,"A")+COUNTIF($D13:$BC13,"B")+COUNTIF($D13:$BC13,"C")+COUNTIF($D13:$BC13,"D")+COUNTIF($D13:$BC13,"G")</f>
        <v/>
      </c>
      <c r="BH13" s="63">
        <f>COUNTIF($D13:$BC13,"ICU")</f>
        <v/>
      </c>
      <c r="BI13" s="63">
        <f>COUNTIF($D13:$BC13,"ICU E")</f>
        <v/>
      </c>
      <c r="BJ13" s="63">
        <f>COUNTIF($D13:$BC13,"ICU N")</f>
        <v/>
      </c>
      <c r="BK13" s="63">
        <f>COUNTIF($D13:$BC13,"ID")+COUNTIF($D13:$BC13,"ID *")</f>
        <v/>
      </c>
      <c r="BL13" s="63">
        <f>COUNTIF($D13:$BC13,"NEURO")+COUNTIF($D13:$BC13,"NEURO *")</f>
        <v/>
      </c>
      <c r="BM13" s="63">
        <f>COUNTIF($D13:$BC13,"NF")</f>
        <v/>
      </c>
      <c r="BN13" s="63">
        <f>COUNTIF($D13:$BC13,"SWING")</f>
        <v/>
      </c>
      <c r="BO13" s="63">
        <f>COUNTIF($D13:$BC13,"VACATION")</f>
        <v/>
      </c>
      <c r="BP13" s="23">
        <f>SUM(BD13:BO13)</f>
        <v/>
      </c>
      <c r="BQ13" s="63">
        <f>COUNTIF($D13:$BC13,"PALLIATIVE")+COUNTIF($D13:$BC13,"PALLIATIVE *")</f>
        <v/>
      </c>
      <c r="BR13" s="63">
        <f>COUNTIF($D13:$BC13,"GERIATRIC")+COUNTIF($D13:$BC13,"GERIATRIC 2")</f>
        <v/>
      </c>
      <c r="BS13" s="63">
        <f>COUNTIF($D13:$BC13,"GS")+COUNTIF($D13:$BC13,"GI")+COUNTIF($D13:$BC13,"GI *")</f>
        <v/>
      </c>
      <c r="BT13" s="63">
        <f>COUNTIF($D13:$BC13,"HEM/ONC")+COUNTIF($D13:$BC13,"HEM/ONC *")</f>
        <v/>
      </c>
      <c r="BU13" s="63">
        <f>COUNTIF($D13:$BC13,"PAIN MANAGEMENT")+COUNTIF($D13:$BC13,"PAIN MANAGEMENT *")</f>
        <v/>
      </c>
      <c r="BV13" s="63">
        <f>COUNTIF($D13:$BC13,"RHEUMA")+COUNTIF($D13:$BC13,"RHEUMA *")</f>
        <v/>
      </c>
      <c r="BW13" s="63">
        <f>COUNTIF($D13:$BC13,"ENDO")+COUNTIF($D13:$BC13,"ENDO *")</f>
        <v/>
      </c>
      <c r="BX13" s="63">
        <f>COUNTIF($D13:$BC13,"PLASTIC")+COUNTIF($D13:$BC13,"PLASTIC *")</f>
        <v/>
      </c>
      <c r="BY13" s="63">
        <f>COUNTIF($D13:$BC13,"PULM")+COUNTIF($D13:$BC13,"PULM *")</f>
        <v/>
      </c>
      <c r="BZ13" s="63">
        <f>COUNTIF($D13:$BC13,"SICU")+COUNTIF($D13:$BC13,"SICU *")</f>
        <v/>
      </c>
      <c r="CA13" s="63">
        <f>COUNTIF($D13:$BC13,"DERMATOLOGY")+COUNTIF($D13:$BC13,"DERMATOLOGY *")</f>
        <v/>
      </c>
      <c r="CB13" s="86">
        <f>COUNTIF($D13:$BC13,"NEPHRO")+COUNTIF($D13:$BC13,"NEPHRO *")</f>
        <v/>
      </c>
      <c r="CC13" s="59">
        <f>SUM(BQ13:CB13)</f>
        <v/>
      </c>
      <c r="CD13" s="57">
        <f>BP13+CC13</f>
        <v/>
      </c>
    </row>
    <row r="14" ht="39" customHeight="1">
      <c r="A14" s="163" t="n"/>
      <c r="B14" s="164" t="n"/>
      <c r="C14" s="92" t="inlineStr">
        <is>
          <t>M. Delgadillo</t>
        </is>
      </c>
      <c r="D14" s="75" t="inlineStr">
        <is>
          <t>VACATION</t>
        </is>
      </c>
      <c r="E14" s="80" t="inlineStr">
        <is>
          <t>CLINIC *</t>
        </is>
      </c>
      <c r="F14" s="75" t="inlineStr">
        <is>
          <t>D</t>
        </is>
      </c>
      <c r="G14" s="75" t="inlineStr">
        <is>
          <t>D</t>
        </is>
      </c>
      <c r="H14" s="75" t="inlineStr">
        <is>
          <t>D</t>
        </is>
      </c>
      <c r="I14" s="75" t="inlineStr">
        <is>
          <t>D</t>
        </is>
      </c>
      <c r="J14" s="80" t="inlineStr">
        <is>
          <t>CLINIC *</t>
        </is>
      </c>
      <c r="K14" s="75" t="inlineStr">
        <is>
          <t>ED</t>
        </is>
      </c>
      <c r="L14" s="76" t="inlineStr">
        <is>
          <t>ED</t>
        </is>
      </c>
      <c r="M14" s="75" t="inlineStr">
        <is>
          <t>ICU E</t>
        </is>
      </c>
      <c r="N14" s="76" t="inlineStr">
        <is>
          <t>ICU E</t>
        </is>
      </c>
      <c r="O14" s="80" t="inlineStr">
        <is>
          <t>CLINIC *</t>
        </is>
      </c>
      <c r="P14" s="75" t="inlineStr">
        <is>
          <t>B</t>
        </is>
      </c>
      <c r="Q14" s="75" t="inlineStr">
        <is>
          <t>B</t>
        </is>
      </c>
      <c r="R14" s="80" t="inlineStr">
        <is>
          <t>B</t>
        </is>
      </c>
      <c r="S14" s="75" t="inlineStr">
        <is>
          <t>B</t>
        </is>
      </c>
      <c r="T14" s="80" t="inlineStr">
        <is>
          <t>CLINIC *</t>
        </is>
      </c>
      <c r="U14" s="76" t="inlineStr">
        <is>
          <t>ICU N</t>
        </is>
      </c>
      <c r="V14" s="76" t="inlineStr">
        <is>
          <t>ICU N</t>
        </is>
      </c>
      <c r="W14" s="75" t="inlineStr">
        <is>
          <t>D</t>
        </is>
      </c>
      <c r="X14" s="75" t="inlineStr">
        <is>
          <t>D</t>
        </is>
      </c>
      <c r="Y14" s="80" t="inlineStr">
        <is>
          <t>CLINIC *</t>
        </is>
      </c>
      <c r="Z14" s="75" t="inlineStr">
        <is>
          <t>SWING</t>
        </is>
      </c>
      <c r="AA14" s="75" t="inlineStr">
        <is>
          <t>B</t>
        </is>
      </c>
      <c r="AB14" s="75" t="inlineStr">
        <is>
          <t>B</t>
        </is>
      </c>
      <c r="AC14" s="75" t="inlineStr">
        <is>
          <t>B</t>
        </is>
      </c>
      <c r="AD14" s="89" t="inlineStr">
        <is>
          <t>B</t>
        </is>
      </c>
      <c r="AE14" s="75" t="inlineStr">
        <is>
          <t>CLINIC *</t>
        </is>
      </c>
      <c r="AF14" s="80" t="inlineStr">
        <is>
          <t>CLINIC *</t>
        </is>
      </c>
      <c r="AG14" s="75" t="inlineStr">
        <is>
          <t>ICU</t>
        </is>
      </c>
      <c r="AH14" s="75" t="inlineStr">
        <is>
          <t>ICU</t>
        </is>
      </c>
      <c r="AI14" s="75" t="inlineStr">
        <is>
          <t>ICU</t>
        </is>
      </c>
      <c r="AJ14" s="75" t="inlineStr">
        <is>
          <t>CLINIC *</t>
        </is>
      </c>
      <c r="AK14" s="80" t="inlineStr">
        <is>
          <t>CLINIC *</t>
        </is>
      </c>
      <c r="AL14" s="75" t="inlineStr">
        <is>
          <t>CLINIC *</t>
        </is>
      </c>
      <c r="AM14" s="75" t="inlineStr">
        <is>
          <t>C</t>
        </is>
      </c>
      <c r="AN14" s="78" t="inlineStr">
        <is>
          <t>C</t>
        </is>
      </c>
      <c r="AO14" s="75" t="inlineStr">
        <is>
          <t>C</t>
        </is>
      </c>
      <c r="AP14" s="80" t="inlineStr">
        <is>
          <t>CLINIC</t>
        </is>
      </c>
      <c r="AQ14" s="73" t="inlineStr">
        <is>
          <t>CLINIC</t>
        </is>
      </c>
      <c r="AR14" s="78" t="inlineStr">
        <is>
          <t>CARDIO-HCA</t>
        </is>
      </c>
      <c r="AS14" s="75" t="inlineStr">
        <is>
          <t>CARDIO-HCA</t>
        </is>
      </c>
      <c r="AT14" s="75" t="inlineStr">
        <is>
          <t>ICU E</t>
        </is>
      </c>
      <c r="AU14" s="80" t="inlineStr">
        <is>
          <t>CLINIC *</t>
        </is>
      </c>
      <c r="AV14" s="75" t="inlineStr">
        <is>
          <t>NF</t>
        </is>
      </c>
      <c r="AW14" s="75" t="inlineStr">
        <is>
          <t>NF</t>
        </is>
      </c>
      <c r="AX14" s="80" t="inlineStr">
        <is>
          <t>ID</t>
        </is>
      </c>
      <c r="AY14" s="75" t="inlineStr">
        <is>
          <t>ID</t>
        </is>
      </c>
      <c r="AZ14" s="75" t="inlineStr">
        <is>
          <t>CLINIC *</t>
        </is>
      </c>
      <c r="BA14" s="75" t="inlineStr">
        <is>
          <t>VACATION</t>
        </is>
      </c>
      <c r="BB14" s="75" t="inlineStr">
        <is>
          <t>VACATION</t>
        </is>
      </c>
      <c r="BC14" s="75" t="inlineStr">
        <is>
          <t>VACATION</t>
        </is>
      </c>
      <c r="BD14" s="63">
        <f>COUNTIF($D14:$BC14,"CARDIO")+COUNTIF($D14:$BC14,"CARDIO E")+COUNTIF($D14:$BC14,"CARDIO E *")+COUNTIF($D14:$BC14,"CARDIO-HCA")+COUNTIF($D14:$BC14,"CARDIO-HCA *")+COUNTIF($D14:$BC14,"CARDIO-RAM")+COUNTIF($D14:$BC14,"CARDIO-RAM *")</f>
        <v/>
      </c>
      <c r="BE14" s="63">
        <f>COUNTIF($D14:$BC14,"CLINIC")+COUNTIF($D14:$BC14,"CLINIC *")+COUNTIF($D14:$BC14,"URGENT CARE")+COUNTIF($D14:$BC14,"URGENT CARE *")</f>
        <v/>
      </c>
      <c r="BF14" s="63">
        <f>COUNTIF($D14:$BC14,"ED")</f>
        <v/>
      </c>
      <c r="BG14" s="63">
        <f>COUNTIF($D14:$BC14,"A")+COUNTIF($D14:$BC14,"B")+COUNTIF($D14:$BC14,"C")+COUNTIF($D14:$BC14,"D")+COUNTIF($D14:$BC14,"G")</f>
        <v/>
      </c>
      <c r="BH14" s="63">
        <f>COUNTIF($D14:$BC14,"ICU")</f>
        <v/>
      </c>
      <c r="BI14" s="63">
        <f>COUNTIF($D14:$BC14,"ICU E")</f>
        <v/>
      </c>
      <c r="BJ14" s="63">
        <f>COUNTIF($D14:$BC14,"ICU N")</f>
        <v/>
      </c>
      <c r="BK14" s="63">
        <f>COUNTIF($D14:$BC14,"ID")+COUNTIF($D14:$BC14,"ID *")</f>
        <v/>
      </c>
      <c r="BL14" s="63">
        <f>COUNTIF($D14:$BC14,"NEURO")+COUNTIF($D14:$BC14,"NEURO *")</f>
        <v/>
      </c>
      <c r="BM14" s="63">
        <f>COUNTIF($D14:$BC14,"NF")</f>
        <v/>
      </c>
      <c r="BN14" s="63">
        <f>COUNTIF($D14:$BC14,"SWING")</f>
        <v/>
      </c>
      <c r="BO14" s="63">
        <f>COUNTIF($D14:$BC14,"VACATION")</f>
        <v/>
      </c>
      <c r="BP14" s="23">
        <f>SUM(BD14:BO14)</f>
        <v/>
      </c>
      <c r="BQ14" s="63">
        <f>COUNTIF($D14:$BC14,"PALLIATIVE")+COUNTIF($D14:$BC14,"PALLIATIVE *")</f>
        <v/>
      </c>
      <c r="BR14" s="63">
        <f>COUNTIF($D14:$BC14,"GERIATRIC")+COUNTIF($D14:$BC14,"GERIATRIC 2")</f>
        <v/>
      </c>
      <c r="BS14" s="63">
        <f>COUNTIF($D14:$BC14,"GS")+COUNTIF($D14:$BC14,"GI")+COUNTIF($D14:$BC14,"GI *")</f>
        <v/>
      </c>
      <c r="BT14" s="63">
        <f>COUNTIF($D14:$BC14,"HEM/ONC")+COUNTIF($D14:$BC14,"HEM/ONC *")</f>
        <v/>
      </c>
      <c r="BU14" s="63">
        <f>COUNTIF($D14:$BC14,"PAIN MANAGEMENT")+COUNTIF($D14:$BC14,"PAIN MANAGEMENT *")</f>
        <v/>
      </c>
      <c r="BV14" s="63">
        <f>COUNTIF($D14:$BC14,"RHEUMA")+COUNTIF($D14:$BC14,"RHEUMA *")</f>
        <v/>
      </c>
      <c r="BW14" s="63">
        <f>COUNTIF($D14:$BC14,"ENDO")+COUNTIF($D14:$BC14,"ENDO *")</f>
        <v/>
      </c>
      <c r="BX14" s="63">
        <f>COUNTIF($D14:$BC14,"PLASTIC")+COUNTIF($D14:$BC14,"PLASTIC *")</f>
        <v/>
      </c>
      <c r="BY14" s="63">
        <f>COUNTIF($D14:$BC14,"PULM")+COUNTIF($D14:$BC14,"PULM *")</f>
        <v/>
      </c>
      <c r="BZ14" s="63">
        <f>COUNTIF($D14:$BC14,"SICU")+COUNTIF($D14:$BC14,"SICU *")</f>
        <v/>
      </c>
      <c r="CA14" s="63">
        <f>COUNTIF($D14:$BC14,"DERMATOLOGY")+COUNTIF($D14:$BC14,"DERMATOLOGY *")</f>
        <v/>
      </c>
      <c r="CB14" s="86">
        <f>COUNTIF($D14:$BC14,"NEPHRO")+COUNTIF($D14:$BC14,"NEPHRO *")</f>
        <v/>
      </c>
      <c r="CC14" s="59">
        <f>SUM(BQ14:CB14)</f>
        <v/>
      </c>
      <c r="CD14" s="57">
        <f>BP14+CC14</f>
        <v/>
      </c>
    </row>
    <row r="15" ht="39" customHeight="1">
      <c r="A15" s="163" t="n"/>
      <c r="B15" s="167" t="n"/>
      <c r="C15" s="66" t="inlineStr">
        <is>
          <t>K. Gonzalez</t>
        </is>
      </c>
      <c r="D15" s="75" t="inlineStr">
        <is>
          <t>CLINIC *</t>
        </is>
      </c>
      <c r="E15" s="80" t="inlineStr">
        <is>
          <t>CLINIC *</t>
        </is>
      </c>
      <c r="F15" s="75" t="inlineStr">
        <is>
          <t>VACATION</t>
        </is>
      </c>
      <c r="G15" s="75" t="inlineStr">
        <is>
          <t>VACATION</t>
        </is>
      </c>
      <c r="H15" s="75" t="inlineStr">
        <is>
          <t>VACATION</t>
        </is>
      </c>
      <c r="I15" s="75" t="inlineStr">
        <is>
          <t>VACATION</t>
        </is>
      </c>
      <c r="J15" s="80" t="inlineStr">
        <is>
          <t>CLINIC</t>
        </is>
      </c>
      <c r="K15" s="75" t="inlineStr">
        <is>
          <t>CLINIC</t>
        </is>
      </c>
      <c r="L15" s="76" t="inlineStr">
        <is>
          <t>ED</t>
        </is>
      </c>
      <c r="M15" s="76" t="inlineStr">
        <is>
          <t>D</t>
        </is>
      </c>
      <c r="N15" s="76" t="inlineStr">
        <is>
          <t>D</t>
        </is>
      </c>
      <c r="O15" s="80" t="inlineStr">
        <is>
          <t>CLINIC *</t>
        </is>
      </c>
      <c r="P15" s="75" t="inlineStr">
        <is>
          <t>ED</t>
        </is>
      </c>
      <c r="Q15" s="75" t="inlineStr">
        <is>
          <t>ID</t>
        </is>
      </c>
      <c r="R15" s="75" t="inlineStr">
        <is>
          <t>ID</t>
        </is>
      </c>
      <c r="S15" s="75" t="inlineStr">
        <is>
          <t>CLINIC</t>
        </is>
      </c>
      <c r="T15" s="80" t="inlineStr">
        <is>
          <t>CLINIC</t>
        </is>
      </c>
      <c r="U15" s="75" t="inlineStr">
        <is>
          <t>D</t>
        </is>
      </c>
      <c r="V15" s="75" t="inlineStr">
        <is>
          <t>D</t>
        </is>
      </c>
      <c r="W15" s="75" t="inlineStr">
        <is>
          <t>NF</t>
        </is>
      </c>
      <c r="X15" s="75" t="inlineStr">
        <is>
          <t>NF</t>
        </is>
      </c>
      <c r="Y15" s="80" t="inlineStr">
        <is>
          <t>CLINIC *</t>
        </is>
      </c>
      <c r="Z15" s="75" t="inlineStr">
        <is>
          <t>C</t>
        </is>
      </c>
      <c r="AA15" s="75" t="inlineStr">
        <is>
          <t>C</t>
        </is>
      </c>
      <c r="AB15" s="75" t="inlineStr">
        <is>
          <t>C</t>
        </is>
      </c>
      <c r="AC15" s="75" t="inlineStr">
        <is>
          <t>ICU</t>
        </is>
      </c>
      <c r="AD15" s="89" t="inlineStr">
        <is>
          <t>ICU</t>
        </is>
      </c>
      <c r="AE15" s="75" t="inlineStr">
        <is>
          <t>ICU</t>
        </is>
      </c>
      <c r="AF15" s="80" t="inlineStr">
        <is>
          <t>CLINIC *</t>
        </is>
      </c>
      <c r="AG15" s="75" t="inlineStr">
        <is>
          <t>C</t>
        </is>
      </c>
      <c r="AH15" s="75" t="inlineStr">
        <is>
          <t>C</t>
        </is>
      </c>
      <c r="AI15" s="75" t="inlineStr">
        <is>
          <t>C</t>
        </is>
      </c>
      <c r="AJ15" s="75" t="inlineStr">
        <is>
          <t>C</t>
        </is>
      </c>
      <c r="AK15" s="80" t="inlineStr">
        <is>
          <t>CLINIC *</t>
        </is>
      </c>
      <c r="AL15" s="75" t="inlineStr">
        <is>
          <t>CARDIO</t>
        </is>
      </c>
      <c r="AM15" s="75" t="inlineStr">
        <is>
          <t>CARDIO</t>
        </is>
      </c>
      <c r="AN15" s="75" t="inlineStr">
        <is>
          <t>ICU N</t>
        </is>
      </c>
      <c r="AO15" s="75" t="inlineStr">
        <is>
          <t>ICU N</t>
        </is>
      </c>
      <c r="AP15" s="80" t="inlineStr">
        <is>
          <t>CLINIC</t>
        </is>
      </c>
      <c r="AQ15" s="75" t="inlineStr">
        <is>
          <t>CLINIC</t>
        </is>
      </c>
      <c r="AR15" s="78" t="inlineStr">
        <is>
          <t>D</t>
        </is>
      </c>
      <c r="AS15" s="80" t="inlineStr">
        <is>
          <t>D</t>
        </is>
      </c>
      <c r="AT15" s="78" t="inlineStr">
        <is>
          <t>D</t>
        </is>
      </c>
      <c r="AU15" s="80" t="inlineStr">
        <is>
          <t>CLINIC *</t>
        </is>
      </c>
      <c r="AV15" s="75" t="inlineStr">
        <is>
          <t>B</t>
        </is>
      </c>
      <c r="AW15" s="75" t="inlineStr">
        <is>
          <t>B</t>
        </is>
      </c>
      <c r="AX15" s="75" t="inlineStr">
        <is>
          <t>B</t>
        </is>
      </c>
      <c r="AY15" s="75" t="inlineStr">
        <is>
          <t>B</t>
        </is>
      </c>
      <c r="AZ15" s="75" t="inlineStr">
        <is>
          <t>CLINIC *</t>
        </is>
      </c>
      <c r="BA15" s="75" t="inlineStr">
        <is>
          <t>ICU N</t>
        </is>
      </c>
      <c r="BB15" s="75" t="inlineStr">
        <is>
          <t>ICU N</t>
        </is>
      </c>
      <c r="BC15" s="75" t="inlineStr">
        <is>
          <t>ICU N</t>
        </is>
      </c>
      <c r="BD15" s="63">
        <f>COUNTIF($D15:$BC15,"CARDIO")+COUNTIF($D15:$BC15,"CARDIO E")+COUNTIF($D15:$BC15,"CARDIO E *")+COUNTIF($D15:$BC15,"CARDIO-HCA")+COUNTIF($D15:$BC15,"CARDIO-HCA *")+COUNTIF($D15:$BC15,"CARDIO-RAM")+COUNTIF($D15:$BC15,"CARDIO-RAM *")</f>
        <v/>
      </c>
      <c r="BE15" s="63">
        <f>COUNTIF($D15:$BC15,"CLINIC")+COUNTIF($D15:$BC15,"CLINIC *")+COUNTIF($D15:$BC15,"URGENT CARE")+COUNTIF($D15:$BC15,"URGENT CARE *")</f>
        <v/>
      </c>
      <c r="BF15" s="63">
        <f>COUNTIF($D15:$BC15,"ED")</f>
        <v/>
      </c>
      <c r="BG15" s="63">
        <f>COUNTIF($D15:$BC15,"A")+COUNTIF($D15:$BC15,"B")+COUNTIF($D15:$BC15,"C")+COUNTIF($D15:$BC15,"D")+COUNTIF($D15:$BC15,"G")</f>
        <v/>
      </c>
      <c r="BH15" s="63">
        <f>COUNTIF($D15:$BC15,"ICU")</f>
        <v/>
      </c>
      <c r="BI15" s="63">
        <f>COUNTIF($D15:$BC15,"ICU E")</f>
        <v/>
      </c>
      <c r="BJ15" s="63">
        <f>COUNTIF($D15:$BC15,"ICU N")</f>
        <v/>
      </c>
      <c r="BK15" s="63">
        <f>COUNTIF($D15:$BC15,"ID")+COUNTIF($D15:$BC15,"ID *")</f>
        <v/>
      </c>
      <c r="BL15" s="63">
        <f>COUNTIF($D15:$BC15,"NEURO")+COUNTIF($D15:$BC15,"NEURO *")</f>
        <v/>
      </c>
      <c r="BM15" s="63">
        <f>COUNTIF($D15:$BC15,"NF")</f>
        <v/>
      </c>
      <c r="BN15" s="63">
        <f>COUNTIF($D15:$BC15,"SWING")</f>
        <v/>
      </c>
      <c r="BO15" s="63">
        <f>COUNTIF($D15:$BC15,"VACATION")</f>
        <v/>
      </c>
      <c r="BP15" s="23">
        <f>SUM(BD15:BO15)</f>
        <v/>
      </c>
      <c r="BQ15" s="63">
        <f>COUNTIF($D15:$BC15,"PALLIATIVE")+COUNTIF($D15:$BC15,"PALLIATIVE *")</f>
        <v/>
      </c>
      <c r="BR15" s="63">
        <f>COUNTIF($D15:$BC15,"GERIATRIC")+COUNTIF($D15:$BC15,"GERIATRIC 2")</f>
        <v/>
      </c>
      <c r="BS15" s="63">
        <f>COUNTIF($D15:$BC15,"GS")+COUNTIF($D15:$BC15,"GI")+COUNTIF($D15:$BC15,"GI *")</f>
        <v/>
      </c>
      <c r="BT15" s="63">
        <f>COUNTIF($D15:$BC15,"HEM/ONC")+COUNTIF($D15:$BC15,"HEM/ONC *")</f>
        <v/>
      </c>
      <c r="BU15" s="63">
        <f>COUNTIF($D15:$BC15,"PAIN MANAGEMENT")+COUNTIF($D15:$BC15,"PAIN MANAGEMENT *")</f>
        <v/>
      </c>
      <c r="BV15" s="63">
        <f>COUNTIF($D15:$BC15,"RHEUMA")+COUNTIF($D15:$BC15,"RHEUMA *")</f>
        <v/>
      </c>
      <c r="BW15" s="63">
        <f>COUNTIF($D15:$BC15,"ENDO")+COUNTIF($D15:$BC15,"ENDO *")</f>
        <v/>
      </c>
      <c r="BX15" s="63">
        <f>COUNTIF($D15:$BC15,"PLASTIC")+COUNTIF($D15:$BC15,"PLASTIC *")</f>
        <v/>
      </c>
      <c r="BY15" s="63">
        <f>COUNTIF($D15:$BC15,"PULM")+COUNTIF($D15:$BC15,"PULM *")</f>
        <v/>
      </c>
      <c r="BZ15" s="63">
        <f>COUNTIF($D15:$BC15,"SICU")+COUNTIF($D15:$BC15,"SICU *")</f>
        <v/>
      </c>
      <c r="CA15" s="63">
        <f>COUNTIF($D15:$BC15,"DERMATOLOGY")+COUNTIF($D15:$BC15,"DERMATOLOGY *")</f>
        <v/>
      </c>
      <c r="CB15" s="86">
        <f>COUNTIF($D15:$BC15,"NEPHRO")+COUNTIF($D15:$BC15,"NEPHRO *")</f>
        <v/>
      </c>
      <c r="CC15" s="59">
        <f>SUM(BQ15:CB15)</f>
        <v/>
      </c>
      <c r="CD15" s="57">
        <f>BP15+CC15</f>
        <v/>
      </c>
    </row>
    <row r="16" ht="39" customHeight="1">
      <c r="A16" s="163" t="n"/>
      <c r="B16" s="165" t="inlineStr">
        <is>
          <t>PGY-2</t>
        </is>
      </c>
      <c r="C16" s="66" t="inlineStr">
        <is>
          <t>C. Ayala</t>
        </is>
      </c>
      <c r="D16" s="80" t="inlineStr">
        <is>
          <t>C</t>
        </is>
      </c>
      <c r="E16" s="80" t="inlineStr">
        <is>
          <t>CLINIC *</t>
        </is>
      </c>
      <c r="F16" s="80" t="inlineStr">
        <is>
          <t>CARDIO-HCA</t>
        </is>
      </c>
      <c r="G16" s="80" t="inlineStr">
        <is>
          <t>CARDIO-HCA</t>
        </is>
      </c>
      <c r="H16" s="75" t="inlineStr">
        <is>
          <t>CARDIO-HCA</t>
        </is>
      </c>
      <c r="I16" s="75" t="inlineStr">
        <is>
          <t>CARDIO-HCA</t>
        </is>
      </c>
      <c r="J16" s="80" t="inlineStr">
        <is>
          <t>CLINIC *</t>
        </is>
      </c>
      <c r="K16" s="75" t="inlineStr">
        <is>
          <t>A</t>
        </is>
      </c>
      <c r="L16" s="75" t="inlineStr">
        <is>
          <t>A</t>
        </is>
      </c>
      <c r="M16" s="75" t="inlineStr">
        <is>
          <t>A</t>
        </is>
      </c>
      <c r="N16" s="80" t="inlineStr">
        <is>
          <t>A</t>
        </is>
      </c>
      <c r="O16" s="80" t="inlineStr">
        <is>
          <t>CLINIC *</t>
        </is>
      </c>
      <c r="P16" s="75" t="inlineStr">
        <is>
          <t>ICU E</t>
        </is>
      </c>
      <c r="Q16" s="75" t="inlineStr">
        <is>
          <t>ICU E</t>
        </is>
      </c>
      <c r="R16" s="76" t="inlineStr">
        <is>
          <t>ICU E</t>
        </is>
      </c>
      <c r="S16" s="76" t="inlineStr">
        <is>
          <t>NEURO</t>
        </is>
      </c>
      <c r="T16" s="80" t="inlineStr">
        <is>
          <t>CLINIC *</t>
        </is>
      </c>
      <c r="U16" s="75" t="inlineStr">
        <is>
          <t>A</t>
        </is>
      </c>
      <c r="V16" s="76" t="inlineStr">
        <is>
          <t>A</t>
        </is>
      </c>
      <c r="W16" s="76" t="inlineStr">
        <is>
          <t>NEURO</t>
        </is>
      </c>
      <c r="X16" s="80" t="inlineStr">
        <is>
          <t>CLINIC</t>
        </is>
      </c>
      <c r="Y16" s="80" t="inlineStr">
        <is>
          <t>CLINIC</t>
        </is>
      </c>
      <c r="Z16" s="75" t="inlineStr">
        <is>
          <t>CLINIC</t>
        </is>
      </c>
      <c r="AA16" s="75" t="inlineStr">
        <is>
          <t>CLINIC</t>
        </is>
      </c>
      <c r="AB16" s="75" t="inlineStr">
        <is>
          <t>NF</t>
        </is>
      </c>
      <c r="AC16" s="75" t="inlineStr">
        <is>
          <t>NF</t>
        </is>
      </c>
      <c r="AD16" s="89" t="inlineStr">
        <is>
          <t>NF</t>
        </is>
      </c>
      <c r="AE16" s="80" t="inlineStr">
        <is>
          <t>NF</t>
        </is>
      </c>
      <c r="AF16" s="80" t="inlineStr">
        <is>
          <t>CLINIC *</t>
        </is>
      </c>
      <c r="AG16" s="75" t="inlineStr">
        <is>
          <t>VACATION</t>
        </is>
      </c>
      <c r="AH16" s="75" t="inlineStr">
        <is>
          <t>VACATION</t>
        </is>
      </c>
      <c r="AI16" s="75" t="inlineStr">
        <is>
          <t>VACATION</t>
        </is>
      </c>
      <c r="AJ16" s="75" t="inlineStr">
        <is>
          <t>VACATION</t>
        </is>
      </c>
      <c r="AK16" s="80" t="inlineStr">
        <is>
          <t>CLINIC *</t>
        </is>
      </c>
      <c r="AL16" s="75" t="inlineStr">
        <is>
          <t>ID</t>
        </is>
      </c>
      <c r="AM16" s="75" t="inlineStr">
        <is>
          <t>ID</t>
        </is>
      </c>
      <c r="AN16" s="76" t="inlineStr">
        <is>
          <t>ED</t>
        </is>
      </c>
      <c r="AO16" s="75" t="inlineStr">
        <is>
          <t>ED</t>
        </is>
      </c>
      <c r="AP16" s="80" t="inlineStr">
        <is>
          <t>CLINIC *</t>
        </is>
      </c>
      <c r="AQ16" s="75" t="inlineStr">
        <is>
          <t>A</t>
        </is>
      </c>
      <c r="AR16" s="75" t="inlineStr">
        <is>
          <t>A</t>
        </is>
      </c>
      <c r="AS16" s="78" t="inlineStr">
        <is>
          <t>A</t>
        </is>
      </c>
      <c r="AT16" s="78" t="inlineStr">
        <is>
          <t>A</t>
        </is>
      </c>
      <c r="AU16" s="80" t="inlineStr">
        <is>
          <t>CLINIC *</t>
        </is>
      </c>
      <c r="AV16" s="75" t="inlineStr">
        <is>
          <t>ICU N</t>
        </is>
      </c>
      <c r="AW16" s="75" t="inlineStr">
        <is>
          <t>ICU N</t>
        </is>
      </c>
      <c r="AX16" s="75" t="inlineStr">
        <is>
          <t>ICU N</t>
        </is>
      </c>
      <c r="AY16" s="75" t="inlineStr">
        <is>
          <t>ICU N</t>
        </is>
      </c>
      <c r="AZ16" s="80" t="inlineStr">
        <is>
          <t>CLINIC *</t>
        </is>
      </c>
      <c r="BA16" s="80" t="inlineStr">
        <is>
          <t>CLINIC *</t>
        </is>
      </c>
      <c r="BB16" s="75" t="inlineStr">
        <is>
          <t>ICU</t>
        </is>
      </c>
      <c r="BC16" s="75" t="inlineStr">
        <is>
          <t>B</t>
        </is>
      </c>
      <c r="BD16" s="63">
        <f>COUNTIF($D16:$BC16,"CARDIO")+COUNTIF($D16:$BC16,"CARDIO E")+COUNTIF($D16:$BC16,"CARDIO E *")+COUNTIF($D16:$BC16,"CARDIO-HCA")+COUNTIF($D16:$BC16,"CARDIO-HCA *")+COUNTIF($D16:$BC16,"CARDIO-RAM")+COUNTIF($D16:$BC16,"CARDIO-RAM *")</f>
        <v/>
      </c>
      <c r="BE16" s="63">
        <f>COUNTIF($D16:$BC16,"CLINIC")+COUNTIF($D16:$BC16,"CLINIC *")+COUNTIF($D16:$BC16,"URGENT CARE")+COUNTIF($D16:$BC16,"URGENT CARE *")</f>
        <v/>
      </c>
      <c r="BF16" s="63">
        <f>COUNTIF($D16:$BC16,"ED")</f>
        <v/>
      </c>
      <c r="BG16" s="63">
        <f>COUNTIF($D16:$BC16,"A")+COUNTIF($D16:$BC16,"B")+COUNTIF($D16:$BC16,"C")+COUNTIF($D16:$BC16,"D")+COUNTIF($D16:$BC16,"G")</f>
        <v/>
      </c>
      <c r="BH16" s="63">
        <f>COUNTIF($D16:$BC16,"ICU")</f>
        <v/>
      </c>
      <c r="BI16" s="63">
        <f>COUNTIF($D16:$BC16,"ICU E")</f>
        <v/>
      </c>
      <c r="BJ16" s="63">
        <f>COUNTIF($D16:$BC16,"ICU N")</f>
        <v/>
      </c>
      <c r="BK16" s="63">
        <f>COUNTIF($D16:$BC16,"ID")+COUNTIF($D16:$BC16,"ID *")</f>
        <v/>
      </c>
      <c r="BL16" s="63">
        <f>COUNTIF($D16:$BC16,"NEURO")+COUNTIF($D16:$BC16,"NEURO *")</f>
        <v/>
      </c>
      <c r="BM16" s="63">
        <f>COUNTIF($D16:$BC16,"NF")</f>
        <v/>
      </c>
      <c r="BN16" s="63">
        <f>COUNTIF($D16:$BC16,"SWING")</f>
        <v/>
      </c>
      <c r="BO16" s="63">
        <f>COUNTIF($D16:$BC16,"VACATION")</f>
        <v/>
      </c>
      <c r="BP16" s="23">
        <f>SUM(BD16:BO16)</f>
        <v/>
      </c>
      <c r="BQ16" s="63">
        <f>COUNTIF($D16:$BC16,"PALLIATIVE")+COUNTIF($D16:$BC16,"PALLIATIVE *")</f>
        <v/>
      </c>
      <c r="BR16" s="63">
        <f>COUNTIF($D16:$BC16,"GERIATRIC")+COUNTIF($D16:$BC16,"GERIATRIC 2")</f>
        <v/>
      </c>
      <c r="BS16" s="63">
        <f>COUNTIF($D16:$BC16,"GS")+COUNTIF($D16:$BC16,"GI")+COUNTIF($D16:$BC16,"GI *")</f>
        <v/>
      </c>
      <c r="BT16" s="63">
        <f>COUNTIF($D16:$BC16,"HEM/ONC")+COUNTIF($D16:$BC16,"HEM/ONC *")</f>
        <v/>
      </c>
      <c r="BU16" s="63">
        <f>COUNTIF($D16:$BC16,"PAIN MANAGEMENT")+COUNTIF($D16:$BC16,"PAIN MANAGEMENT *")</f>
        <v/>
      </c>
      <c r="BV16" s="63">
        <f>COUNTIF($D16:$BC16,"RHEUMA")+COUNTIF($D16:$BC16,"RHEUMA *")</f>
        <v/>
      </c>
      <c r="BW16" s="63">
        <f>COUNTIF($D16:$BC16,"ENDO")+COUNTIF($D16:$BC16,"ENDO *")</f>
        <v/>
      </c>
      <c r="BX16" s="63">
        <f>COUNTIF($D16:$BC16,"PLASTIC")+COUNTIF($D16:$BC16,"PLASTIC *")</f>
        <v/>
      </c>
      <c r="BY16" s="63">
        <f>COUNTIF($D16:$BC16,"PULM")+COUNTIF($D16:$BC16,"PULM *")</f>
        <v/>
      </c>
      <c r="BZ16" s="63">
        <f>COUNTIF($D16:$BC16,"SICU")+COUNTIF($D16:$BC16,"SICU *")</f>
        <v/>
      </c>
      <c r="CA16" s="63">
        <f>COUNTIF($D16:$BC16,"DERMATOLOGY")+COUNTIF($D16:$BC16,"DERMATOLOGY *")</f>
        <v/>
      </c>
      <c r="CB16" s="86">
        <f>COUNTIF($D16:$BC16,"NEPHRO")+COUNTIF($D16:$BC16,"NEPHRO *")</f>
        <v/>
      </c>
      <c r="CC16" s="59">
        <f>SUM(BQ16:CB16)</f>
        <v/>
      </c>
      <c r="CD16" s="57">
        <f>BP16+CC16</f>
        <v/>
      </c>
    </row>
    <row r="17" ht="39" customHeight="1">
      <c r="A17" s="163" t="n"/>
      <c r="B17" s="167" t="n"/>
      <c r="C17" s="67" t="inlineStr">
        <is>
          <t>K. Vallejo</t>
        </is>
      </c>
      <c r="D17" s="80" t="inlineStr">
        <is>
          <t>VACATION</t>
        </is>
      </c>
      <c r="E17" s="80" t="inlineStr">
        <is>
          <t>CLINIC *</t>
        </is>
      </c>
      <c r="F17" s="75" t="inlineStr">
        <is>
          <t>CLINIC *</t>
        </is>
      </c>
      <c r="G17" s="75" t="inlineStr">
        <is>
          <t>ICU E</t>
        </is>
      </c>
      <c r="H17" s="80" t="inlineStr">
        <is>
          <t>ICU E</t>
        </is>
      </c>
      <c r="I17" s="75" t="inlineStr">
        <is>
          <t>ICU E</t>
        </is>
      </c>
      <c r="J17" s="80" t="inlineStr">
        <is>
          <t>CLINIC *</t>
        </is>
      </c>
      <c r="K17" s="74" t="inlineStr">
        <is>
          <t>ID</t>
        </is>
      </c>
      <c r="L17" s="74" t="inlineStr">
        <is>
          <t>ID</t>
        </is>
      </c>
      <c r="M17" s="75" t="inlineStr">
        <is>
          <t>G</t>
        </is>
      </c>
      <c r="N17" s="80" t="inlineStr">
        <is>
          <t>CLINIC</t>
        </is>
      </c>
      <c r="O17" s="80" t="inlineStr">
        <is>
          <t>CLINIC</t>
        </is>
      </c>
      <c r="P17" s="75" t="inlineStr">
        <is>
          <t>B</t>
        </is>
      </c>
      <c r="Q17" s="75" t="inlineStr">
        <is>
          <t>B</t>
        </is>
      </c>
      <c r="R17" s="75" t="inlineStr">
        <is>
          <t>B</t>
        </is>
      </c>
      <c r="S17" s="75" t="inlineStr">
        <is>
          <t>CLINIC</t>
        </is>
      </c>
      <c r="T17" s="80" t="inlineStr">
        <is>
          <t>CLINIC</t>
        </is>
      </c>
      <c r="U17" s="85" t="inlineStr">
        <is>
          <t>C</t>
        </is>
      </c>
      <c r="V17" s="85" t="inlineStr">
        <is>
          <t>C</t>
        </is>
      </c>
      <c r="W17" s="80" t="inlineStr">
        <is>
          <t>C</t>
        </is>
      </c>
      <c r="X17" s="85" t="inlineStr">
        <is>
          <t>C</t>
        </is>
      </c>
      <c r="Y17" s="80" t="inlineStr">
        <is>
          <t>CLINIC *</t>
        </is>
      </c>
      <c r="Z17" s="75" t="inlineStr">
        <is>
          <t>ICU N</t>
        </is>
      </c>
      <c r="AA17" s="75" t="inlineStr">
        <is>
          <t>D</t>
        </is>
      </c>
      <c r="AB17" s="80" t="inlineStr">
        <is>
          <t>D</t>
        </is>
      </c>
      <c r="AC17" s="89" t="inlineStr">
        <is>
          <t>D</t>
        </is>
      </c>
      <c r="AD17" s="75" t="inlineStr">
        <is>
          <t>NEURO</t>
        </is>
      </c>
      <c r="AE17" s="75" t="inlineStr">
        <is>
          <t>NEURO</t>
        </is>
      </c>
      <c r="AF17" s="80" t="inlineStr">
        <is>
          <t>CLINIC *</t>
        </is>
      </c>
      <c r="AG17" s="75" t="inlineStr">
        <is>
          <t>ICU</t>
        </is>
      </c>
      <c r="AH17" s="75" t="inlineStr">
        <is>
          <t>ICU</t>
        </is>
      </c>
      <c r="AI17" s="75" t="inlineStr">
        <is>
          <t>ICU</t>
        </is>
      </c>
      <c r="AJ17" s="75" t="inlineStr">
        <is>
          <t>ICU</t>
        </is>
      </c>
      <c r="AK17" s="80" t="inlineStr">
        <is>
          <t>CLINIC *</t>
        </is>
      </c>
      <c r="AL17" s="75" t="inlineStr">
        <is>
          <t>CARDIO-HCA</t>
        </is>
      </c>
      <c r="AM17" s="75" t="inlineStr">
        <is>
          <t>CARDIO-HCA</t>
        </is>
      </c>
      <c r="AN17" s="75" t="inlineStr">
        <is>
          <t>CARDIO-HCA</t>
        </is>
      </c>
      <c r="AO17" s="75" t="inlineStr">
        <is>
          <t>CARDIO-HCA</t>
        </is>
      </c>
      <c r="AP17" s="80" t="inlineStr">
        <is>
          <t>CLINIC *</t>
        </is>
      </c>
      <c r="AQ17" s="75" t="inlineStr">
        <is>
          <t>ED</t>
        </is>
      </c>
      <c r="AR17" s="75" t="inlineStr">
        <is>
          <t>ED</t>
        </is>
      </c>
      <c r="AS17" s="85" t="inlineStr">
        <is>
          <t>SWING</t>
        </is>
      </c>
      <c r="AT17" s="85" t="inlineStr">
        <is>
          <t>SWING</t>
        </is>
      </c>
      <c r="AU17" s="80" t="inlineStr">
        <is>
          <t>CLINIC *</t>
        </is>
      </c>
      <c r="AV17" s="75" t="inlineStr">
        <is>
          <t>B</t>
        </is>
      </c>
      <c r="AW17" s="75" t="inlineStr">
        <is>
          <t>B</t>
        </is>
      </c>
      <c r="AX17" s="75" t="inlineStr">
        <is>
          <t>B</t>
        </is>
      </c>
      <c r="AY17" s="75" t="inlineStr">
        <is>
          <t>CLINIC *</t>
        </is>
      </c>
      <c r="AZ17" s="80" t="inlineStr">
        <is>
          <t>CLINIC *</t>
        </is>
      </c>
      <c r="BA17" s="97" t="inlineStr">
        <is>
          <t>VACATION</t>
        </is>
      </c>
      <c r="BB17" s="75" t="inlineStr">
        <is>
          <t>VACATION</t>
        </is>
      </c>
      <c r="BC17" s="75" t="inlineStr">
        <is>
          <t>VACATION</t>
        </is>
      </c>
      <c r="BD17" s="63">
        <f>COUNTIF($D17:$BC17,"CARDIO")+COUNTIF($D17:$BC17,"CARDIO E")+COUNTIF($D17:$BC17,"CARDIO E *")+COUNTIF($D17:$BC17,"CARDIO-HCA")+COUNTIF($D17:$BC17,"CARDIO-HCA *")+COUNTIF($D17:$BC17,"CARDIO-RAM")+COUNTIF($D17:$BC17,"CARDIO-RAM *")</f>
        <v/>
      </c>
      <c r="BE17" s="63">
        <f>COUNTIF($D17:$BC17,"CLINIC")+COUNTIF($D17:$BC17,"CLINIC *")+COUNTIF($D17:$BC17,"URGENT CARE")+COUNTIF($D17:$BC17,"URGENT CARE *")</f>
        <v/>
      </c>
      <c r="BF17" s="63">
        <f>COUNTIF($D17:$BC17,"ED")</f>
        <v/>
      </c>
      <c r="BG17" s="63">
        <f>COUNTIF($D17:$BC17,"A")+COUNTIF($D17:$BC17,"B")+COUNTIF($D17:$BC17,"C")+COUNTIF($D17:$BC17,"D")+COUNTIF($D17:$BC17,"G")</f>
        <v/>
      </c>
      <c r="BH17" s="63">
        <f>COUNTIF($D17:$BC17,"ICU")</f>
        <v/>
      </c>
      <c r="BI17" s="63">
        <f>COUNTIF($D17:$BC17,"ICU E")</f>
        <v/>
      </c>
      <c r="BJ17" s="63">
        <f>COUNTIF($D17:$BC17,"ICU N")</f>
        <v/>
      </c>
      <c r="BK17" s="63">
        <f>COUNTIF($D17:$BC17,"ID")+COUNTIF($D17:$BC17,"ID *")</f>
        <v/>
      </c>
      <c r="BL17" s="63">
        <f>COUNTIF($D17:$BC17,"NEURO")+COUNTIF($D17:$BC17,"NEURO *")</f>
        <v/>
      </c>
      <c r="BM17" s="63">
        <f>COUNTIF($D17:$BC17,"NF")</f>
        <v/>
      </c>
      <c r="BN17" s="63">
        <f>COUNTIF($D17:$BC17,"SWING")</f>
        <v/>
      </c>
      <c r="BO17" s="63">
        <f>COUNTIF($D17:$BC17,"VACATION")</f>
        <v/>
      </c>
      <c r="BP17" s="23">
        <f>SUM(BD17:BO17)</f>
        <v/>
      </c>
      <c r="BQ17" s="63">
        <f>COUNTIF($D17:$BC17,"PALLIATIVE")+COUNTIF($D17:$BC17,"PALLIATIVE *")</f>
        <v/>
      </c>
      <c r="BR17" s="63">
        <f>COUNTIF($D17:$BC17,"GERIATRIC")+COUNTIF($D17:$BC17,"GERIATRIC 2")</f>
        <v/>
      </c>
      <c r="BS17" s="63">
        <f>COUNTIF($D17:$BC17,"GS")+COUNTIF($D17:$BC17,"GI")+COUNTIF($D17:$BC17,"GI *")</f>
        <v/>
      </c>
      <c r="BT17" s="63">
        <f>COUNTIF($D17:$BC17,"HEM/ONC")+COUNTIF($D17:$BC17,"HEM/ONC *")</f>
        <v/>
      </c>
      <c r="BU17" s="63">
        <f>COUNTIF($D17:$BC17,"PAIN MANAGEMENT")+COUNTIF($D17:$BC17,"PAIN MANAGEMENT *")</f>
        <v/>
      </c>
      <c r="BV17" s="63">
        <f>COUNTIF($D17:$BC17,"RHEUMA")+COUNTIF($D17:$BC17,"RHEUMA *")</f>
        <v/>
      </c>
      <c r="BW17" s="63">
        <f>COUNTIF($D17:$BC17,"ENDO")+COUNTIF($D17:$BC17,"ENDO *")</f>
        <v/>
      </c>
      <c r="BX17" s="63">
        <f>COUNTIF($D17:$BC17,"PLASTIC")+COUNTIF($D17:$BC17,"PLASTIC *")</f>
        <v/>
      </c>
      <c r="BY17" s="63">
        <f>COUNTIF($D17:$BC17,"PULM")+COUNTIF($D17:$BC17,"PULM *")</f>
        <v/>
      </c>
      <c r="BZ17" s="63">
        <f>COUNTIF($D17:$BC17,"SICU")+COUNTIF($D17:$BC17,"SICU *")</f>
        <v/>
      </c>
      <c r="CA17" s="63">
        <f>COUNTIF($D17:$BC17,"DERMATOLOGY")+COUNTIF($D17:$BC17,"DERMATOLOGY *")</f>
        <v/>
      </c>
      <c r="CB17" s="86">
        <f>COUNTIF($D17:$BC17,"NEPHRO")+COUNTIF($D17:$BC17,"NEPHRO *")</f>
        <v/>
      </c>
      <c r="CC17" s="59">
        <f>SUM(BQ17:CB17)</f>
        <v/>
      </c>
      <c r="CD17" s="57">
        <f>BP17+CC17</f>
        <v/>
      </c>
    </row>
    <row r="18" ht="39" customHeight="1">
      <c r="A18" s="163" t="n"/>
      <c r="B18" s="165" t="inlineStr">
        <is>
          <t>PGY-3</t>
        </is>
      </c>
      <c r="C18" s="67" t="inlineStr">
        <is>
          <t>A. Silva</t>
        </is>
      </c>
      <c r="D18" s="75" t="inlineStr">
        <is>
          <t>CLINIC *</t>
        </is>
      </c>
      <c r="E18" s="80" t="inlineStr">
        <is>
          <t>CLINIC *</t>
        </is>
      </c>
      <c r="F18" s="75" t="inlineStr">
        <is>
          <t>NF</t>
        </is>
      </c>
      <c r="G18" s="75" t="inlineStr">
        <is>
          <t>NF</t>
        </is>
      </c>
      <c r="H18" s="80" t="inlineStr">
        <is>
          <t>NF</t>
        </is>
      </c>
      <c r="I18" s="75" t="inlineStr">
        <is>
          <t>NF</t>
        </is>
      </c>
      <c r="J18" s="80" t="inlineStr">
        <is>
          <t>CLINIC</t>
        </is>
      </c>
      <c r="K18" s="75" t="inlineStr">
        <is>
          <t>CLINIC</t>
        </is>
      </c>
      <c r="L18" s="76" t="inlineStr">
        <is>
          <t>CLINIC</t>
        </is>
      </c>
      <c r="M18" s="85" t="inlineStr">
        <is>
          <t>CLINIC</t>
        </is>
      </c>
      <c r="N18" s="76" t="inlineStr">
        <is>
          <t>CLINIC</t>
        </is>
      </c>
      <c r="O18" s="80" t="inlineStr">
        <is>
          <t>CLINIC</t>
        </is>
      </c>
      <c r="P18" s="97" t="inlineStr">
        <is>
          <t>ICU E</t>
        </is>
      </c>
      <c r="Q18" s="76" t="inlineStr">
        <is>
          <t>ICU E</t>
        </is>
      </c>
      <c r="R18" s="75" t="inlineStr">
        <is>
          <t>ICU E</t>
        </is>
      </c>
      <c r="S18" s="85" t="inlineStr">
        <is>
          <t>CLINIC *</t>
        </is>
      </c>
      <c r="T18" s="80" t="inlineStr">
        <is>
          <t>CLINIC *</t>
        </is>
      </c>
      <c r="U18" s="80" t="inlineStr">
        <is>
          <t>VACATION</t>
        </is>
      </c>
      <c r="V18" s="75" t="inlineStr">
        <is>
          <t>VACATION</t>
        </is>
      </c>
      <c r="W18" s="75" t="inlineStr">
        <is>
          <t>VACATION</t>
        </is>
      </c>
      <c r="X18" s="80" t="inlineStr">
        <is>
          <t>CLINIC *</t>
        </is>
      </c>
      <c r="Y18" s="80" t="inlineStr">
        <is>
          <t>CLINIC *</t>
        </is>
      </c>
      <c r="Z18" s="85" t="inlineStr">
        <is>
          <t>CLINIC *</t>
        </is>
      </c>
      <c r="AA18" s="85" t="inlineStr">
        <is>
          <t>CLINIC *</t>
        </is>
      </c>
      <c r="AB18" s="75" t="inlineStr">
        <is>
          <t>VACATION</t>
        </is>
      </c>
      <c r="AC18" s="80" t="inlineStr">
        <is>
          <t>SWING</t>
        </is>
      </c>
      <c r="AD18" s="89" t="inlineStr">
        <is>
          <t>SWING</t>
        </is>
      </c>
      <c r="AE18" s="97" t="inlineStr">
        <is>
          <t>ICU E</t>
        </is>
      </c>
      <c r="AF18" s="75" t="inlineStr">
        <is>
          <t>CLINIC *</t>
        </is>
      </c>
      <c r="AG18" s="80" t="inlineStr">
        <is>
          <t>SWING</t>
        </is>
      </c>
      <c r="AH18" s="75" t="inlineStr">
        <is>
          <t>SWING</t>
        </is>
      </c>
      <c r="AI18" s="80" t="inlineStr">
        <is>
          <t>SWING</t>
        </is>
      </c>
      <c r="AJ18" s="75" t="inlineStr">
        <is>
          <t>SWING</t>
        </is>
      </c>
      <c r="AK18" s="80" t="inlineStr">
        <is>
          <t>CLINIC *</t>
        </is>
      </c>
      <c r="AL18" s="75" t="inlineStr">
        <is>
          <t>ICU N</t>
        </is>
      </c>
      <c r="AM18" s="75" t="inlineStr">
        <is>
          <t>ICU N</t>
        </is>
      </c>
      <c r="AN18" s="93" t="inlineStr">
        <is>
          <t>ICU N</t>
        </is>
      </c>
      <c r="AO18" s="75" t="inlineStr">
        <is>
          <t>ICU N</t>
        </is>
      </c>
      <c r="AP18" s="80" t="inlineStr">
        <is>
          <t>CLINIC</t>
        </is>
      </c>
      <c r="AQ18" s="99" t="inlineStr">
        <is>
          <t>CLINIC</t>
        </is>
      </c>
      <c r="AR18" s="99" t="inlineStr">
        <is>
          <t>CLINIC</t>
        </is>
      </c>
      <c r="AS18" s="80" t="inlineStr">
        <is>
          <t>CLINIC</t>
        </is>
      </c>
      <c r="AT18" s="80" t="inlineStr">
        <is>
          <t>CLINIC</t>
        </is>
      </c>
      <c r="AU18" s="80" t="inlineStr">
        <is>
          <t>CLINIC</t>
        </is>
      </c>
      <c r="AV18" s="75" t="inlineStr">
        <is>
          <t>C</t>
        </is>
      </c>
      <c r="AW18" s="75" t="inlineStr">
        <is>
          <t>C</t>
        </is>
      </c>
      <c r="AX18" s="97" t="inlineStr">
        <is>
          <t>C</t>
        </is>
      </c>
      <c r="AY18" s="80" t="inlineStr">
        <is>
          <t>C</t>
        </is>
      </c>
      <c r="AZ18" s="80" t="inlineStr">
        <is>
          <t>CLINIC *</t>
        </is>
      </c>
      <c r="BA18" s="75" t="inlineStr">
        <is>
          <t>CLINIC *</t>
        </is>
      </c>
      <c r="BB18" s="85" t="inlineStr">
        <is>
          <t>C</t>
        </is>
      </c>
      <c r="BC18" s="75" t="inlineStr">
        <is>
          <t>C</t>
        </is>
      </c>
      <c r="BD18" s="63">
        <f>COUNTIF($D18:$BC18,"CARDIO")+COUNTIF($D18:$BC18,"CARDIO E")+COUNTIF($D18:$BC18,"CARDIO E *")+COUNTIF($D18:$BC18,"CARDIO-HCA")+COUNTIF($D18:$BC18,"CARDIO-HCA *")+COUNTIF($D18:$BC18,"CARDIO-RAM")+COUNTIF($D18:$BC18,"CARDIO-RAM *")</f>
        <v/>
      </c>
      <c r="BE18" s="63">
        <f>COUNTIF($D18:$BC18,"CLINIC")+COUNTIF($D18:$BC18,"CLINIC *")+COUNTIF($D18:$BC18,"URGENT CARE")+COUNTIF($D18:$BC18,"URGENT CARE *")</f>
        <v/>
      </c>
      <c r="BF18" s="63">
        <f>COUNTIF($D18:$BC18,"ED")</f>
        <v/>
      </c>
      <c r="BG18" s="63">
        <f>COUNTIF($D18:$BC18,"A")+COUNTIF($D18:$BC18,"B")+COUNTIF($D18:$BC18,"C")+COUNTIF($D18:$BC18,"D")+COUNTIF($D18:$BC18,"G")</f>
        <v/>
      </c>
      <c r="BH18" s="63">
        <f>COUNTIF($D18:$BC18,"ICU")</f>
        <v/>
      </c>
      <c r="BI18" s="63">
        <f>COUNTIF($D18:$BC18,"ICU E")</f>
        <v/>
      </c>
      <c r="BJ18" s="63">
        <f>COUNTIF($D18:$BC18,"ICU N")</f>
        <v/>
      </c>
      <c r="BK18" s="63">
        <f>COUNTIF($D18:$BC18,"ID")+COUNTIF($D18:$BC18,"ID *")</f>
        <v/>
      </c>
      <c r="BL18" s="63">
        <f>COUNTIF($D18:$BC18,"NEURO")+COUNTIF($D18:$BC18,"NEURO *")</f>
        <v/>
      </c>
      <c r="BM18" s="63">
        <f>COUNTIF($D18:$BC18,"NF")</f>
        <v/>
      </c>
      <c r="BN18" s="63">
        <f>COUNTIF($D18:$BC18,"SWING")</f>
        <v/>
      </c>
      <c r="BO18" s="63">
        <f>COUNTIF($D18:$BC18,"VACATION")</f>
        <v/>
      </c>
      <c r="BP18" s="23">
        <f>SUM(BD18:BO18)</f>
        <v/>
      </c>
      <c r="BQ18" s="63">
        <f>COUNTIF($D18:$BC18,"PALLIATIVE")+COUNTIF($D18:$BC18,"PALLIATIVE *")</f>
        <v/>
      </c>
      <c r="BR18" s="63">
        <f>COUNTIF($D18:$BC18,"GERIATRIC")+COUNTIF($D18:$BC18,"GERIATRIC 2")</f>
        <v/>
      </c>
      <c r="BS18" s="63">
        <f>COUNTIF($D18:$BC18,"GS")+COUNTIF($D18:$BC18,"GI")+COUNTIF($D18:$BC18,"GI *")</f>
        <v/>
      </c>
      <c r="BT18" s="63">
        <f>COUNTIF($D18:$BC18,"HEM/ONC")+COUNTIF($D18:$BC18,"HEM/ONC *")</f>
        <v/>
      </c>
      <c r="BU18" s="63">
        <f>COUNTIF($D18:$BC18,"PAIN MANAGEMENT")+COUNTIF($D18:$BC18,"PAIN MANAGEMENT *")</f>
        <v/>
      </c>
      <c r="BV18" s="63">
        <f>COUNTIF($D18:$BC18,"RHEUMA")+COUNTIF($D18:$BC18,"RHEUMA *")</f>
        <v/>
      </c>
      <c r="BW18" s="63">
        <f>COUNTIF($D18:$BC18,"ENDO")+COUNTIF($D18:$BC18,"ENDO *")</f>
        <v/>
      </c>
      <c r="BX18" s="63">
        <f>COUNTIF($D18:$BC18,"PLASTIC")+COUNTIF($D18:$BC18,"PLASTIC *")</f>
        <v/>
      </c>
      <c r="BY18" s="63">
        <f>COUNTIF($D18:$BC18,"PULM")+COUNTIF($D18:$BC18,"PULM *")</f>
        <v/>
      </c>
      <c r="BZ18" s="63">
        <f>COUNTIF($D18:$BC18,"SICU")+COUNTIF($D18:$BC18,"SICU *")</f>
        <v/>
      </c>
      <c r="CA18" s="63">
        <f>COUNTIF($D18:$BC18,"DERMATOLOGY")+COUNTIF($D18:$BC18,"DERMATOLOGY *")</f>
        <v/>
      </c>
      <c r="CB18" s="86">
        <f>COUNTIF($D18:$BC18,"NEPHRO")+COUNTIF($D18:$BC18,"NEPHRO *")</f>
        <v/>
      </c>
      <c r="CC18" s="59">
        <f>SUM(BQ18:CB18)</f>
        <v/>
      </c>
      <c r="CD18" s="57">
        <f>BP18+CC18</f>
        <v/>
      </c>
    </row>
    <row r="19" ht="39" customHeight="1">
      <c r="A19" s="163" t="n"/>
      <c r="B19" s="167" t="n"/>
      <c r="C19" s="67" t="inlineStr">
        <is>
          <t>F. Monefeldt</t>
        </is>
      </c>
      <c r="D19" s="75" t="inlineStr">
        <is>
          <t>CLINIC *</t>
        </is>
      </c>
      <c r="E19" s="80" t="inlineStr">
        <is>
          <t>CLINIC *</t>
        </is>
      </c>
      <c r="F19" s="76" t="inlineStr">
        <is>
          <t>B</t>
        </is>
      </c>
      <c r="G19" s="75" t="inlineStr">
        <is>
          <t>B</t>
        </is>
      </c>
      <c r="H19" s="75" t="inlineStr">
        <is>
          <t>B</t>
        </is>
      </c>
      <c r="I19" s="75" t="inlineStr">
        <is>
          <t>B</t>
        </is>
      </c>
      <c r="J19" s="80" t="inlineStr">
        <is>
          <t>CLINIC *</t>
        </is>
      </c>
      <c r="K19" s="75" t="inlineStr">
        <is>
          <t>G</t>
        </is>
      </c>
      <c r="L19" s="76" t="inlineStr">
        <is>
          <t>ICU</t>
        </is>
      </c>
      <c r="M19" s="80" t="inlineStr">
        <is>
          <t>CLINIC</t>
        </is>
      </c>
      <c r="N19" s="75" t="inlineStr">
        <is>
          <t>CLINIC</t>
        </is>
      </c>
      <c r="O19" s="80" t="inlineStr">
        <is>
          <t>CLINIC</t>
        </is>
      </c>
      <c r="P19" s="80" t="inlineStr">
        <is>
          <t>ICU N</t>
        </is>
      </c>
      <c r="Q19" s="97" t="inlineStr">
        <is>
          <t>ICU N</t>
        </is>
      </c>
      <c r="R19" s="75" t="inlineStr">
        <is>
          <t>ICU N</t>
        </is>
      </c>
      <c r="S19" s="75" t="inlineStr">
        <is>
          <t>CLINIC *</t>
        </is>
      </c>
      <c r="T19" s="76" t="inlineStr">
        <is>
          <t>CLINIC *</t>
        </is>
      </c>
      <c r="U19" s="80" t="inlineStr">
        <is>
          <t>G</t>
        </is>
      </c>
      <c r="V19" s="75" t="inlineStr">
        <is>
          <t>G</t>
        </is>
      </c>
      <c r="W19" s="75" t="inlineStr">
        <is>
          <t>G</t>
        </is>
      </c>
      <c r="X19" s="80" t="inlineStr">
        <is>
          <t>G</t>
        </is>
      </c>
      <c r="Y19" s="80" t="inlineStr">
        <is>
          <t>CLINIC *</t>
        </is>
      </c>
      <c r="Z19" s="85" t="inlineStr">
        <is>
          <t>SWING</t>
        </is>
      </c>
      <c r="AA19" s="85" t="inlineStr">
        <is>
          <t>SWING</t>
        </is>
      </c>
      <c r="AB19" s="75" t="inlineStr">
        <is>
          <t>SWING</t>
        </is>
      </c>
      <c r="AC19" s="80" t="inlineStr">
        <is>
          <t>SWING</t>
        </is>
      </c>
      <c r="AD19" s="89" t="inlineStr">
        <is>
          <t>SWING</t>
        </is>
      </c>
      <c r="AE19" s="80" t="inlineStr">
        <is>
          <t>ICU E</t>
        </is>
      </c>
      <c r="AF19" s="80" t="inlineStr">
        <is>
          <t>CLINIC *</t>
        </is>
      </c>
      <c r="AG19" s="85" t="inlineStr">
        <is>
          <t>G</t>
        </is>
      </c>
      <c r="AH19" s="85" t="inlineStr">
        <is>
          <t>G</t>
        </is>
      </c>
      <c r="AI19" s="80" t="inlineStr">
        <is>
          <t>CLINIC *</t>
        </is>
      </c>
      <c r="AJ19" s="75" t="inlineStr">
        <is>
          <t>CLINIC *</t>
        </is>
      </c>
      <c r="AK19" s="80" t="inlineStr">
        <is>
          <t>CLINIC *</t>
        </is>
      </c>
      <c r="AL19" s="75" t="inlineStr">
        <is>
          <t>CLINIC *</t>
        </is>
      </c>
      <c r="AM19" s="75" t="inlineStr">
        <is>
          <t>ICU E</t>
        </is>
      </c>
      <c r="AN19" s="75" t="inlineStr">
        <is>
          <t>CLINIC *</t>
        </is>
      </c>
      <c r="AO19" s="75" t="inlineStr">
        <is>
          <t>CLINIC *</t>
        </is>
      </c>
      <c r="AP19" s="80" t="inlineStr">
        <is>
          <t>CLINIC *</t>
        </is>
      </c>
      <c r="AQ19" s="78" t="inlineStr">
        <is>
          <t>VACATION</t>
        </is>
      </c>
      <c r="AR19" s="78" t="inlineStr">
        <is>
          <t>VACATION</t>
        </is>
      </c>
      <c r="AS19" s="78" t="inlineStr">
        <is>
          <t>VACATION</t>
        </is>
      </c>
      <c r="AT19" s="80" t="inlineStr">
        <is>
          <t>VACATION</t>
        </is>
      </c>
      <c r="AU19" s="80" t="inlineStr">
        <is>
          <t>CLINIC *</t>
        </is>
      </c>
      <c r="AV19" s="75" t="inlineStr">
        <is>
          <t>ICU E</t>
        </is>
      </c>
      <c r="AW19" s="75" t="inlineStr">
        <is>
          <t>ICU E</t>
        </is>
      </c>
      <c r="AX19" s="85" t="inlineStr">
        <is>
          <t>ICU E</t>
        </is>
      </c>
      <c r="AY19" s="85" t="inlineStr">
        <is>
          <t>ICU E</t>
        </is>
      </c>
      <c r="AZ19" s="80" t="inlineStr">
        <is>
          <t>CLINIC</t>
        </is>
      </c>
      <c r="BA19" s="99" t="inlineStr">
        <is>
          <t>CLINIC</t>
        </is>
      </c>
      <c r="BB19" s="99" t="inlineStr">
        <is>
          <t>CLINIC</t>
        </is>
      </c>
      <c r="BC19" s="85" t="inlineStr">
        <is>
          <t>CLINIC</t>
        </is>
      </c>
      <c r="BD19" s="63">
        <f>COUNTIF($D19:$BC19,"CARDIO")+COUNTIF($D19:$BC19,"CARDIO E")+COUNTIF($D19:$BC19,"CARDIO E *")+COUNTIF($D19:$BC19,"CARDIO-HCA")+COUNTIF($D19:$BC19,"CARDIO-HCA *")+COUNTIF($D19:$BC19,"CARDIO-RAM")+COUNTIF($D19:$BC19,"CARDIO-RAM *")</f>
        <v/>
      </c>
      <c r="BE19" s="63">
        <f>COUNTIF($D19:$BC19,"CLINIC")+COUNTIF($D19:$BC19,"CLINIC *")+COUNTIF($D19:$BC19,"URGENT CARE")+COUNTIF($D19:$BC19,"URGENT CARE *")</f>
        <v/>
      </c>
      <c r="BF19" s="63">
        <f>COUNTIF($D19:$BC19,"ED")</f>
        <v/>
      </c>
      <c r="BG19" s="63">
        <f>COUNTIF($D19:$BC19,"A")+COUNTIF($D19:$BC19,"B")+COUNTIF($D19:$BC19,"C")+COUNTIF($D19:$BC19,"D")+COUNTIF($D19:$BC19,"G")</f>
        <v/>
      </c>
      <c r="BH19" s="63">
        <f>COUNTIF($D19:$BC19,"ICU")</f>
        <v/>
      </c>
      <c r="BI19" s="63">
        <f>COUNTIF($D19:$BC19,"ICU E")</f>
        <v/>
      </c>
      <c r="BJ19" s="63">
        <f>COUNTIF($D19:$BC19,"ICU N")</f>
        <v/>
      </c>
      <c r="BK19" s="63">
        <f>COUNTIF($D19:$BC19,"ID")+COUNTIF($D19:$BC19,"ID *")</f>
        <v/>
      </c>
      <c r="BL19" s="63">
        <f>COUNTIF($D19:$BC19,"NEURO")+COUNTIF($D19:$BC19,"NEURO *")</f>
        <v/>
      </c>
      <c r="BM19" s="63">
        <f>COUNTIF($D19:$BC19,"NF")</f>
        <v/>
      </c>
      <c r="BN19" s="63">
        <f>COUNTIF($D19:$BC19,"SWING")</f>
        <v/>
      </c>
      <c r="BO19" s="63">
        <f>COUNTIF($D19:$BC19,"VACATION")</f>
        <v/>
      </c>
      <c r="BP19" s="23">
        <f>SUM(BD19:BO19)</f>
        <v/>
      </c>
      <c r="BQ19" s="63">
        <f>COUNTIF($D19:$BC19,"PALLIATIVE")+COUNTIF($D19:$BC19,"PALLIATIVE *")</f>
        <v/>
      </c>
      <c r="BR19" s="63">
        <f>COUNTIF($D19:$BC19,"GERIATRIC")+COUNTIF($D19:$BC19,"GERIATRIC 2")</f>
        <v/>
      </c>
      <c r="BS19" s="63">
        <f>COUNTIF($D19:$BC19,"GS")+COUNTIF($D19:$BC19,"GI")+COUNTIF($D19:$BC19,"GI *")</f>
        <v/>
      </c>
      <c r="BT19" s="63">
        <f>COUNTIF($D19:$BC19,"HEM/ONC")+COUNTIF($D19:$BC19,"HEM/ONC *")</f>
        <v/>
      </c>
      <c r="BU19" s="63">
        <f>COUNTIF($D19:$BC19,"PAIN MANAGEMENT")+COUNTIF($D19:$BC19,"PAIN MANAGEMENT *")</f>
        <v/>
      </c>
      <c r="BV19" s="63">
        <f>COUNTIF($D19:$BC19,"RHEUMA")+COUNTIF($D19:$BC19,"RHEUMA *")</f>
        <v/>
      </c>
      <c r="BW19" s="63">
        <f>COUNTIF($D19:$BC19,"ENDO")+COUNTIF($D19:$BC19,"ENDO *")</f>
        <v/>
      </c>
      <c r="BX19" s="63">
        <f>COUNTIF($D19:$BC19,"PLASTIC")+COUNTIF($D19:$BC19,"PLASTIC *")</f>
        <v/>
      </c>
      <c r="BY19" s="63">
        <f>COUNTIF($D19:$BC19,"PULM")+COUNTIF($D19:$BC19,"PULM *")</f>
        <v/>
      </c>
      <c r="BZ19" s="63">
        <f>COUNTIF($D19:$BC19,"SICU")+COUNTIF($D19:$BC19,"SICU *")</f>
        <v/>
      </c>
      <c r="CA19" s="63">
        <f>COUNTIF($D19:$BC19,"DERMATOLOGY")+COUNTIF($D19:$BC19,"DERMATOLOGY *")</f>
        <v/>
      </c>
      <c r="CB19" s="86">
        <f>COUNTIF($D19:$BC19,"NEPHRO")+COUNTIF($D19:$BC19,"NEPHRO *")</f>
        <v/>
      </c>
      <c r="CC19" s="59">
        <f>SUM(BQ19:CB19)</f>
        <v/>
      </c>
      <c r="CD19" s="57">
        <f>BP19+CC19</f>
        <v/>
      </c>
    </row>
    <row r="20" ht="39" customHeight="1">
      <c r="A20" s="162" t="inlineStr">
        <is>
          <t>Cohort 3</t>
        </is>
      </c>
      <c r="B20" s="165" t="inlineStr">
        <is>
          <t>PGY-1</t>
        </is>
      </c>
      <c r="C20" s="66" t="inlineStr">
        <is>
          <t>M. Cruz</t>
        </is>
      </c>
      <c r="D20" s="75" t="inlineStr">
        <is>
          <t>C</t>
        </is>
      </c>
      <c r="E20" s="75" t="inlineStr">
        <is>
          <t>CLINIC</t>
        </is>
      </c>
      <c r="F20" s="80" t="inlineStr">
        <is>
          <t>CLINIC</t>
        </is>
      </c>
      <c r="G20" s="75" t="inlineStr">
        <is>
          <t>B</t>
        </is>
      </c>
      <c r="H20" s="75" t="inlineStr">
        <is>
          <t>B</t>
        </is>
      </c>
      <c r="I20" s="75" t="inlineStr">
        <is>
          <t>ICU N</t>
        </is>
      </c>
      <c r="J20" s="75" t="inlineStr">
        <is>
          <t>ICU N</t>
        </is>
      </c>
      <c r="K20" s="80" t="inlineStr">
        <is>
          <t>CLINIC *</t>
        </is>
      </c>
      <c r="L20" s="75" t="inlineStr">
        <is>
          <t>VACATION</t>
        </is>
      </c>
      <c r="M20" s="75" t="inlineStr">
        <is>
          <t>ICU</t>
        </is>
      </c>
      <c r="N20" s="75" t="inlineStr">
        <is>
          <t>ICU</t>
        </is>
      </c>
      <c r="O20" s="76" t="inlineStr">
        <is>
          <t>ICU</t>
        </is>
      </c>
      <c r="P20" s="80" t="inlineStr">
        <is>
          <t>CLINIC *</t>
        </is>
      </c>
      <c r="Q20" s="75" t="inlineStr">
        <is>
          <t>CARDIO-HCA</t>
        </is>
      </c>
      <c r="R20" s="75" t="inlineStr">
        <is>
          <t>CARDIO-HCA</t>
        </is>
      </c>
      <c r="S20" s="75" t="inlineStr">
        <is>
          <t>B</t>
        </is>
      </c>
      <c r="T20" s="75" t="inlineStr">
        <is>
          <t>B</t>
        </is>
      </c>
      <c r="U20" s="80" t="inlineStr">
        <is>
          <t>CLINIC *</t>
        </is>
      </c>
      <c r="V20" s="75" t="inlineStr">
        <is>
          <t>C</t>
        </is>
      </c>
      <c r="W20" s="75" t="inlineStr">
        <is>
          <t>C</t>
        </is>
      </c>
      <c r="X20" s="75" t="inlineStr">
        <is>
          <t>ID</t>
        </is>
      </c>
      <c r="Y20" s="75" t="inlineStr">
        <is>
          <t>ID</t>
        </is>
      </c>
      <c r="Z20" s="80" t="inlineStr">
        <is>
          <t>CLINIC</t>
        </is>
      </c>
      <c r="AA20" s="85" t="inlineStr">
        <is>
          <t>CLINIC</t>
        </is>
      </c>
      <c r="AB20" s="75" t="inlineStr">
        <is>
          <t>D</t>
        </is>
      </c>
      <c r="AC20" s="89" t="inlineStr">
        <is>
          <t>D</t>
        </is>
      </c>
      <c r="AD20" s="75" t="inlineStr">
        <is>
          <t>D</t>
        </is>
      </c>
      <c r="AE20" s="75" t="inlineStr">
        <is>
          <t>ED</t>
        </is>
      </c>
      <c r="AF20" s="75" t="inlineStr">
        <is>
          <t>ED</t>
        </is>
      </c>
      <c r="AG20" s="80" t="inlineStr">
        <is>
          <t>CLINIC *</t>
        </is>
      </c>
      <c r="AH20" s="75" t="inlineStr">
        <is>
          <t>ICU N</t>
        </is>
      </c>
      <c r="AI20" s="75" t="inlineStr">
        <is>
          <t>VACATION</t>
        </is>
      </c>
      <c r="AJ20" s="75" t="inlineStr">
        <is>
          <t>VACATION</t>
        </is>
      </c>
      <c r="AK20" s="75" t="inlineStr">
        <is>
          <t>VACATION</t>
        </is>
      </c>
      <c r="AL20" s="80" t="inlineStr">
        <is>
          <t>CLINIC *</t>
        </is>
      </c>
      <c r="AM20" s="75" t="inlineStr">
        <is>
          <t>ICU E</t>
        </is>
      </c>
      <c r="AN20" s="75" t="inlineStr">
        <is>
          <t>ICU E</t>
        </is>
      </c>
      <c r="AO20" s="75" t="inlineStr">
        <is>
          <t>C</t>
        </is>
      </c>
      <c r="AP20" s="75" t="inlineStr">
        <is>
          <t>C</t>
        </is>
      </c>
      <c r="AQ20" s="80" t="inlineStr">
        <is>
          <t>CLINIC *</t>
        </is>
      </c>
      <c r="AR20" s="75" t="inlineStr">
        <is>
          <t>A</t>
        </is>
      </c>
      <c r="AS20" s="78" t="inlineStr">
        <is>
          <t>A</t>
        </is>
      </c>
      <c r="AT20" s="78" t="inlineStr">
        <is>
          <t>A</t>
        </is>
      </c>
      <c r="AU20" s="75" t="inlineStr">
        <is>
          <t>CLINIC *</t>
        </is>
      </c>
      <c r="AV20" s="80" t="inlineStr">
        <is>
          <t>CLINIC *</t>
        </is>
      </c>
      <c r="AW20" s="75" t="inlineStr">
        <is>
          <t>C</t>
        </is>
      </c>
      <c r="AX20" s="75" t="inlineStr">
        <is>
          <t>C</t>
        </is>
      </c>
      <c r="AY20" s="75" t="inlineStr">
        <is>
          <t>C</t>
        </is>
      </c>
      <c r="AZ20" s="75" t="inlineStr">
        <is>
          <t>CLINIC *</t>
        </is>
      </c>
      <c r="BA20" s="75" t="inlineStr">
        <is>
          <t>CLINIC *</t>
        </is>
      </c>
      <c r="BB20" s="75" t="inlineStr">
        <is>
          <t>D</t>
        </is>
      </c>
      <c r="BC20" s="80" t="inlineStr">
        <is>
          <t>D</t>
        </is>
      </c>
      <c r="BD20" s="63">
        <f>COUNTIF($D20:$BC20,"CARDIO")+COUNTIF($D20:$BC20,"CARDIO E")+COUNTIF($D20:$BC20,"CARDIO E *")+COUNTIF($D20:$BC20,"CARDIO-HCA")+COUNTIF($D20:$BC20,"CARDIO-HCA *")+COUNTIF($D20:$BC20,"CARDIO-RAM")+COUNTIF($D20:$BC20,"CARDIO-RAM *")</f>
        <v/>
      </c>
      <c r="BE20" s="63">
        <f>COUNTIF($D20:$BC20,"CLINIC")+COUNTIF($D20:$BC20,"CLINIC *")+COUNTIF($D20:$BC20,"URGENT CARE")+COUNTIF($D20:$BC20,"URGENT CARE *")</f>
        <v/>
      </c>
      <c r="BF20" s="63">
        <f>COUNTIF($D20:$BC20,"ED")</f>
        <v/>
      </c>
      <c r="BG20" s="63">
        <f>COUNTIF($D20:$BC20,"A")+COUNTIF($D20:$BC20,"B")+COUNTIF($D20:$BC20,"C")+COUNTIF($D20:$BC20,"D")+COUNTIF($D20:$BC20,"G")</f>
        <v/>
      </c>
      <c r="BH20" s="63">
        <f>COUNTIF($D20:$BC20,"ICU")</f>
        <v/>
      </c>
      <c r="BI20" s="63">
        <f>COUNTIF($D20:$BC20,"ICU E")</f>
        <v/>
      </c>
      <c r="BJ20" s="63">
        <f>COUNTIF($D20:$BC20,"ICU N")</f>
        <v/>
      </c>
      <c r="BK20" s="63">
        <f>COUNTIF($D20:$BC20,"ID")+COUNTIF($D20:$BC20,"ID *")</f>
        <v/>
      </c>
      <c r="BL20" s="63">
        <f>COUNTIF($D20:$BC20,"NEURO")+COUNTIF($D20:$BC20,"NEURO *")</f>
        <v/>
      </c>
      <c r="BM20" s="63">
        <f>COUNTIF($D20:$BC20,"NF")</f>
        <v/>
      </c>
      <c r="BN20" s="63">
        <f>COUNTIF($D20:$BC20,"SWING")</f>
        <v/>
      </c>
      <c r="BO20" s="63">
        <f>COUNTIF($D20:$BC20,"VACATION")</f>
        <v/>
      </c>
      <c r="BP20" s="23">
        <f>SUM(BD20:BO20)</f>
        <v/>
      </c>
      <c r="BQ20" s="63">
        <f>COUNTIF($D20:$BC20,"PALLIATIVE")+COUNTIF($D20:$BC20,"PALLIATIVE *")</f>
        <v/>
      </c>
      <c r="BR20" s="63">
        <f>COUNTIF($D20:$BC20,"GERIATRIC")+COUNTIF($D20:$BC20,"GERIATRIC 2")</f>
        <v/>
      </c>
      <c r="BS20" s="63">
        <f>COUNTIF($D20:$BC20,"GS")+COUNTIF($D20:$BC20,"GI")+COUNTIF($D20:$BC20,"GI *")</f>
        <v/>
      </c>
      <c r="BT20" s="63">
        <f>COUNTIF($D20:$BC20,"HEM/ONC")+COUNTIF($D20:$BC20,"HEM/ONC *")</f>
        <v/>
      </c>
      <c r="BU20" s="63">
        <f>COUNTIF($D20:$BC20,"PAIN MANAGEMENT")+COUNTIF($D20:$BC20,"PAIN MANAGEMENT *")</f>
        <v/>
      </c>
      <c r="BV20" s="63">
        <f>COUNTIF($D20:$BC20,"RHEUMA")+COUNTIF($D20:$BC20,"RHEUMA *")</f>
        <v/>
      </c>
      <c r="BW20" s="63">
        <f>COUNTIF($D20:$BC20,"ENDO")+COUNTIF($D20:$BC20,"ENDO *")</f>
        <v/>
      </c>
      <c r="BX20" s="63">
        <f>COUNTIF($D20:$BC20,"PLASTIC")+COUNTIF($D20:$BC20,"PLASTIC *")</f>
        <v/>
      </c>
      <c r="BY20" s="63">
        <f>COUNTIF($D20:$BC20,"PULM")+COUNTIF($D20:$BC20,"PULM *")</f>
        <v/>
      </c>
      <c r="BZ20" s="63">
        <f>COUNTIF($D20:$BC20,"SICU")+COUNTIF($D20:$BC20,"SICU *")</f>
        <v/>
      </c>
      <c r="CA20" s="63">
        <f>COUNTIF($D20:$BC20,"DERMATOLOGY")+COUNTIF($D20:$BC20,"DERMATOLOGY *")</f>
        <v/>
      </c>
      <c r="CB20" s="86">
        <f>COUNTIF($D20:$BC20,"NEPHRO")+COUNTIF($D20:$BC20,"NEPHRO *")</f>
        <v/>
      </c>
      <c r="CC20" s="59">
        <f>SUM(BQ20:CB20)</f>
        <v/>
      </c>
      <c r="CD20" s="57">
        <f>BP20+CC20</f>
        <v/>
      </c>
    </row>
    <row r="21" ht="39" customHeight="1">
      <c r="A21" s="163" t="n"/>
      <c r="B21" s="167" t="n"/>
      <c r="C21" s="66" t="inlineStr">
        <is>
          <t>I. Estrada</t>
        </is>
      </c>
      <c r="D21" s="75" t="inlineStr">
        <is>
          <t>D</t>
        </is>
      </c>
      <c r="E21" s="75" t="inlineStr">
        <is>
          <t>D</t>
        </is>
      </c>
      <c r="F21" s="80" t="inlineStr">
        <is>
          <t>CLINIC *</t>
        </is>
      </c>
      <c r="G21" s="75" t="inlineStr">
        <is>
          <t>CLINIC *</t>
        </is>
      </c>
      <c r="H21" s="75" t="inlineStr">
        <is>
          <t>ID</t>
        </is>
      </c>
      <c r="I21" s="75" t="inlineStr">
        <is>
          <t>ID</t>
        </is>
      </c>
      <c r="J21" s="75" t="inlineStr">
        <is>
          <t>VACATION</t>
        </is>
      </c>
      <c r="K21" s="80" t="inlineStr">
        <is>
          <t>CLINIC *</t>
        </is>
      </c>
      <c r="L21" s="75" t="inlineStr">
        <is>
          <t>C</t>
        </is>
      </c>
      <c r="M21" s="75" t="inlineStr">
        <is>
          <t>ICU N</t>
        </is>
      </c>
      <c r="N21" s="75" t="inlineStr">
        <is>
          <t>ICU N</t>
        </is>
      </c>
      <c r="O21" s="76" t="inlineStr">
        <is>
          <t>ICU N</t>
        </is>
      </c>
      <c r="P21" s="80" t="inlineStr">
        <is>
          <t>CLINIC *</t>
        </is>
      </c>
      <c r="Q21" s="75" t="inlineStr">
        <is>
          <t>ED</t>
        </is>
      </c>
      <c r="R21" s="75" t="inlineStr">
        <is>
          <t>ED</t>
        </is>
      </c>
      <c r="S21" s="75" t="inlineStr">
        <is>
          <t>D</t>
        </is>
      </c>
      <c r="T21" s="79" t="inlineStr">
        <is>
          <t>D</t>
        </is>
      </c>
      <c r="U21" s="80" t="inlineStr">
        <is>
          <t>CLINIC *</t>
        </is>
      </c>
      <c r="V21" s="75" t="inlineStr">
        <is>
          <t>CARDIO-HCA</t>
        </is>
      </c>
      <c r="W21" s="75" t="inlineStr">
        <is>
          <t>CARDIO-HCA</t>
        </is>
      </c>
      <c r="X21" s="75" t="inlineStr">
        <is>
          <t>A</t>
        </is>
      </c>
      <c r="Y21" s="75" t="inlineStr">
        <is>
          <t>A</t>
        </is>
      </c>
      <c r="Z21" s="80" t="inlineStr">
        <is>
          <t>CLINIC *</t>
        </is>
      </c>
      <c r="AA21" s="76" t="inlineStr">
        <is>
          <t>CLINIC *</t>
        </is>
      </c>
      <c r="AB21" s="76" t="inlineStr">
        <is>
          <t>CLINIC *</t>
        </is>
      </c>
      <c r="AC21" s="89" t="inlineStr">
        <is>
          <t>B</t>
        </is>
      </c>
      <c r="AD21" s="75" t="inlineStr">
        <is>
          <t>B</t>
        </is>
      </c>
      <c r="AE21" s="75" t="inlineStr">
        <is>
          <t>B</t>
        </is>
      </c>
      <c r="AF21" s="75" t="inlineStr">
        <is>
          <t>B</t>
        </is>
      </c>
      <c r="AG21" s="80" t="inlineStr">
        <is>
          <t>CLINIC *</t>
        </is>
      </c>
      <c r="AH21" s="75" t="inlineStr">
        <is>
          <t>D</t>
        </is>
      </c>
      <c r="AI21" s="75" t="inlineStr">
        <is>
          <t>D</t>
        </is>
      </c>
      <c r="AJ21" s="75" t="inlineStr">
        <is>
          <t>D</t>
        </is>
      </c>
      <c r="AK21" s="75" t="inlineStr">
        <is>
          <t>ICU N</t>
        </is>
      </c>
      <c r="AL21" s="80" t="inlineStr">
        <is>
          <t>CLINIC *</t>
        </is>
      </c>
      <c r="AM21" s="75" t="inlineStr">
        <is>
          <t>D</t>
        </is>
      </c>
      <c r="AN21" s="75" t="inlineStr">
        <is>
          <t>D</t>
        </is>
      </c>
      <c r="AO21" s="75" t="inlineStr">
        <is>
          <t>D</t>
        </is>
      </c>
      <c r="AP21" s="75" t="inlineStr">
        <is>
          <t>ICU E</t>
        </is>
      </c>
      <c r="AQ21" s="80" t="inlineStr">
        <is>
          <t>CLINIC</t>
        </is>
      </c>
      <c r="AR21" s="75" t="inlineStr">
        <is>
          <t>CLINIC</t>
        </is>
      </c>
      <c r="AS21" s="78" t="inlineStr">
        <is>
          <t>VACATION</t>
        </is>
      </c>
      <c r="AT21" s="80" t="inlineStr">
        <is>
          <t>VACATION</t>
        </is>
      </c>
      <c r="AU21" s="78" t="inlineStr">
        <is>
          <t>VACATION</t>
        </is>
      </c>
      <c r="AV21" s="80" t="inlineStr">
        <is>
          <t>CLINIC *</t>
        </is>
      </c>
      <c r="AW21" s="75" t="inlineStr">
        <is>
          <t>ICU</t>
        </is>
      </c>
      <c r="AX21" s="75" t="inlineStr">
        <is>
          <t>ICU</t>
        </is>
      </c>
      <c r="AY21" s="75" t="inlineStr">
        <is>
          <t>ICU</t>
        </is>
      </c>
      <c r="AZ21" s="75" t="inlineStr">
        <is>
          <t>NF</t>
        </is>
      </c>
      <c r="BA21" s="75" t="inlineStr">
        <is>
          <t>CLINIC *</t>
        </is>
      </c>
      <c r="BB21" s="75" t="inlineStr">
        <is>
          <t>C</t>
        </is>
      </c>
      <c r="BC21" s="80" t="inlineStr">
        <is>
          <t>C</t>
        </is>
      </c>
      <c r="BD21" s="63">
        <f>COUNTIF($D21:$BC21,"CARDIO")+COUNTIF($D21:$BC21,"CARDIO E")+COUNTIF($D21:$BC21,"CARDIO E *")+COUNTIF($D21:$BC21,"CARDIO-HCA")+COUNTIF($D21:$BC21,"CARDIO-HCA *")+COUNTIF($D21:$BC21,"CARDIO-RAM")+COUNTIF($D21:$BC21,"CARDIO-RAM *")</f>
        <v/>
      </c>
      <c r="BE21" s="63">
        <f>COUNTIF($D21:$BC21,"CLINIC")+COUNTIF($D21:$BC21,"CLINIC *")+COUNTIF($D21:$BC21,"URGENT CARE")+COUNTIF($D21:$BC21,"URGENT CARE *")</f>
        <v/>
      </c>
      <c r="BF21" s="63">
        <f>COUNTIF($D21:$BC21,"ED")</f>
        <v/>
      </c>
      <c r="BG21" s="63">
        <f>COUNTIF($D21:$BC21,"A")+COUNTIF($D21:$BC21,"B")+COUNTIF($D21:$BC21,"C")+COUNTIF($D21:$BC21,"D")+COUNTIF($D21:$BC21,"G")</f>
        <v/>
      </c>
      <c r="BH21" s="63">
        <f>COUNTIF($D21:$BC21,"ICU")</f>
        <v/>
      </c>
      <c r="BI21" s="63">
        <f>COUNTIF($D21:$BC21,"ICU E")</f>
        <v/>
      </c>
      <c r="BJ21" s="63">
        <f>COUNTIF($D21:$BC21,"ICU N")</f>
        <v/>
      </c>
      <c r="BK21" s="63">
        <f>COUNTIF($D21:$BC21,"ID")+COUNTIF($D21:$BC21,"ID *")</f>
        <v/>
      </c>
      <c r="BL21" s="63">
        <f>COUNTIF($D21:$BC21,"NEURO")+COUNTIF($D21:$BC21,"NEURO *")</f>
        <v/>
      </c>
      <c r="BM21" s="63">
        <f>COUNTIF($D21:$BC21,"NF")</f>
        <v/>
      </c>
      <c r="BN21" s="63">
        <f>COUNTIF($D21:$BC21,"SWING")</f>
        <v/>
      </c>
      <c r="BO21" s="63">
        <f>COUNTIF($D21:$BC21,"VACATION")</f>
        <v/>
      </c>
      <c r="BP21" s="23">
        <f>SUM(BD21:BO21)</f>
        <v/>
      </c>
      <c r="BQ21" s="63">
        <f>COUNTIF($D21:$BC21,"PALLIATIVE")+COUNTIF($D21:$BC21,"PALLIATIVE *")</f>
        <v/>
      </c>
      <c r="BR21" s="63">
        <f>COUNTIF($D21:$BC21,"GERIATRIC")+COUNTIF($D21:$BC21,"GERIATRIC 2")</f>
        <v/>
      </c>
      <c r="BS21" s="63">
        <f>COUNTIF($D21:$BC21,"GS")+COUNTIF($D21:$BC21,"GI")+COUNTIF($D21:$BC21,"GI *")</f>
        <v/>
      </c>
      <c r="BT21" s="63">
        <f>COUNTIF($D21:$BC21,"HEM/ONC")+COUNTIF($D21:$BC21,"HEM/ONC *")</f>
        <v/>
      </c>
      <c r="BU21" s="63">
        <f>COUNTIF($D21:$BC21,"PAIN MANAGEMENT")+COUNTIF($D21:$BC21,"PAIN MANAGEMENT *")</f>
        <v/>
      </c>
      <c r="BV21" s="63">
        <f>COUNTIF($D21:$BC21,"RHEUMA")+COUNTIF($D21:$BC21,"RHEUMA *")</f>
        <v/>
      </c>
      <c r="BW21" s="63">
        <f>COUNTIF($D21:$BC21,"ENDO")+COUNTIF($D21:$BC21,"ENDO *")</f>
        <v/>
      </c>
      <c r="BX21" s="63">
        <f>COUNTIF($D21:$BC21,"PLASTIC")+COUNTIF($D21:$BC21,"PLASTIC *")</f>
        <v/>
      </c>
      <c r="BY21" s="63">
        <f>COUNTIF($D21:$BC21,"PULM")+COUNTIF($D21:$BC21,"PULM *")</f>
        <v/>
      </c>
      <c r="BZ21" s="63">
        <f>COUNTIF($D21:$BC21,"SICU")+COUNTIF($D21:$BC21,"SICU *")</f>
        <v/>
      </c>
      <c r="CA21" s="63">
        <f>COUNTIF($D21:$BC21,"DERMATOLOGY")+COUNTIF($D21:$BC21,"DERMATOLOGY *")</f>
        <v/>
      </c>
      <c r="CB21" s="86">
        <f>COUNTIF($D21:$BC21,"NEPHRO")+COUNTIF($D21:$BC21,"NEPHRO *")</f>
        <v/>
      </c>
      <c r="CC21" s="59">
        <f>SUM(BQ21:CB21)</f>
        <v/>
      </c>
      <c r="CD21" s="57">
        <f>BP21+CC21</f>
        <v/>
      </c>
    </row>
    <row r="22" ht="39" customHeight="1">
      <c r="A22" s="163" t="n"/>
      <c r="B22" s="111" t="inlineStr">
        <is>
          <t>PGY-2</t>
        </is>
      </c>
      <c r="C22" s="67" t="inlineStr">
        <is>
          <t>J. Cabrera</t>
        </is>
      </c>
      <c r="D22" s="75" t="inlineStr">
        <is>
          <t>D</t>
        </is>
      </c>
      <c r="E22" s="75" t="inlineStr">
        <is>
          <t>D</t>
        </is>
      </c>
      <c r="F22" s="80" t="inlineStr">
        <is>
          <t>CLINIC *</t>
        </is>
      </c>
      <c r="G22" s="85" t="inlineStr">
        <is>
          <t>ID</t>
        </is>
      </c>
      <c r="H22" s="85" t="inlineStr">
        <is>
          <t>ID</t>
        </is>
      </c>
      <c r="I22" s="76" t="inlineStr">
        <is>
          <t>NEURO</t>
        </is>
      </c>
      <c r="J22" s="80" t="inlineStr">
        <is>
          <t>NEURO</t>
        </is>
      </c>
      <c r="K22" s="80" t="inlineStr">
        <is>
          <t>CLINIC *</t>
        </is>
      </c>
      <c r="L22" s="74" t="inlineStr">
        <is>
          <t>C</t>
        </is>
      </c>
      <c r="M22" s="75" t="inlineStr">
        <is>
          <t>C</t>
        </is>
      </c>
      <c r="N22" s="75" t="inlineStr">
        <is>
          <t>C</t>
        </is>
      </c>
      <c r="O22" s="80" t="inlineStr">
        <is>
          <t>C</t>
        </is>
      </c>
      <c r="P22" s="80" t="inlineStr">
        <is>
          <t>CLINIC *</t>
        </is>
      </c>
      <c r="Q22" s="75" t="inlineStr">
        <is>
          <t>A</t>
        </is>
      </c>
      <c r="R22" s="80" t="inlineStr">
        <is>
          <t>A</t>
        </is>
      </c>
      <c r="S22" s="80" t="inlineStr">
        <is>
          <t>VACATION</t>
        </is>
      </c>
      <c r="T22" s="80" t="inlineStr">
        <is>
          <t>CLINIC *</t>
        </is>
      </c>
      <c r="U22" s="80" t="inlineStr">
        <is>
          <t>CLINIC *</t>
        </is>
      </c>
      <c r="V22" s="75" t="inlineStr">
        <is>
          <t>ICU N</t>
        </is>
      </c>
      <c r="W22" s="75" t="inlineStr">
        <is>
          <t>ICU N</t>
        </is>
      </c>
      <c r="X22" s="85" t="inlineStr">
        <is>
          <t>ICU N</t>
        </is>
      </c>
      <c r="Y22" s="85" t="inlineStr">
        <is>
          <t>ICU N</t>
        </is>
      </c>
      <c r="Z22" s="80" t="inlineStr">
        <is>
          <t>CLINIC *</t>
        </is>
      </c>
      <c r="AA22" s="75" t="inlineStr">
        <is>
          <t>D</t>
        </is>
      </c>
      <c r="AB22" s="75" t="inlineStr">
        <is>
          <t>D</t>
        </is>
      </c>
      <c r="AC22" s="89" t="inlineStr">
        <is>
          <t>D</t>
        </is>
      </c>
      <c r="AD22" s="75" t="inlineStr">
        <is>
          <t>D</t>
        </is>
      </c>
      <c r="AE22" s="75" t="inlineStr">
        <is>
          <t>D</t>
        </is>
      </c>
      <c r="AF22" s="75" t="inlineStr">
        <is>
          <t>D</t>
        </is>
      </c>
      <c r="AG22" s="80" t="inlineStr">
        <is>
          <t>CLINIC *</t>
        </is>
      </c>
      <c r="AH22" s="75" t="inlineStr">
        <is>
          <t>A</t>
        </is>
      </c>
      <c r="AI22" s="75" t="inlineStr">
        <is>
          <t>A</t>
        </is>
      </c>
      <c r="AJ22" s="80" t="inlineStr">
        <is>
          <t>ED</t>
        </is>
      </c>
      <c r="AK22" s="75" t="inlineStr">
        <is>
          <t>ED</t>
        </is>
      </c>
      <c r="AL22" s="80" t="inlineStr">
        <is>
          <t>CLINIC</t>
        </is>
      </c>
      <c r="AM22" s="75" t="inlineStr">
        <is>
          <t>CLINIC</t>
        </is>
      </c>
      <c r="AN22" s="75" t="inlineStr">
        <is>
          <t>CLINIC</t>
        </is>
      </c>
      <c r="AO22" s="75" t="inlineStr">
        <is>
          <t>CARDIO-HCA</t>
        </is>
      </c>
      <c r="AP22" s="75" t="inlineStr">
        <is>
          <t>CARDIO-HCA</t>
        </is>
      </c>
      <c r="AQ22" s="80" t="inlineStr">
        <is>
          <t>CLINIC *</t>
        </is>
      </c>
      <c r="AR22" s="75" t="inlineStr">
        <is>
          <t>ICU N</t>
        </is>
      </c>
      <c r="AS22" s="78" t="inlineStr">
        <is>
          <t>ICU N</t>
        </is>
      </c>
      <c r="AT22" s="78" t="inlineStr">
        <is>
          <t>ICU N</t>
        </is>
      </c>
      <c r="AU22" s="78" t="inlineStr">
        <is>
          <t>ICU N</t>
        </is>
      </c>
      <c r="AV22" s="80" t="inlineStr">
        <is>
          <t>CLINIC</t>
        </is>
      </c>
      <c r="AW22" s="75" t="inlineStr">
        <is>
          <t>CLINIC</t>
        </is>
      </c>
      <c r="AX22" s="75" t="inlineStr">
        <is>
          <t>VACATION</t>
        </is>
      </c>
      <c r="AY22" s="75" t="inlineStr">
        <is>
          <t>VACATION</t>
        </is>
      </c>
      <c r="AZ22" s="75" t="inlineStr">
        <is>
          <t>VACATION</t>
        </is>
      </c>
      <c r="BA22" s="80" t="inlineStr">
        <is>
          <t>CLINIC *</t>
        </is>
      </c>
      <c r="BB22" s="75" t="inlineStr">
        <is>
          <t>CARDIO</t>
        </is>
      </c>
      <c r="BC22" s="75" t="inlineStr">
        <is>
          <t>CARDIO</t>
        </is>
      </c>
      <c r="BD22" s="63">
        <f>COUNTIF($D22:$BC22,"CARDIO")+COUNTIF($D22:$BC22,"CARDIO E")+COUNTIF($D22:$BC22,"CARDIO E *")+COUNTIF($D22:$BC22,"CARDIO-HCA")+COUNTIF($D22:$BC22,"CARDIO-HCA *")+COUNTIF($D22:$BC22,"CARDIO-RAM")+COUNTIF($D22:$BC22,"CARDIO-RAM *")</f>
        <v/>
      </c>
      <c r="BE22" s="63">
        <f>COUNTIF($D22:$BC22,"CLINIC")+COUNTIF($D22:$BC22,"CLINIC *")+COUNTIF($D22:$BC22,"URGENT CARE")+COUNTIF($D22:$BC22,"URGENT CARE *")</f>
        <v/>
      </c>
      <c r="BF22" s="63">
        <f>COUNTIF($D22:$BC22,"ED")</f>
        <v/>
      </c>
      <c r="BG22" s="63">
        <f>COUNTIF($D22:$BC22,"A")+COUNTIF($D22:$BC22,"B")+COUNTIF($D22:$BC22,"C")+COUNTIF($D22:$BC22,"D")+COUNTIF($D22:$BC22,"G")</f>
        <v/>
      </c>
      <c r="BH22" s="63">
        <f>COUNTIF($D22:$BC22,"ICU")</f>
        <v/>
      </c>
      <c r="BI22" s="63">
        <f>COUNTIF($D22:$BC22,"ICU E")</f>
        <v/>
      </c>
      <c r="BJ22" s="63">
        <f>COUNTIF($D22:$BC22,"ICU N")</f>
        <v/>
      </c>
      <c r="BK22" s="63">
        <f>COUNTIF($D22:$BC22,"ID")+COUNTIF($D22:$BC22,"ID *")</f>
        <v/>
      </c>
      <c r="BL22" s="63">
        <f>COUNTIF($D22:$BC22,"NEURO")+COUNTIF($D22:$BC22,"NEURO *")</f>
        <v/>
      </c>
      <c r="BM22" s="63">
        <f>COUNTIF($D22:$BC22,"NF")</f>
        <v/>
      </c>
      <c r="BN22" s="63">
        <f>COUNTIF($D22:$BC22,"SWING")</f>
        <v/>
      </c>
      <c r="BO22" s="63">
        <f>COUNTIF($D22:$BC22,"VACATION")</f>
        <v/>
      </c>
      <c r="BP22" s="23">
        <f>SUM(BD22:BO22)</f>
        <v/>
      </c>
      <c r="BQ22" s="63">
        <f>COUNTIF($D22:$BC22,"PALLIATIVE")+COUNTIF($D22:$BC22,"PALLIATIVE *")</f>
        <v/>
      </c>
      <c r="BR22" s="63">
        <f>COUNTIF($D22:$BC22,"GERIATRIC")+COUNTIF($D22:$BC22,"GERIATRIC 2")</f>
        <v/>
      </c>
      <c r="BS22" s="63">
        <f>COUNTIF($D22:$BC22,"GS")+COUNTIF($D22:$BC22,"GI")+COUNTIF($D22:$BC22,"GI *")</f>
        <v/>
      </c>
      <c r="BT22" s="63">
        <f>COUNTIF($D22:$BC22,"HEM/ONC")+COUNTIF($D22:$BC22,"HEM/ONC *")</f>
        <v/>
      </c>
      <c r="BU22" s="63">
        <f>COUNTIF($D22:$BC22,"PAIN MANAGEMENT")+COUNTIF($D22:$BC22,"PAIN MANAGEMENT *")</f>
        <v/>
      </c>
      <c r="BV22" s="63">
        <f>COUNTIF($D22:$BC22,"RHEUMA")+COUNTIF($D22:$BC22,"RHEUMA *")</f>
        <v/>
      </c>
      <c r="BW22" s="63">
        <f>COUNTIF($D22:$BC22,"ENDO")+COUNTIF($D22:$BC22,"ENDO *")</f>
        <v/>
      </c>
      <c r="BX22" s="63">
        <f>COUNTIF($D22:$BC22,"PLASTIC")+COUNTIF($D22:$BC22,"PLASTIC *")</f>
        <v/>
      </c>
      <c r="BY22" s="63">
        <f>COUNTIF($D22:$BC22,"PULM")+COUNTIF($D22:$BC22,"PULM *")</f>
        <v/>
      </c>
      <c r="BZ22" s="63">
        <f>COUNTIF($D22:$BC22,"SICU")+COUNTIF($D22:$BC22,"SICU *")</f>
        <v/>
      </c>
      <c r="CA22" s="63">
        <f>COUNTIF($D22:$BC22,"DERMATOLOGY")+COUNTIF($D22:$BC22,"DERMATOLOGY *")</f>
        <v/>
      </c>
      <c r="CB22" s="86">
        <f>COUNTIF($D22:$BC22,"NEPHRO")+COUNTIF($D22:$BC22,"NEPHRO *")</f>
        <v/>
      </c>
      <c r="CC22" s="59">
        <f>SUM(BQ22:CB22)</f>
        <v/>
      </c>
      <c r="CD22" s="57">
        <f>BP22+CC22</f>
        <v/>
      </c>
    </row>
    <row r="23" ht="39" customHeight="1">
      <c r="A23" s="163" t="n"/>
      <c r="B23" s="167" t="n"/>
      <c r="C23" s="67" t="inlineStr">
        <is>
          <t>J. Perez</t>
        </is>
      </c>
      <c r="D23" s="75" t="inlineStr">
        <is>
          <t>NEURO</t>
        </is>
      </c>
      <c r="E23" s="80" t="inlineStr">
        <is>
          <t>NEURO</t>
        </is>
      </c>
      <c r="F23" s="80" t="inlineStr">
        <is>
          <t>CLINIC *</t>
        </is>
      </c>
      <c r="G23" s="75" t="inlineStr">
        <is>
          <t>ICU N</t>
        </is>
      </c>
      <c r="H23" s="75" t="inlineStr">
        <is>
          <t>ICU N</t>
        </is>
      </c>
      <c r="I23" s="76" t="inlineStr">
        <is>
          <t>ICU N</t>
        </is>
      </c>
      <c r="J23" s="75" t="inlineStr">
        <is>
          <t>ICU N</t>
        </is>
      </c>
      <c r="K23" s="80" t="inlineStr">
        <is>
          <t>CLINIC *</t>
        </is>
      </c>
      <c r="L23" s="75" t="inlineStr">
        <is>
          <t>CLINIC *</t>
        </is>
      </c>
      <c r="M23" s="75" t="inlineStr">
        <is>
          <t>CLINIC *</t>
        </is>
      </c>
      <c r="N23" s="97" t="inlineStr">
        <is>
          <t>CLINIC *</t>
        </is>
      </c>
      <c r="O23" s="76" t="inlineStr">
        <is>
          <t>CLINIC *</t>
        </is>
      </c>
      <c r="P23" s="80" t="inlineStr">
        <is>
          <t>CLINIC *</t>
        </is>
      </c>
      <c r="Q23" s="75" t="inlineStr">
        <is>
          <t>ID</t>
        </is>
      </c>
      <c r="R23" s="97" t="inlineStr">
        <is>
          <t>ID</t>
        </is>
      </c>
      <c r="S23" s="80" t="inlineStr">
        <is>
          <t>ICU E</t>
        </is>
      </c>
      <c r="T23" s="74" t="inlineStr">
        <is>
          <t>ICU E</t>
        </is>
      </c>
      <c r="U23" s="80" t="inlineStr">
        <is>
          <t>CLINIC *</t>
        </is>
      </c>
      <c r="V23" s="80" t="inlineStr">
        <is>
          <t>NF</t>
        </is>
      </c>
      <c r="W23" s="76" t="inlineStr">
        <is>
          <t>NF</t>
        </is>
      </c>
      <c r="X23" s="80" t="inlineStr">
        <is>
          <t>NF</t>
        </is>
      </c>
      <c r="Y23" s="75" t="inlineStr">
        <is>
          <t>NF</t>
        </is>
      </c>
      <c r="Z23" s="75" t="inlineStr">
        <is>
          <t>CLINIC *</t>
        </is>
      </c>
      <c r="AA23" s="75" t="inlineStr">
        <is>
          <t>D</t>
        </is>
      </c>
      <c r="AB23" s="75" t="inlineStr">
        <is>
          <t>D</t>
        </is>
      </c>
      <c r="AC23" s="75" t="inlineStr">
        <is>
          <t>D</t>
        </is>
      </c>
      <c r="AD23" s="89" t="inlineStr">
        <is>
          <t>D</t>
        </is>
      </c>
      <c r="AE23" s="75" t="inlineStr">
        <is>
          <t>D</t>
        </is>
      </c>
      <c r="AF23" s="75" t="inlineStr">
        <is>
          <t>D</t>
        </is>
      </c>
      <c r="AG23" s="80" t="inlineStr">
        <is>
          <t>CLINIC *</t>
        </is>
      </c>
      <c r="AH23" s="75" t="inlineStr">
        <is>
          <t>B</t>
        </is>
      </c>
      <c r="AI23" s="75" t="inlineStr">
        <is>
          <t>B</t>
        </is>
      </c>
      <c r="AJ23" s="75" t="inlineStr">
        <is>
          <t>B</t>
        </is>
      </c>
      <c r="AK23" s="97" t="inlineStr">
        <is>
          <t>B</t>
        </is>
      </c>
      <c r="AL23" s="80" t="inlineStr">
        <is>
          <t>CLINIC *</t>
        </is>
      </c>
      <c r="AM23" s="75" t="inlineStr">
        <is>
          <t>C</t>
        </is>
      </c>
      <c r="AN23" s="75" t="inlineStr">
        <is>
          <t>C</t>
        </is>
      </c>
      <c r="AO23" s="75" t="inlineStr">
        <is>
          <t>ICU E</t>
        </is>
      </c>
      <c r="AP23" s="75" t="inlineStr">
        <is>
          <t>ICU E</t>
        </is>
      </c>
      <c r="AQ23" s="80" t="inlineStr">
        <is>
          <t>CLINIC *</t>
        </is>
      </c>
      <c r="AR23" s="75" t="inlineStr">
        <is>
          <t>VACATION</t>
        </is>
      </c>
      <c r="AS23" s="78" t="inlineStr">
        <is>
          <t>VACATION</t>
        </is>
      </c>
      <c r="AT23" s="75" t="inlineStr">
        <is>
          <t>VACATION</t>
        </is>
      </c>
      <c r="AU23" s="78" t="inlineStr">
        <is>
          <t>VACATION</t>
        </is>
      </c>
      <c r="AV23" s="80" t="inlineStr">
        <is>
          <t>CLINIC</t>
        </is>
      </c>
      <c r="AW23" s="75" t="inlineStr">
        <is>
          <t>CARDIO-HCA</t>
        </is>
      </c>
      <c r="AX23" s="75" t="inlineStr">
        <is>
          <t>CARDIO-HCA</t>
        </is>
      </c>
      <c r="AY23" s="75" t="inlineStr">
        <is>
          <t>CARDIO-HCA</t>
        </is>
      </c>
      <c r="AZ23" s="75" t="inlineStr">
        <is>
          <t>CARDIO-HCA</t>
        </is>
      </c>
      <c r="BA23" s="80" t="inlineStr">
        <is>
          <t>CLINIC *</t>
        </is>
      </c>
      <c r="BB23" s="80" t="inlineStr">
        <is>
          <t>ED</t>
        </is>
      </c>
      <c r="BC23" s="75" t="inlineStr">
        <is>
          <t>ED</t>
        </is>
      </c>
      <c r="BD23" s="63">
        <f>COUNTIF($D23:$BC23,"CARDIO")+COUNTIF($D23:$BC23,"CARDIO E")+COUNTIF($D23:$BC23,"CARDIO E *")+COUNTIF($D23:$BC23,"CARDIO-HCA")+COUNTIF($D23:$BC23,"CARDIO-HCA *")+COUNTIF($D23:$BC23,"CARDIO-RAM")+COUNTIF($D23:$BC23,"CARDIO-RAM *")</f>
        <v/>
      </c>
      <c r="BE23" s="63">
        <f>COUNTIF($D23:$BC23,"CLINIC")+COUNTIF($D23:$BC23,"CLINIC *")+COUNTIF($D23:$BC23,"URGENT CARE")+COUNTIF($D23:$BC23,"URGENT CARE *")</f>
        <v/>
      </c>
      <c r="BF23" s="63">
        <f>COUNTIF($D23:$BC23,"ED")</f>
        <v/>
      </c>
      <c r="BG23" s="63">
        <f>COUNTIF($D23:$BC23,"A")+COUNTIF($D23:$BC23,"B")+COUNTIF($D23:$BC23,"C")+COUNTIF($D23:$BC23,"D")+COUNTIF($D23:$BC23,"G")</f>
        <v/>
      </c>
      <c r="BH23" s="63">
        <f>COUNTIF($D23:$BC23,"ICU")</f>
        <v/>
      </c>
      <c r="BI23" s="63">
        <f>COUNTIF($D23:$BC23,"ICU E")</f>
        <v/>
      </c>
      <c r="BJ23" s="63">
        <f>COUNTIF($D23:$BC23,"ICU N")</f>
        <v/>
      </c>
      <c r="BK23" s="63">
        <f>COUNTIF($D23:$BC23,"ID")+COUNTIF($D23:$BC23,"ID *")</f>
        <v/>
      </c>
      <c r="BL23" s="63">
        <f>COUNTIF($D23:$BC23,"NEURO")+COUNTIF($D23:$BC23,"NEURO *")</f>
        <v/>
      </c>
      <c r="BM23" s="63">
        <f>COUNTIF($D23:$BC23,"NF")</f>
        <v/>
      </c>
      <c r="BN23" s="63">
        <f>COUNTIF($D23:$BC23,"SWING")</f>
        <v/>
      </c>
      <c r="BO23" s="63">
        <f>COUNTIF($D23:$BC23,"VACATION")</f>
        <v/>
      </c>
      <c r="BP23" s="23">
        <f>SUM(BD23:BO23)</f>
        <v/>
      </c>
      <c r="BQ23" s="63">
        <f>COUNTIF($D23:$BC23,"PALLIATIVE")+COUNTIF($D23:$BC23,"PALLIATIVE *")</f>
        <v/>
      </c>
      <c r="BR23" s="63">
        <f>COUNTIF($D23:$BC23,"GERIATRIC")+COUNTIF($D23:$BC23,"GERIATRIC 2")</f>
        <v/>
      </c>
      <c r="BS23" s="63">
        <f>COUNTIF($D23:$BC23,"GS")+COUNTIF($D23:$BC23,"GI")+COUNTIF($D23:$BC23,"GI *")</f>
        <v/>
      </c>
      <c r="BT23" s="63">
        <f>COUNTIF($D23:$BC23,"HEM/ONC")+COUNTIF($D23:$BC23,"HEM/ONC *")</f>
        <v/>
      </c>
      <c r="BU23" s="63">
        <f>COUNTIF($D23:$BC23,"PAIN MANAGEMENT")+COUNTIF($D23:$BC23,"PAIN MANAGEMENT *")</f>
        <v/>
      </c>
      <c r="BV23" s="63">
        <f>COUNTIF($D23:$BC23,"RHEUMA")+COUNTIF($D23:$BC23,"RHEUMA *")</f>
        <v/>
      </c>
      <c r="BW23" s="63">
        <f>COUNTIF($D23:$BC23,"ENDO")+COUNTIF($D23:$BC23,"ENDO *")</f>
        <v/>
      </c>
      <c r="BX23" s="63">
        <f>COUNTIF($D23:$BC23,"PLASTIC")+COUNTIF($D23:$BC23,"PLASTIC *")</f>
        <v/>
      </c>
      <c r="BY23" s="63">
        <f>COUNTIF($D23:$BC23,"PULM")+COUNTIF($D23:$BC23,"PULM *")</f>
        <v/>
      </c>
      <c r="BZ23" s="63">
        <f>COUNTIF($D23:$BC23,"SICU")+COUNTIF($D23:$BC23,"SICU *")</f>
        <v/>
      </c>
      <c r="CA23" s="63">
        <f>COUNTIF($D23:$BC23,"DERMATOLOGY")+COUNTIF($D23:$BC23,"DERMATOLOGY *")</f>
        <v/>
      </c>
      <c r="CB23" s="86">
        <f>COUNTIF($D23:$BC23,"NEPHRO")+COUNTIF($D23:$BC23,"NEPHRO *")</f>
        <v/>
      </c>
      <c r="CC23" s="59">
        <f>SUM(BQ23:CB23)</f>
        <v/>
      </c>
      <c r="CD23" s="57">
        <f>BP23+CC23</f>
        <v/>
      </c>
    </row>
    <row r="24" ht="39" customHeight="1">
      <c r="A24" s="163" t="n"/>
      <c r="B24" s="111" t="inlineStr">
        <is>
          <t>PGY-3</t>
        </is>
      </c>
      <c r="C24" s="67" t="inlineStr">
        <is>
          <t>C. Ndigamkong</t>
        </is>
      </c>
      <c r="D24" s="80" t="inlineStr">
        <is>
          <t>VACATION</t>
        </is>
      </c>
      <c r="E24" s="85" t="inlineStr">
        <is>
          <t>VACATION</t>
        </is>
      </c>
      <c r="F24" s="80" t="inlineStr">
        <is>
          <t>CLINIC *</t>
        </is>
      </c>
      <c r="G24" s="80" t="inlineStr">
        <is>
          <t>D</t>
        </is>
      </c>
      <c r="H24" s="75" t="inlineStr">
        <is>
          <t>D</t>
        </is>
      </c>
      <c r="I24" s="85" t="inlineStr">
        <is>
          <t>CLINIC *</t>
        </is>
      </c>
      <c r="J24" s="85" t="inlineStr">
        <is>
          <t>CLINIC *</t>
        </is>
      </c>
      <c r="K24" s="80" t="inlineStr">
        <is>
          <t>CLINIC *</t>
        </is>
      </c>
      <c r="L24" s="75" t="inlineStr">
        <is>
          <t>A</t>
        </is>
      </c>
      <c r="M24" s="85" t="inlineStr">
        <is>
          <t>A</t>
        </is>
      </c>
      <c r="N24" s="75" t="inlineStr">
        <is>
          <t>ICU E</t>
        </is>
      </c>
      <c r="O24" s="76" t="inlineStr">
        <is>
          <t>ICU E</t>
        </is>
      </c>
      <c r="P24" s="80" t="inlineStr">
        <is>
          <t>CLINIC *</t>
        </is>
      </c>
      <c r="Q24" s="80" t="inlineStr">
        <is>
          <t>CLINIC *</t>
        </is>
      </c>
      <c r="R24" s="80" t="inlineStr">
        <is>
          <t>CLINIC *</t>
        </is>
      </c>
      <c r="S24" s="80" t="inlineStr">
        <is>
          <t>A</t>
        </is>
      </c>
      <c r="T24" s="80" t="inlineStr">
        <is>
          <t>A</t>
        </is>
      </c>
      <c r="U24" s="104" t="inlineStr">
        <is>
          <t>CLINIC *</t>
        </is>
      </c>
      <c r="V24" s="80" t="inlineStr">
        <is>
          <t>D</t>
        </is>
      </c>
      <c r="W24" s="75" t="inlineStr">
        <is>
          <t>D</t>
        </is>
      </c>
      <c r="X24" s="75" t="inlineStr">
        <is>
          <t>D</t>
        </is>
      </c>
      <c r="Y24" s="76" t="inlineStr">
        <is>
          <t>D</t>
        </is>
      </c>
      <c r="Z24" s="75" t="inlineStr">
        <is>
          <t>CLINIC *</t>
        </is>
      </c>
      <c r="AA24" s="80" t="inlineStr">
        <is>
          <t>CLINIC *</t>
        </is>
      </c>
      <c r="AB24" s="75" t="inlineStr">
        <is>
          <t>CLINIC *</t>
        </is>
      </c>
      <c r="AC24" s="75" t="inlineStr">
        <is>
          <t>ICU</t>
        </is>
      </c>
      <c r="AD24" s="89" t="inlineStr">
        <is>
          <t>ICU</t>
        </is>
      </c>
      <c r="AE24" s="85" t="inlineStr">
        <is>
          <t>VACATION</t>
        </is>
      </c>
      <c r="AF24" s="80" t="inlineStr">
        <is>
          <t>VACATION</t>
        </is>
      </c>
      <c r="AG24" s="97" t="inlineStr">
        <is>
          <t>CLINIC *</t>
        </is>
      </c>
      <c r="AH24" s="99" t="inlineStr">
        <is>
          <t>ICU N</t>
        </is>
      </c>
      <c r="AI24" s="75" t="inlineStr">
        <is>
          <t>ICU N</t>
        </is>
      </c>
      <c r="AJ24" s="80" t="inlineStr">
        <is>
          <t>ICU N</t>
        </is>
      </c>
      <c r="AK24" s="95" t="inlineStr">
        <is>
          <t>CLINIC</t>
        </is>
      </c>
      <c r="AL24" s="75" t="inlineStr">
        <is>
          <t>CLINIC</t>
        </is>
      </c>
      <c r="AM24" s="75" t="inlineStr">
        <is>
          <t>CLINIC</t>
        </is>
      </c>
      <c r="AN24" s="75" t="inlineStr">
        <is>
          <t>ICU</t>
        </is>
      </c>
      <c r="AO24" s="80" t="inlineStr">
        <is>
          <t>ICU</t>
        </is>
      </c>
      <c r="AP24" s="85" t="inlineStr">
        <is>
          <t>ICU</t>
        </is>
      </c>
      <c r="AQ24" s="75" t="inlineStr">
        <is>
          <t>CLINIC *</t>
        </is>
      </c>
      <c r="AR24" s="78" t="inlineStr">
        <is>
          <t>CLINIC *</t>
        </is>
      </c>
      <c r="AS24" s="75" t="inlineStr">
        <is>
          <t>D</t>
        </is>
      </c>
      <c r="AT24" s="75" t="inlineStr">
        <is>
          <t>D</t>
        </is>
      </c>
      <c r="AU24" s="80" t="inlineStr">
        <is>
          <t>D</t>
        </is>
      </c>
      <c r="AV24" s="80" t="inlineStr">
        <is>
          <t>CLINIC *</t>
        </is>
      </c>
      <c r="AW24" s="75" t="inlineStr">
        <is>
          <t>CLINIC *</t>
        </is>
      </c>
      <c r="AX24" s="80" t="inlineStr">
        <is>
          <t>NF</t>
        </is>
      </c>
      <c r="AY24" s="80" t="inlineStr">
        <is>
          <t>NF</t>
        </is>
      </c>
      <c r="AZ24" s="80" t="inlineStr">
        <is>
          <t>NF</t>
        </is>
      </c>
      <c r="BA24" s="85" t="inlineStr">
        <is>
          <t>CLINIC *</t>
        </is>
      </c>
      <c r="BB24" s="85" t="inlineStr">
        <is>
          <t>NF</t>
        </is>
      </c>
      <c r="BC24" s="80" t="inlineStr">
        <is>
          <t>NF</t>
        </is>
      </c>
      <c r="BD24" s="63">
        <f>COUNTIF($D24:$BC24,"CARDIO")+COUNTIF($D24:$BC24,"CARDIO E")+COUNTIF($D24:$BC24,"CARDIO E *")+COUNTIF($D24:$BC24,"CARDIO-HCA")+COUNTIF($D24:$BC24,"CARDIO-HCA *")+COUNTIF($D24:$BC24,"CARDIO-RAM")+COUNTIF($D24:$BC24,"CARDIO-RAM *")</f>
        <v/>
      </c>
      <c r="BE24" s="63">
        <f>COUNTIF($D24:$BC24,"CLINIC")+COUNTIF($D24:$BC24,"CLINIC *")+COUNTIF($D24:$BC24,"URGENT CARE")+COUNTIF($D24:$BC24,"URGENT CARE *")</f>
        <v/>
      </c>
      <c r="BF24" s="63">
        <f>COUNTIF($D24:$BC24,"ED")</f>
        <v/>
      </c>
      <c r="BG24" s="63">
        <f>COUNTIF($D24:$BC24,"A")+COUNTIF($D24:$BC24,"B")+COUNTIF($D24:$BC24,"C")+COUNTIF($D24:$BC24,"D")+COUNTIF($D24:$BC24,"G")</f>
        <v/>
      </c>
      <c r="BH24" s="63">
        <f>COUNTIF($D24:$BC24,"ICU")</f>
        <v/>
      </c>
      <c r="BI24" s="63">
        <f>COUNTIF($D24:$BC24,"ICU E")</f>
        <v/>
      </c>
      <c r="BJ24" s="63">
        <f>COUNTIF($D24:$BC24,"ICU N")</f>
        <v/>
      </c>
      <c r="BK24" s="63" t="n">
        <v>0</v>
      </c>
      <c r="BL24" s="63">
        <f>COUNTIF($D24:$BC24,"NEURO")+COUNTIF($D24:$BC24,"NEURO *")</f>
        <v/>
      </c>
      <c r="BM24" s="63">
        <f>COUNTIF($D24:$BC24,"NF")</f>
        <v/>
      </c>
      <c r="BN24" s="63">
        <f>COUNTIF($D24:$BC24,"SWING")</f>
        <v/>
      </c>
      <c r="BO24" s="63">
        <f>COUNTIF($D24:$BC24,"VACATION")</f>
        <v/>
      </c>
      <c r="BP24" s="23">
        <f>SUM(BD24:BO24)</f>
        <v/>
      </c>
      <c r="BQ24" s="63">
        <f>COUNTIF($D24:$BC24,"PALLIATIVE")+COUNTIF($D24:$BC24,"PALLIATIVE *")</f>
        <v/>
      </c>
      <c r="BR24" s="63">
        <f>COUNTIF($D24:$BC24,"GERIATRIC")+COUNTIF($D24:$BC24,"GERIATRIC 2")</f>
        <v/>
      </c>
      <c r="BS24" s="63">
        <f>COUNTIF($D24:$BC24,"GS")+COUNTIF($D24:$BC24,"GI")+COUNTIF($D24:$BC24,"GI *")</f>
        <v/>
      </c>
      <c r="BT24" s="63">
        <f>COUNTIF($D24:$BC24,"HEM/ONC")+COUNTIF($D24:$BC24,"HEM/ONC *")</f>
        <v/>
      </c>
      <c r="BU24" s="63">
        <f>COUNTIF($D24:$BC24,"PAIN MANAGEMENT")+COUNTIF($D24:$BC24,"PAIN MANAGEMENT *")</f>
        <v/>
      </c>
      <c r="BV24" s="63">
        <f>COUNTIF($D24:$BC24,"RHEUMA")+COUNTIF($D24:$BC24,"RHEUMA *")</f>
        <v/>
      </c>
      <c r="BW24" s="63">
        <f>COUNTIF($D24:$BC24,"ENDO")+COUNTIF($D24:$BC24,"ENDO *")</f>
        <v/>
      </c>
      <c r="BX24" s="63">
        <f>COUNTIF($D24:$BC24,"PLASTIC")+COUNTIF($D24:$BC24,"PLASTIC *")</f>
        <v/>
      </c>
      <c r="BY24" s="63">
        <f>COUNTIF($D24:$BC24,"PULM")+COUNTIF($D24:$BC24,"PULM *")</f>
        <v/>
      </c>
      <c r="BZ24" s="63">
        <f>COUNTIF($D24:$BC24,"SICU")+COUNTIF($D24:$BC24,"SICU *")</f>
        <v/>
      </c>
      <c r="CA24" s="63">
        <f>COUNTIF($D24:$BC24,"DERMATOLOGY")+COUNTIF($D24:$BC24,"DERMATOLOGY *")</f>
        <v/>
      </c>
      <c r="CB24" s="86">
        <f>COUNTIF($D24:$BC24,"NEPHRO")+COUNTIF($D24:$BC24,"NEPHRO *")</f>
        <v/>
      </c>
      <c r="CC24" s="59">
        <f>SUM(BQ24:CB24)</f>
        <v/>
      </c>
      <c r="CD24" s="57">
        <f>BP24+CC24</f>
        <v/>
      </c>
    </row>
    <row r="25" ht="39" customHeight="1">
      <c r="A25" s="163" t="n"/>
      <c r="B25" s="164" t="n"/>
      <c r="C25" s="67" t="inlineStr">
        <is>
          <t>C. Fontela</t>
        </is>
      </c>
      <c r="D25" s="75" t="inlineStr">
        <is>
          <t>NF</t>
        </is>
      </c>
      <c r="E25" s="75" t="inlineStr">
        <is>
          <t>NF</t>
        </is>
      </c>
      <c r="F25" s="80" t="inlineStr">
        <is>
          <t>CLINIC *</t>
        </is>
      </c>
      <c r="G25" s="97" t="inlineStr">
        <is>
          <t>SWING</t>
        </is>
      </c>
      <c r="H25" s="75" t="inlineStr">
        <is>
          <t>SWING</t>
        </is>
      </c>
      <c r="I25" s="75" t="inlineStr">
        <is>
          <t>SWING</t>
        </is>
      </c>
      <c r="J25" s="80" t="inlineStr">
        <is>
          <t>CLINIC</t>
        </is>
      </c>
      <c r="K25" s="80" t="inlineStr">
        <is>
          <t>CLINIC</t>
        </is>
      </c>
      <c r="L25" s="80" t="inlineStr">
        <is>
          <t>CLINIC</t>
        </is>
      </c>
      <c r="M25" s="75" t="inlineStr">
        <is>
          <t>ICU E</t>
        </is>
      </c>
      <c r="N25" s="85" t="inlineStr">
        <is>
          <t>ICU E</t>
        </is>
      </c>
      <c r="O25" s="85" t="inlineStr">
        <is>
          <t>ICU E</t>
        </is>
      </c>
      <c r="P25" s="80" t="inlineStr">
        <is>
          <t>CLINIC *</t>
        </is>
      </c>
      <c r="Q25" s="80" t="inlineStr">
        <is>
          <t>CLINIC *</t>
        </is>
      </c>
      <c r="R25" s="80" t="inlineStr">
        <is>
          <t>CLINIC *</t>
        </is>
      </c>
      <c r="S25" s="99" t="inlineStr">
        <is>
          <t>CLINIC *</t>
        </is>
      </c>
      <c r="T25" s="75" t="inlineStr">
        <is>
          <t>CLINIC *</t>
        </is>
      </c>
      <c r="U25" s="80" t="inlineStr">
        <is>
          <t>CLINIC *</t>
        </is>
      </c>
      <c r="V25" s="76" t="inlineStr">
        <is>
          <t>CLINIC *</t>
        </is>
      </c>
      <c r="W25" s="75" t="inlineStr">
        <is>
          <t>ICU E</t>
        </is>
      </c>
      <c r="X25" s="76" t="inlineStr">
        <is>
          <t>ICU E</t>
        </is>
      </c>
      <c r="Y25" s="75" t="inlineStr">
        <is>
          <t>ICU E</t>
        </is>
      </c>
      <c r="Z25" s="80" t="inlineStr">
        <is>
          <t>CLINIC *</t>
        </is>
      </c>
      <c r="AA25" s="75" t="inlineStr">
        <is>
          <t>SWING</t>
        </is>
      </c>
      <c r="AB25" s="97" t="inlineStr">
        <is>
          <t>SWING</t>
        </is>
      </c>
      <c r="AC25" s="80" t="inlineStr">
        <is>
          <t>SWING</t>
        </is>
      </c>
      <c r="AD25" s="89" t="inlineStr">
        <is>
          <t>SWING</t>
        </is>
      </c>
      <c r="AE25" s="75" t="inlineStr">
        <is>
          <t>SWING</t>
        </is>
      </c>
      <c r="AF25" s="85" t="inlineStr">
        <is>
          <t>SWING</t>
        </is>
      </c>
      <c r="AG25" s="80" t="inlineStr">
        <is>
          <t>CLINIC *</t>
        </is>
      </c>
      <c r="AH25" s="75" t="inlineStr">
        <is>
          <t>VACATION</t>
        </is>
      </c>
      <c r="AI25" s="75" t="inlineStr">
        <is>
          <t>VACATION</t>
        </is>
      </c>
      <c r="AJ25" s="75" t="inlineStr">
        <is>
          <t>CLINIC</t>
        </is>
      </c>
      <c r="AK25" s="75" t="inlineStr">
        <is>
          <t>CLINIC</t>
        </is>
      </c>
      <c r="AL25" s="80" t="inlineStr">
        <is>
          <t>CLINIC</t>
        </is>
      </c>
      <c r="AM25" s="80" t="inlineStr">
        <is>
          <t>A</t>
        </is>
      </c>
      <c r="AN25" s="75" t="inlineStr">
        <is>
          <t>A</t>
        </is>
      </c>
      <c r="AO25" s="85" t="inlineStr">
        <is>
          <t>ICU E</t>
        </is>
      </c>
      <c r="AP25" s="75" t="inlineStr">
        <is>
          <t>ICU E</t>
        </is>
      </c>
      <c r="AQ25" s="80" t="inlineStr">
        <is>
          <t>CLINIC *</t>
        </is>
      </c>
      <c r="AR25" s="93" t="inlineStr">
        <is>
          <t>CLINIC *</t>
        </is>
      </c>
      <c r="AS25" s="97" t="inlineStr">
        <is>
          <t>B</t>
        </is>
      </c>
      <c r="AT25" s="78" t="inlineStr">
        <is>
          <t>B</t>
        </is>
      </c>
      <c r="AU25" s="78" t="inlineStr">
        <is>
          <t>B</t>
        </is>
      </c>
      <c r="AV25" s="80" t="inlineStr">
        <is>
          <t>CLINIC *</t>
        </is>
      </c>
      <c r="AW25" s="75" t="inlineStr">
        <is>
          <t>CLINIC *</t>
        </is>
      </c>
      <c r="AX25" s="75" t="inlineStr">
        <is>
          <t>CLINIC *</t>
        </is>
      </c>
      <c r="AY25" s="85" t="inlineStr">
        <is>
          <t>CLINIC *</t>
        </is>
      </c>
      <c r="AZ25" s="80" t="inlineStr">
        <is>
          <t>CLINIC *</t>
        </is>
      </c>
      <c r="BA25" s="80" t="inlineStr">
        <is>
          <t>CLINIC *</t>
        </is>
      </c>
      <c r="BB25" s="85" t="inlineStr">
        <is>
          <t>VACATION</t>
        </is>
      </c>
      <c r="BC25" s="85" t="inlineStr">
        <is>
          <t>VACATION</t>
        </is>
      </c>
      <c r="BD25" s="63">
        <f>COUNTIF($D25:$BC25,"CARDIO")+COUNTIF($D25:$BC25,"CARDIO E")+COUNTIF($D25:$BC25,"CARDIO E *")+COUNTIF($D25:$BC25,"CARDIO-HCA")+COUNTIF($D25:$BC25,"CARDIO-HCA *")+COUNTIF($D25:$BC25,"CARDIO-RAM")+COUNTIF($D25:$BC25,"CARDIO-RAM *")</f>
        <v/>
      </c>
      <c r="BE25" s="63">
        <f>COUNTIF($D25:$BC25,"CLINIC")+COUNTIF($D25:$BC25,"CLINIC *")+COUNTIF($D25:$BC25,"URGENT CARE")+COUNTIF($D25:$BC25,"URGENT CARE *")</f>
        <v/>
      </c>
      <c r="BF25" s="63">
        <f>COUNTIF($D25:$BC25,"ED")</f>
        <v/>
      </c>
      <c r="BG25" s="63">
        <f>COUNTIF($D25:$BC25,"A")+COUNTIF($D25:$BC25,"B")+COUNTIF($D25:$BC25,"C")+COUNTIF($D25:$BC25,"D")+COUNTIF($D25:$BC25,"G")</f>
        <v/>
      </c>
      <c r="BH25" s="63">
        <f>COUNTIF($D25:$BC25,"ICU")</f>
        <v/>
      </c>
      <c r="BI25" s="63">
        <f>COUNTIF($D25:$BC25,"ICU E")</f>
        <v/>
      </c>
      <c r="BJ25" s="63">
        <f>COUNTIF($D25:$BC25,"ICU N")</f>
        <v/>
      </c>
      <c r="BK25" s="63">
        <f>COUNTIF($D25:$BC25,"ID")+COUNTIF($D25:$BC25,"ID *")</f>
        <v/>
      </c>
      <c r="BL25" s="63">
        <f>COUNTIF($D25:$BC25,"NEURO")+COUNTIF($D25:$BC25,"NEURO *")</f>
        <v/>
      </c>
      <c r="BM25" s="63">
        <f>COUNTIF($D25:$BC25,"NF")</f>
        <v/>
      </c>
      <c r="BN25" s="63">
        <f>COUNTIF($D25:$BC25,"SWING")</f>
        <v/>
      </c>
      <c r="BO25" s="63">
        <f>COUNTIF($D25:$BC25,"VACATION")</f>
        <v/>
      </c>
      <c r="BP25" s="23">
        <f>SUM(BD25:BO25)</f>
        <v/>
      </c>
      <c r="BQ25" s="63">
        <f>COUNTIF($D25:$BC25,"PALLIATIVE")+COUNTIF($D25:$BC25,"PALLIATIVE *")</f>
        <v/>
      </c>
      <c r="BR25" s="63">
        <f>COUNTIF($D25:$BC25,"GERIATRIC")+COUNTIF($D25:$BC25,"GERIATRIC 2")</f>
        <v/>
      </c>
      <c r="BS25" s="63">
        <f>COUNTIF($D25:$BC25,"GS")+COUNTIF($D25:$BC25,"GI")+COUNTIF($D25:$BC25,"GI *")</f>
        <v/>
      </c>
      <c r="BT25" s="63">
        <f>COUNTIF($D25:$BC25,"HEM/ONC")+COUNTIF($D25:$BC25,"HEM/ONC *")</f>
        <v/>
      </c>
      <c r="BU25" s="63">
        <f>COUNTIF($D25:$BC25,"PAIN MANAGEMENT")+COUNTIF($D25:$BC25,"PAIN MANAGEMENT *")</f>
        <v/>
      </c>
      <c r="BV25" s="63">
        <f>COUNTIF($D25:$BC25,"RHEUMA")+COUNTIF($D25:$BC25,"RHEUMA *")</f>
        <v/>
      </c>
      <c r="BW25" s="63">
        <f>COUNTIF($D25:$BC25,"ENDO")+COUNTIF($D25:$BC25,"ENDO *")</f>
        <v/>
      </c>
      <c r="BX25" s="63">
        <f>COUNTIF($D25:$BC25,"PLASTIC")+COUNTIF($D25:$BC25,"PLASTIC *")</f>
        <v/>
      </c>
      <c r="BY25" s="63">
        <f>COUNTIF($D25:$BC25,"PULM")+COUNTIF($D25:$BC25,"PULM *")</f>
        <v/>
      </c>
      <c r="BZ25" s="63">
        <f>COUNTIF($D25:$BC25,"SICU")+COUNTIF($D25:$BC25,"SICU *")</f>
        <v/>
      </c>
      <c r="CA25" s="63">
        <f>COUNTIF($D25:$BC25,"DERMATOLOGY")+COUNTIF($D25:$BC25,"DERMATOLOGY *")</f>
        <v/>
      </c>
      <c r="CB25" s="86">
        <f>COUNTIF($D25:$BC25,"NEPHRO")+COUNTIF($D25:$BC25,"NEPHRO *")</f>
        <v/>
      </c>
      <c r="CC25" s="59">
        <f>SUM(BQ25:CB25)</f>
        <v/>
      </c>
      <c r="CD25" s="57">
        <f>BP25+CC25</f>
        <v/>
      </c>
    </row>
    <row r="26" ht="39" customHeight="1">
      <c r="A26" s="163" t="n"/>
      <c r="B26" s="164" t="n"/>
      <c r="C26" s="66" t="inlineStr">
        <is>
          <t>M. Rodriguez</t>
        </is>
      </c>
      <c r="D26" s="75" t="inlineStr">
        <is>
          <t>VACATION</t>
        </is>
      </c>
      <c r="E26" s="75" t="inlineStr">
        <is>
          <t>VACATION</t>
        </is>
      </c>
      <c r="F26" s="80" t="inlineStr">
        <is>
          <t>CLINIC *</t>
        </is>
      </c>
      <c r="G26" s="75" t="inlineStr">
        <is>
          <t>CLINIC *</t>
        </is>
      </c>
      <c r="H26" s="75" t="inlineStr">
        <is>
          <t>CLINIC *</t>
        </is>
      </c>
      <c r="I26" s="75" t="inlineStr">
        <is>
          <t>NF</t>
        </is>
      </c>
      <c r="J26" s="75" t="inlineStr">
        <is>
          <t>NF</t>
        </is>
      </c>
      <c r="K26" s="80" t="inlineStr">
        <is>
          <t>CLINIC *</t>
        </is>
      </c>
      <c r="L26" s="75" t="inlineStr">
        <is>
          <t>CLINIC *</t>
        </is>
      </c>
      <c r="M26" s="75" t="inlineStr">
        <is>
          <t>NF</t>
        </is>
      </c>
      <c r="N26" s="75" t="inlineStr">
        <is>
          <t>NF</t>
        </is>
      </c>
      <c r="O26" s="75" t="inlineStr">
        <is>
          <t>NF</t>
        </is>
      </c>
      <c r="P26" s="80" t="inlineStr">
        <is>
          <t>CLINIC *</t>
        </is>
      </c>
      <c r="Q26" s="75" t="inlineStr">
        <is>
          <t>CLINIC *</t>
        </is>
      </c>
      <c r="R26" s="75" t="inlineStr">
        <is>
          <t>VACATION</t>
        </is>
      </c>
      <c r="S26" s="104" t="inlineStr">
        <is>
          <t>VACATION</t>
        </is>
      </c>
      <c r="T26" s="80" t="inlineStr">
        <is>
          <t>CLINIC *</t>
        </is>
      </c>
      <c r="U26" s="80" t="inlineStr">
        <is>
          <t>CLINIC *</t>
        </is>
      </c>
      <c r="V26" s="75" t="inlineStr">
        <is>
          <t>B</t>
        </is>
      </c>
      <c r="W26" s="80" t="inlineStr">
        <is>
          <t>B</t>
        </is>
      </c>
      <c r="X26" s="75" t="inlineStr">
        <is>
          <t>B</t>
        </is>
      </c>
      <c r="Y26" s="75" t="inlineStr">
        <is>
          <t>CLINIC</t>
        </is>
      </c>
      <c r="Z26" s="80" t="inlineStr">
        <is>
          <t>CLINIC</t>
        </is>
      </c>
      <c r="AA26" s="75" t="inlineStr">
        <is>
          <t>CLINIC</t>
        </is>
      </c>
      <c r="AB26" s="75" t="inlineStr">
        <is>
          <t>B</t>
        </is>
      </c>
      <c r="AC26" s="89" t="inlineStr">
        <is>
          <t>B</t>
        </is>
      </c>
      <c r="AD26" s="80" t="inlineStr">
        <is>
          <t>B</t>
        </is>
      </c>
      <c r="AE26" s="75" t="inlineStr">
        <is>
          <t>B</t>
        </is>
      </c>
      <c r="AF26" s="75" t="inlineStr">
        <is>
          <t>ICU E</t>
        </is>
      </c>
      <c r="AG26" s="80" t="inlineStr">
        <is>
          <t>CLINIC *</t>
        </is>
      </c>
      <c r="AH26" s="75" t="inlineStr">
        <is>
          <t>CLINIC *</t>
        </is>
      </c>
      <c r="AI26" s="75" t="inlineStr">
        <is>
          <t>CLINIC *</t>
        </is>
      </c>
      <c r="AJ26" s="75" t="inlineStr">
        <is>
          <t>CLINIC *</t>
        </is>
      </c>
      <c r="AK26" s="75" t="inlineStr">
        <is>
          <t>CLINIC *</t>
        </is>
      </c>
      <c r="AL26" s="80" t="inlineStr">
        <is>
          <t>CLINIC *</t>
        </is>
      </c>
      <c r="AM26" s="75" t="inlineStr">
        <is>
          <t>D</t>
        </is>
      </c>
      <c r="AN26" s="85" t="inlineStr">
        <is>
          <t>D</t>
        </is>
      </c>
      <c r="AO26" s="85" t="inlineStr">
        <is>
          <t>D</t>
        </is>
      </c>
      <c r="AP26" s="93" t="inlineStr">
        <is>
          <t>D</t>
        </is>
      </c>
      <c r="AQ26" s="80" t="inlineStr">
        <is>
          <t>CLINIC *</t>
        </is>
      </c>
      <c r="AR26" s="80" t="inlineStr">
        <is>
          <t>C</t>
        </is>
      </c>
      <c r="AS26" s="80" t="inlineStr">
        <is>
          <t>C</t>
        </is>
      </c>
      <c r="AT26" s="93" t="inlineStr">
        <is>
          <t>C</t>
        </is>
      </c>
      <c r="AU26" s="93" t="inlineStr">
        <is>
          <t>CLINIC *</t>
        </is>
      </c>
      <c r="AV26" s="80" t="inlineStr">
        <is>
          <t>CLINIC *</t>
        </is>
      </c>
      <c r="AW26" s="85" t="inlineStr">
        <is>
          <t>SWING</t>
        </is>
      </c>
      <c r="AX26" s="75" t="inlineStr">
        <is>
          <t>SWING</t>
        </is>
      </c>
      <c r="AY26" s="99" t="inlineStr">
        <is>
          <t>SWING</t>
        </is>
      </c>
      <c r="AZ26" s="99" t="inlineStr">
        <is>
          <t>ICU E</t>
        </is>
      </c>
      <c r="BA26" s="80" t="inlineStr">
        <is>
          <t>CLINIC *</t>
        </is>
      </c>
      <c r="BB26" s="75" t="inlineStr">
        <is>
          <t>NF</t>
        </is>
      </c>
      <c r="BC26" s="85" t="inlineStr">
        <is>
          <t>NF</t>
        </is>
      </c>
      <c r="BD26" s="63">
        <f>COUNTIF($D26:$BC26,"CARDIO")+COUNTIF($D26:$BC26,"CARDIO E")+COUNTIF($D26:$BC26,"CARDIO E *")+COUNTIF($D26:$BC26,"CARDIO-HCA")+COUNTIF($D26:$BC26,"CARDIO-HCA *")+COUNTIF($D26:$BC26,"CARDIO-RAM")+COUNTIF($D26:$BC26,"CARDIO-RAM *")</f>
        <v/>
      </c>
      <c r="BE26" s="63">
        <f>COUNTIF($D26:$BC26,"CLINIC")+COUNTIF($D26:$BC26,"CLINIC *")+COUNTIF($D26:$BC26,"URGENT CARE")+COUNTIF($D26:$BC26,"URGENT CARE *")</f>
        <v/>
      </c>
      <c r="BF26" s="63">
        <f>COUNTIF($D26:$BC26,"ED")</f>
        <v/>
      </c>
      <c r="BG26" s="63">
        <f>COUNTIF($D26:$BC26,"A")+COUNTIF($D26:$BC26,"B")+COUNTIF($D26:$BC26,"C")+COUNTIF($D26:$BC26,"D")+COUNTIF($D26:$BC26,"G")</f>
        <v/>
      </c>
      <c r="BH26" s="63">
        <f>COUNTIF($D26:$BC26,"ICU")</f>
        <v/>
      </c>
      <c r="BI26" s="63">
        <f>COUNTIF($D26:$BC26,"ICU E")</f>
        <v/>
      </c>
      <c r="BJ26" s="63">
        <f>COUNTIF($D26:$BC26,"ICU N")</f>
        <v/>
      </c>
      <c r="BK26" s="63">
        <f>COUNTIF($D26:$BC26,"ID")+COUNTIF($D26:$BC26,"ID *")</f>
        <v/>
      </c>
      <c r="BL26" s="63">
        <f>COUNTIF($D26:$BC26,"NEURO")+COUNTIF($D26:$BC26,"NEURO *")</f>
        <v/>
      </c>
      <c r="BM26" s="63">
        <f>COUNTIF($D26:$BC26,"NF")</f>
        <v/>
      </c>
      <c r="BN26" s="63">
        <f>COUNTIF($D26:$BC26,"SWING")</f>
        <v/>
      </c>
      <c r="BO26" s="63">
        <f>COUNTIF($D26:$BC26,"VACATION")</f>
        <v/>
      </c>
      <c r="BP26" s="23">
        <f>SUM(BD26:BO26)</f>
        <v/>
      </c>
      <c r="BQ26" s="63">
        <f>COUNTIF($D26:$BC26,"PALLIATIVE")+COUNTIF($D26:$BC26,"PALLIATIVE *")</f>
        <v/>
      </c>
      <c r="BR26" s="63">
        <f>COUNTIF($D26:$BC26,"GERIATRIC")+COUNTIF($D26:$BC26,"GERIATRIC 2")</f>
        <v/>
      </c>
      <c r="BS26" s="63">
        <f>COUNTIF($D26:$BC26,"GS")+COUNTIF($D26:$BC26,"GI")+COUNTIF($D26:$BC26,"GI *")</f>
        <v/>
      </c>
      <c r="BT26" s="63">
        <f>COUNTIF($D26:$BC26,"HEM/ONC")+COUNTIF($D26:$BC26,"HEM/ONC *")</f>
        <v/>
      </c>
      <c r="BU26" s="63">
        <f>COUNTIF($D26:$BC26,"PAIN MANAGEMENT")+COUNTIF($D26:$BC26,"PAIN MANAGEMENT *")</f>
        <v/>
      </c>
      <c r="BV26" s="63">
        <f>COUNTIF($D26:$BC26,"RHEUMA")+COUNTIF($D26:$BC26,"RHEUMA *")</f>
        <v/>
      </c>
      <c r="BW26" s="63">
        <f>COUNTIF($D26:$BC26,"ENDO")+COUNTIF($D26:$BC26,"ENDO *")</f>
        <v/>
      </c>
      <c r="BX26" s="63">
        <f>COUNTIF($D26:$BC26,"PLASTIC")+COUNTIF($D26:$BC26,"PLASTIC *")</f>
        <v/>
      </c>
      <c r="BY26" s="63">
        <f>COUNTIF($D26:$BC26,"PULM")+COUNTIF($D26:$BC26,"PULM *")</f>
        <v/>
      </c>
      <c r="BZ26" s="63">
        <f>COUNTIF($D26:$BC26,"SICU")+COUNTIF($D26:$BC26,"SICU *")</f>
        <v/>
      </c>
      <c r="CA26" s="63">
        <f>COUNTIF($D26:$BC26,"DERMATOLOGY")+COUNTIF($D26:$BC26,"DERMATOLOGY *")</f>
        <v/>
      </c>
      <c r="CB26" s="86">
        <f>COUNTIF($D26:$BC26,"NEPHRO")+COUNTIF($D26:$BC26,"NEPHRO *")</f>
        <v/>
      </c>
      <c r="CC26" s="59">
        <f>SUM(BQ26:CB26)</f>
        <v/>
      </c>
      <c r="CD26" s="57">
        <f>BP26+CC26</f>
        <v/>
      </c>
    </row>
    <row r="27" ht="39" customHeight="1">
      <c r="A27" s="163" t="n"/>
      <c r="B27" s="164" t="n"/>
      <c r="C27" s="67" t="inlineStr">
        <is>
          <t>G. Curbelo</t>
        </is>
      </c>
      <c r="D27" s="75" t="inlineStr">
        <is>
          <t>CLINIC *</t>
        </is>
      </c>
      <c r="E27" s="75" t="inlineStr">
        <is>
          <t>CLINIC *</t>
        </is>
      </c>
      <c r="F27" s="80" t="inlineStr">
        <is>
          <t>CLINIC *</t>
        </is>
      </c>
      <c r="G27" s="75" t="inlineStr">
        <is>
          <t>CLINIC *</t>
        </is>
      </c>
      <c r="H27" s="75" t="inlineStr">
        <is>
          <t>CLINIC *</t>
        </is>
      </c>
      <c r="I27" s="75" t="inlineStr">
        <is>
          <t>CLINIC *</t>
        </is>
      </c>
      <c r="J27" s="76" t="inlineStr">
        <is>
          <t>CLINIC *</t>
        </is>
      </c>
      <c r="K27" s="80" t="inlineStr">
        <is>
          <t>CLINIC *</t>
        </is>
      </c>
      <c r="L27" s="75" t="inlineStr">
        <is>
          <t>B</t>
        </is>
      </c>
      <c r="M27" s="75" t="inlineStr">
        <is>
          <t>B</t>
        </is>
      </c>
      <c r="N27" s="96" t="inlineStr">
        <is>
          <t>B</t>
        </is>
      </c>
      <c r="O27" s="80" t="inlineStr">
        <is>
          <t>B</t>
        </is>
      </c>
      <c r="P27" s="80" t="inlineStr">
        <is>
          <t>CLINIC *</t>
        </is>
      </c>
      <c r="Q27" s="75" t="inlineStr">
        <is>
          <t>CLINIC *</t>
        </is>
      </c>
      <c r="R27" s="75" t="inlineStr">
        <is>
          <t>CLINIC *</t>
        </is>
      </c>
      <c r="S27" s="75" t="inlineStr">
        <is>
          <t>CLINIC *</t>
        </is>
      </c>
      <c r="T27" s="75" t="inlineStr">
        <is>
          <t>CLINIC *</t>
        </is>
      </c>
      <c r="U27" s="80" t="inlineStr">
        <is>
          <t>CLINIC *</t>
        </is>
      </c>
      <c r="V27" s="97" t="inlineStr">
        <is>
          <t>CLINIC *</t>
        </is>
      </c>
      <c r="W27" s="99" t="inlineStr">
        <is>
          <t>CLINIC *</t>
        </is>
      </c>
      <c r="X27" s="76" t="inlineStr">
        <is>
          <t>CLINIC *</t>
        </is>
      </c>
      <c r="Y27" s="76" t="inlineStr">
        <is>
          <t>CLINIC *</t>
        </is>
      </c>
      <c r="Z27" s="80" t="inlineStr">
        <is>
          <t>CLINIC *</t>
        </is>
      </c>
      <c r="AA27" s="75" t="inlineStr">
        <is>
          <t>ICU N</t>
        </is>
      </c>
      <c r="AB27" s="75" t="inlineStr">
        <is>
          <t>SWING</t>
        </is>
      </c>
      <c r="AC27" s="89" t="inlineStr">
        <is>
          <t>SWING</t>
        </is>
      </c>
      <c r="AD27" s="80" t="inlineStr">
        <is>
          <t>SWING</t>
        </is>
      </c>
      <c r="AE27" s="75" t="inlineStr">
        <is>
          <t>SWING</t>
        </is>
      </c>
      <c r="AF27" s="80" t="inlineStr">
        <is>
          <t>CLINIC *</t>
        </is>
      </c>
      <c r="AG27" s="80" t="inlineStr">
        <is>
          <t>CLINIC *</t>
        </is>
      </c>
      <c r="AH27" s="75" t="inlineStr">
        <is>
          <t>C</t>
        </is>
      </c>
      <c r="AI27" s="75" t="inlineStr">
        <is>
          <t>C</t>
        </is>
      </c>
      <c r="AJ27" s="85" t="inlineStr">
        <is>
          <t>C</t>
        </is>
      </c>
      <c r="AK27" s="80" t="inlineStr">
        <is>
          <t>VACATION</t>
        </is>
      </c>
      <c r="AL27" s="80" t="inlineStr">
        <is>
          <t>CLINIC</t>
        </is>
      </c>
      <c r="AM27" s="75" t="inlineStr">
        <is>
          <t>CLINIC</t>
        </is>
      </c>
      <c r="AN27" s="85" t="inlineStr">
        <is>
          <t>SWING</t>
        </is>
      </c>
      <c r="AO27" s="85" t="inlineStr">
        <is>
          <t>SWING</t>
        </is>
      </c>
      <c r="AP27" s="93" t="inlineStr">
        <is>
          <t>SWING</t>
        </is>
      </c>
      <c r="AQ27" s="80" t="inlineStr">
        <is>
          <t>CLINIC *</t>
        </is>
      </c>
      <c r="AR27" s="78" t="inlineStr">
        <is>
          <t>CLINIC *</t>
        </is>
      </c>
      <c r="AS27" s="80" t="inlineStr">
        <is>
          <t>VACATION</t>
        </is>
      </c>
      <c r="AT27" s="85" t="inlineStr">
        <is>
          <t>VACATION</t>
        </is>
      </c>
      <c r="AU27" s="78" t="inlineStr">
        <is>
          <t>VACATION</t>
        </is>
      </c>
      <c r="AV27" s="80" t="inlineStr">
        <is>
          <t>CLINIC *</t>
        </is>
      </c>
      <c r="AW27" s="85" t="inlineStr">
        <is>
          <t>C</t>
        </is>
      </c>
      <c r="AX27" s="85" t="inlineStr">
        <is>
          <t>C</t>
        </is>
      </c>
      <c r="AY27" s="97" t="inlineStr">
        <is>
          <t>C</t>
        </is>
      </c>
      <c r="AZ27" s="80" t="inlineStr">
        <is>
          <t>C</t>
        </is>
      </c>
      <c r="BA27" s="80" t="inlineStr">
        <is>
          <t>CLINIC *</t>
        </is>
      </c>
      <c r="BB27" s="85" t="inlineStr">
        <is>
          <t>CLINIC *</t>
        </is>
      </c>
      <c r="BC27" s="85" t="inlineStr">
        <is>
          <t>CLINIC *</t>
        </is>
      </c>
      <c r="BD27" s="63">
        <f>COUNTIF($D27:$BC27,"CARDIO")+COUNTIF($D27:$BC27,"CARDIO E")+COUNTIF($D27:$BC27,"CARDIO E *")+COUNTIF($D27:$BC27,"CARDIO-HCA")+COUNTIF($D27:$BC27,"CARDIO-HCA *")+COUNTIF($D27:$BC27,"CARDIO-RAM")+COUNTIF($D27:$BC27,"CARDIO-RAM *")</f>
        <v/>
      </c>
      <c r="BE27" s="63">
        <f>COUNTIF($D27:$BC27,"CLINIC")+COUNTIF($D27:$BC27,"CLINIC *")+COUNTIF($D27:$BC27,"URGENT CARE")+COUNTIF($D27:$BC27,"URGENT CARE *")</f>
        <v/>
      </c>
      <c r="BF27" s="63">
        <f>COUNTIF($D27:$BC27,"ED")</f>
        <v/>
      </c>
      <c r="BG27" s="63">
        <f>COUNTIF($D27:$BC27,"A")+COUNTIF($D27:$BC27,"B")+COUNTIF($D27:$BC27,"C")+COUNTIF($D27:$BC27,"D")+COUNTIF($D27:$BC27,"G")</f>
        <v/>
      </c>
      <c r="BH27" s="63">
        <f>COUNTIF($D27:$BC27,"ICU")</f>
        <v/>
      </c>
      <c r="BI27" s="63">
        <f>COUNTIF($D27:$BC27,"ICU E")</f>
        <v/>
      </c>
      <c r="BJ27" s="63">
        <f>COUNTIF($D27:$BC27,"ICU N")</f>
        <v/>
      </c>
      <c r="BK27" s="63">
        <f>COUNTIF($D27:$BC27,"ID")+COUNTIF($D27:$BC27,"ID *")</f>
        <v/>
      </c>
      <c r="BL27" s="63">
        <f>COUNTIF($D27:$BC27,"NEURO")+COUNTIF($D27:$BC27,"NEURO *")</f>
        <v/>
      </c>
      <c r="BM27" s="63">
        <f>COUNTIF($D27:$BC27,"NF")</f>
        <v/>
      </c>
      <c r="BN27" s="63">
        <f>COUNTIF($D27:$BC27,"SWING")</f>
        <v/>
      </c>
      <c r="BO27" s="63">
        <f>COUNTIF($D27:$BC27,"VACATION")</f>
        <v/>
      </c>
      <c r="BP27" s="23">
        <f>SUM(BD27:BO27)</f>
        <v/>
      </c>
      <c r="BQ27" s="63">
        <f>COUNTIF($D27:$BC27,"PALLIATIVE")+COUNTIF($D27:$BC27,"PALLIATIVE *")</f>
        <v/>
      </c>
      <c r="BR27" s="63">
        <f>COUNTIF($D27:$BC27,"GERIATRIC")+COUNTIF($D27:$BC27,"GERIATRIC 2")</f>
        <v/>
      </c>
      <c r="BS27" s="63">
        <f>COUNTIF($D27:$BC27,"GS")+COUNTIF($D27:$BC27,"GI")+COUNTIF($D27:$BC27,"GI *")</f>
        <v/>
      </c>
      <c r="BT27" s="63">
        <f>COUNTIF($D27:$BC27,"HEM/ONC")+COUNTIF($D27:$BC27,"HEM/ONC *")</f>
        <v/>
      </c>
      <c r="BU27" s="63">
        <f>COUNTIF($D27:$BC27,"PAIN MANAGEMENT")+COUNTIF($D27:$BC27,"PAIN MANAGEMENT *")</f>
        <v/>
      </c>
      <c r="BV27" s="63">
        <f>COUNTIF($D27:$BC27,"RHEUMA")+COUNTIF($D27:$BC27,"RHEUMA *")</f>
        <v/>
      </c>
      <c r="BW27" s="63">
        <f>COUNTIF($D27:$BC27,"ENDO")+COUNTIF($D27:$BC27,"ENDO *")</f>
        <v/>
      </c>
      <c r="BX27" s="63">
        <f>COUNTIF($D27:$BC27,"PLASTIC")+COUNTIF($D27:$BC27,"PLASTIC *")</f>
        <v/>
      </c>
      <c r="BY27" s="63">
        <f>COUNTIF($D27:$BC27,"PULM")+COUNTIF($D27:$BC27,"PULM *")</f>
        <v/>
      </c>
      <c r="BZ27" s="63">
        <f>COUNTIF($D27:$BC27,"SICU")+COUNTIF($D27:$BC27,"SICU *")</f>
        <v/>
      </c>
      <c r="CA27" s="63">
        <f>COUNTIF($D27:$BC27,"DERMATOLOGY")+COUNTIF($D27:$BC27,"DERMATOLOGY *")</f>
        <v/>
      </c>
      <c r="CB27" s="86">
        <f>COUNTIF($D27:$BC27,"NEPHRO")+COUNTIF($D27:$BC27,"NEPHRO *")</f>
        <v/>
      </c>
      <c r="CC27" s="59">
        <f>SUM(BQ27:CB27)</f>
        <v/>
      </c>
      <c r="CD27" s="57">
        <f>BP27+CC27</f>
        <v/>
      </c>
    </row>
    <row r="28" ht="39" customHeight="1">
      <c r="A28" s="166" t="n"/>
      <c r="B28" s="167" t="n"/>
      <c r="C28" s="67" t="inlineStr">
        <is>
          <t>J. Diaz</t>
        </is>
      </c>
      <c r="D28" s="75" t="inlineStr">
        <is>
          <t>ICU E</t>
        </is>
      </c>
      <c r="E28" s="75" t="inlineStr">
        <is>
          <t>ICU E</t>
        </is>
      </c>
      <c r="F28" s="80" t="inlineStr">
        <is>
          <t>CLINIC</t>
        </is>
      </c>
      <c r="G28" s="75" t="inlineStr">
        <is>
          <t>CLINIC</t>
        </is>
      </c>
      <c r="H28" s="75" t="inlineStr">
        <is>
          <t>CLINIC</t>
        </is>
      </c>
      <c r="I28" s="80" t="inlineStr">
        <is>
          <t>CLINIC</t>
        </is>
      </c>
      <c r="J28" s="76" t="inlineStr">
        <is>
          <t>CLINIC</t>
        </is>
      </c>
      <c r="K28" s="80" t="inlineStr">
        <is>
          <t>CLINIC</t>
        </is>
      </c>
      <c r="L28" s="75" t="inlineStr">
        <is>
          <t>CLINIC</t>
        </is>
      </c>
      <c r="M28" s="76" t="inlineStr">
        <is>
          <t>A</t>
        </is>
      </c>
      <c r="N28" s="96" t="inlineStr">
        <is>
          <t>A</t>
        </is>
      </c>
      <c r="O28" s="80" t="inlineStr">
        <is>
          <t>A</t>
        </is>
      </c>
      <c r="P28" s="75" t="inlineStr">
        <is>
          <t>CLINIC</t>
        </is>
      </c>
      <c r="Q28" s="80" t="inlineStr">
        <is>
          <t>CLINIC</t>
        </is>
      </c>
      <c r="R28" s="80" t="inlineStr">
        <is>
          <t>VACATION</t>
        </is>
      </c>
      <c r="S28" s="75" t="inlineStr">
        <is>
          <t>VACATION</t>
        </is>
      </c>
      <c r="T28" s="99" t="inlineStr">
        <is>
          <t>VACATION</t>
        </is>
      </c>
      <c r="U28" s="80" t="inlineStr">
        <is>
          <t>CLINIC *</t>
        </is>
      </c>
      <c r="V28" s="80" t="inlineStr">
        <is>
          <t>CLINIC *</t>
        </is>
      </c>
      <c r="W28" s="75" t="inlineStr">
        <is>
          <t>SWING</t>
        </is>
      </c>
      <c r="X28" s="76" t="inlineStr">
        <is>
          <t>SWING</t>
        </is>
      </c>
      <c r="Y28" s="76" t="inlineStr">
        <is>
          <t>SWING</t>
        </is>
      </c>
      <c r="Z28" s="80" t="inlineStr">
        <is>
          <t>CLINIC *</t>
        </is>
      </c>
      <c r="AA28" s="75" t="inlineStr">
        <is>
          <t>G</t>
        </is>
      </c>
      <c r="AB28" s="75" t="inlineStr">
        <is>
          <t>G</t>
        </is>
      </c>
      <c r="AC28" s="89" t="inlineStr">
        <is>
          <t>G</t>
        </is>
      </c>
      <c r="AD28" s="80" t="inlineStr">
        <is>
          <t>G</t>
        </is>
      </c>
      <c r="AE28" s="75" t="inlineStr">
        <is>
          <t>G</t>
        </is>
      </c>
      <c r="AF28" s="75" t="inlineStr">
        <is>
          <t>G</t>
        </is>
      </c>
      <c r="AG28" s="80" t="inlineStr">
        <is>
          <t>CLINIC *</t>
        </is>
      </c>
      <c r="AH28" s="75" t="inlineStr">
        <is>
          <t>VACATION</t>
        </is>
      </c>
      <c r="AI28" s="85" t="inlineStr">
        <is>
          <t>A</t>
        </is>
      </c>
      <c r="AJ28" s="85" t="inlineStr">
        <is>
          <t>A</t>
        </is>
      </c>
      <c r="AK28" s="80" t="inlineStr">
        <is>
          <t>A</t>
        </is>
      </c>
      <c r="AL28" s="80" t="inlineStr">
        <is>
          <t>CLINIC</t>
        </is>
      </c>
      <c r="AM28" s="80" t="inlineStr">
        <is>
          <t>CLINIC</t>
        </is>
      </c>
      <c r="AN28" s="80" t="inlineStr">
        <is>
          <t>CLINIC</t>
        </is>
      </c>
      <c r="AO28" s="75" t="inlineStr">
        <is>
          <t>CLINIC</t>
        </is>
      </c>
      <c r="AP28" s="75" t="inlineStr">
        <is>
          <t>CLINIC</t>
        </is>
      </c>
      <c r="AQ28" s="80" t="inlineStr">
        <is>
          <t>CLINIC</t>
        </is>
      </c>
      <c r="AR28" s="78" t="inlineStr">
        <is>
          <t>NF</t>
        </is>
      </c>
      <c r="AS28" s="80" t="inlineStr">
        <is>
          <t>NF</t>
        </is>
      </c>
      <c r="AT28" s="78" t="inlineStr">
        <is>
          <t>NF</t>
        </is>
      </c>
      <c r="AU28" s="78" t="inlineStr">
        <is>
          <t>NF</t>
        </is>
      </c>
      <c r="AV28" s="80" t="inlineStr">
        <is>
          <t>CLINIC</t>
        </is>
      </c>
      <c r="AW28" s="85" t="inlineStr">
        <is>
          <t>CLINIC</t>
        </is>
      </c>
      <c r="AX28" s="93" t="inlineStr">
        <is>
          <t>CLINIC</t>
        </is>
      </c>
      <c r="AY28" s="93" t="inlineStr">
        <is>
          <t>CLINIC</t>
        </is>
      </c>
      <c r="AZ28" s="75" t="inlineStr">
        <is>
          <t>CLINIC</t>
        </is>
      </c>
      <c r="BA28" s="80" t="inlineStr">
        <is>
          <t>CLINIC</t>
        </is>
      </c>
      <c r="BB28" s="75" t="inlineStr">
        <is>
          <t>CLINIC</t>
        </is>
      </c>
      <c r="BC28" s="85" t="inlineStr">
        <is>
          <t>CLINIC</t>
        </is>
      </c>
      <c r="BD28" s="63">
        <f>COUNTIF($D28:$BC28,"CARDIO")+COUNTIF($D28:$BC28,"CARDIO E")+COUNTIF($D28:$BC28,"CARDIO E *")+COUNTIF($D28:$BC28,"CARDIO-HCA")+COUNTIF($D28:$BC28,"CARDIO-HCA *")+COUNTIF($D28:$BC28,"CARDIO-RAM")+COUNTIF($D28:$BC28,"CARDIO-RAM *")</f>
        <v/>
      </c>
      <c r="BE28" s="63">
        <f>COUNTIF($D28:$BC28,"CLINIC")+COUNTIF($D28:$BC28,"CLINIC *")+COUNTIF($D28:$BC28,"URGENT CARE")+COUNTIF($D28:$BC28,"URGENT CARE *")</f>
        <v/>
      </c>
      <c r="BF28" s="63">
        <f>COUNTIF($D28:$BC28,"ED")</f>
        <v/>
      </c>
      <c r="BG28" s="63">
        <f>COUNTIF($D28:$BC28,"A")+COUNTIF($D28:$BC28,"B")+COUNTIF($D28:$BC28,"C")+COUNTIF($D28:$BC28,"D")+COUNTIF($D28:$BC28,"G")</f>
        <v/>
      </c>
      <c r="BH28" s="63">
        <f>COUNTIF($D28:$BC28,"ICU")</f>
        <v/>
      </c>
      <c r="BI28" s="63">
        <f>COUNTIF($D28:$BC28,"ICU E")</f>
        <v/>
      </c>
      <c r="BJ28" s="63">
        <f>COUNTIF($D28:$BC28,"ICU N")</f>
        <v/>
      </c>
      <c r="BK28" s="63">
        <f>COUNTIF($D28:$BC28,"ID")+COUNTIF($D28:$BC28,"ID *")</f>
        <v/>
      </c>
      <c r="BL28" s="63">
        <f>COUNTIF($D28:$BC28,"NEURO")+COUNTIF($D28:$BC28,"NEURO *")</f>
        <v/>
      </c>
      <c r="BM28" s="63">
        <f>COUNTIF($D28:$BC28,"NF")</f>
        <v/>
      </c>
      <c r="BN28" s="63">
        <f>COUNTIF($D28:$BC28,"SWING")</f>
        <v/>
      </c>
      <c r="BO28" s="63">
        <f>COUNTIF($D28:$BC28,"VACATION")</f>
        <v/>
      </c>
      <c r="BP28" s="23">
        <f>SUM(BD28:BO28)</f>
        <v/>
      </c>
      <c r="BQ28" s="63">
        <f>COUNTIF($D28:$BC28,"PALLIATIVE")+COUNTIF($D28:$BC28,"PALLIATIVE *")</f>
        <v/>
      </c>
      <c r="BR28" s="63">
        <f>COUNTIF($D28:$BC28,"GERIATRIC")+COUNTIF($D28:$BC28,"GERIATRIC 2")</f>
        <v/>
      </c>
      <c r="BS28" s="63">
        <f>COUNTIF($D28:$BC28,"GS")+COUNTIF($D28:$BC28,"GI")+COUNTIF($D28:$BC28,"GI *")</f>
        <v/>
      </c>
      <c r="BT28" s="63">
        <f>COUNTIF($D28:$BC28,"HEM/ONC")+COUNTIF($D28:$BC28,"HEM/ONC *")</f>
        <v/>
      </c>
      <c r="BU28" s="63">
        <f>COUNTIF($D28:$BC28,"PAIN MANAGEMENT")+COUNTIF($D28:$BC28,"PAIN MANAGEMENT *")</f>
        <v/>
      </c>
      <c r="BV28" s="63">
        <f>COUNTIF($D28:$BC28,"RHEUMA")+COUNTIF($D28:$BC28,"RHEUMA *")</f>
        <v/>
      </c>
      <c r="BW28" s="63">
        <f>COUNTIF($D28:$BC28,"ENDO")+COUNTIF($D28:$BC28,"ENDO *")</f>
        <v/>
      </c>
      <c r="BX28" s="63">
        <f>COUNTIF($D28:$BC28,"PLASTIC")+COUNTIF($D28:$BC28,"PLASTIC *")</f>
        <v/>
      </c>
      <c r="BY28" s="63">
        <f>COUNTIF($D28:$BC28,"PULM")+COUNTIF($D28:$BC28,"PULM *")</f>
        <v/>
      </c>
      <c r="BZ28" s="63">
        <f>COUNTIF($D28:$BC28,"SICU")+COUNTIF($D28:$BC28,"SICU *")</f>
        <v/>
      </c>
      <c r="CA28" s="63">
        <f>COUNTIF($D28:$BC28,"DERMATOLOGY")+COUNTIF($D28:$BC28,"DERMATOLOGY *")</f>
        <v/>
      </c>
      <c r="CB28" s="86">
        <f>COUNTIF($D28:$BC28,"NEPHRO")+COUNTIF($D28:$BC28,"NEPHRO *")</f>
        <v/>
      </c>
      <c r="CC28" s="59">
        <f>SUM(BQ28:CB28)</f>
        <v/>
      </c>
      <c r="CD28" s="57">
        <f>BP28+CC28</f>
        <v/>
      </c>
    </row>
    <row r="29" ht="39" customHeight="1">
      <c r="A29" s="122" t="inlineStr">
        <is>
          <t>Cohort 4</t>
        </is>
      </c>
      <c r="B29" s="110" t="inlineStr">
        <is>
          <t>PGY-1</t>
        </is>
      </c>
      <c r="C29" s="67" t="inlineStr">
        <is>
          <t>M. Rivas</t>
        </is>
      </c>
      <c r="D29" s="75" t="inlineStr">
        <is>
          <t>ICU</t>
        </is>
      </c>
      <c r="E29" s="75" t="inlineStr">
        <is>
          <t>ICU</t>
        </is>
      </c>
      <c r="F29" s="75" t="inlineStr">
        <is>
          <t>ICU</t>
        </is>
      </c>
      <c r="G29" s="80" t="inlineStr">
        <is>
          <t>CLINIC *</t>
        </is>
      </c>
      <c r="H29" s="75" t="inlineStr">
        <is>
          <t>ID</t>
        </is>
      </c>
      <c r="I29" s="76" t="inlineStr">
        <is>
          <t>ID</t>
        </is>
      </c>
      <c r="J29" s="75" t="inlineStr">
        <is>
          <t>CARDIO-HCA</t>
        </is>
      </c>
      <c r="K29" s="75" t="inlineStr">
        <is>
          <t>CARDIO-HCA</t>
        </is>
      </c>
      <c r="L29" s="80" t="inlineStr">
        <is>
          <t>CLINIC *</t>
        </is>
      </c>
      <c r="M29" s="80" t="inlineStr">
        <is>
          <t>CLINIC *</t>
        </is>
      </c>
      <c r="N29" s="76" t="inlineStr">
        <is>
          <t>CLINIC *</t>
        </is>
      </c>
      <c r="O29" s="75" t="inlineStr">
        <is>
          <t>CLINIC *</t>
        </is>
      </c>
      <c r="P29" s="80" t="inlineStr">
        <is>
          <t>CLINIC *</t>
        </is>
      </c>
      <c r="Q29" s="80" t="inlineStr">
        <is>
          <t>CLINIC *</t>
        </is>
      </c>
      <c r="R29" s="76" t="inlineStr">
        <is>
          <t>VACATION</t>
        </is>
      </c>
      <c r="S29" s="76" t="inlineStr">
        <is>
          <t>VACATION</t>
        </is>
      </c>
      <c r="T29" s="76" t="inlineStr">
        <is>
          <t>VACATION</t>
        </is>
      </c>
      <c r="U29" s="76" t="inlineStr">
        <is>
          <t>VACATION</t>
        </is>
      </c>
      <c r="V29" s="80" t="inlineStr">
        <is>
          <t>CLINIC *</t>
        </is>
      </c>
      <c r="W29" s="76" t="inlineStr">
        <is>
          <t>C</t>
        </is>
      </c>
      <c r="X29" s="76" t="inlineStr">
        <is>
          <t>C</t>
        </is>
      </c>
      <c r="Y29" s="75" t="inlineStr">
        <is>
          <t>ICU E</t>
        </is>
      </c>
      <c r="Z29" s="75" t="inlineStr">
        <is>
          <t>CLINIC</t>
        </is>
      </c>
      <c r="AA29" s="80" t="inlineStr">
        <is>
          <t>CLINIC</t>
        </is>
      </c>
      <c r="AB29" s="75" t="inlineStr">
        <is>
          <t>D</t>
        </is>
      </c>
      <c r="AC29" s="75" t="inlineStr">
        <is>
          <t>D</t>
        </is>
      </c>
      <c r="AD29" s="89" t="inlineStr">
        <is>
          <t>D</t>
        </is>
      </c>
      <c r="AE29" s="75" t="inlineStr">
        <is>
          <t>D</t>
        </is>
      </c>
      <c r="AF29" s="75" t="inlineStr">
        <is>
          <t>D</t>
        </is>
      </c>
      <c r="AG29" s="75" t="inlineStr">
        <is>
          <t>D</t>
        </is>
      </c>
      <c r="AH29" s="80" t="inlineStr">
        <is>
          <t>CLINIC *</t>
        </is>
      </c>
      <c r="AI29" s="75" t="inlineStr">
        <is>
          <t>C</t>
        </is>
      </c>
      <c r="AJ29" s="75" t="inlineStr">
        <is>
          <t>C</t>
        </is>
      </c>
      <c r="AK29" s="75" t="inlineStr">
        <is>
          <t>C</t>
        </is>
      </c>
      <c r="AL29" s="75" t="inlineStr">
        <is>
          <t>C</t>
        </is>
      </c>
      <c r="AM29" s="80" t="inlineStr">
        <is>
          <t>CLINIC *</t>
        </is>
      </c>
      <c r="AN29" s="78" t="inlineStr">
        <is>
          <t>ICU E</t>
        </is>
      </c>
      <c r="AO29" s="75" t="inlineStr">
        <is>
          <t>ICU E</t>
        </is>
      </c>
      <c r="AP29" s="80" t="inlineStr">
        <is>
          <t>D</t>
        </is>
      </c>
      <c r="AQ29" s="75" t="inlineStr">
        <is>
          <t>D</t>
        </is>
      </c>
      <c r="AR29" s="80" t="inlineStr">
        <is>
          <t>CLINIC *</t>
        </is>
      </c>
      <c r="AS29" s="75" t="inlineStr">
        <is>
          <t>C</t>
        </is>
      </c>
      <c r="AT29" s="75" t="inlineStr">
        <is>
          <t>C</t>
        </is>
      </c>
      <c r="AU29" s="75" t="inlineStr">
        <is>
          <t>C</t>
        </is>
      </c>
      <c r="AV29" s="75" t="inlineStr">
        <is>
          <t>ED</t>
        </is>
      </c>
      <c r="AW29" s="80" t="inlineStr">
        <is>
          <t>CLINIC</t>
        </is>
      </c>
      <c r="AX29" s="75" t="inlineStr">
        <is>
          <t>ICU</t>
        </is>
      </c>
      <c r="AY29" s="75" t="inlineStr">
        <is>
          <t>ICU</t>
        </is>
      </c>
      <c r="AZ29" s="75" t="inlineStr">
        <is>
          <t>ED</t>
        </is>
      </c>
      <c r="BA29" s="75" t="inlineStr">
        <is>
          <t>NF</t>
        </is>
      </c>
      <c r="BB29" s="75" t="inlineStr">
        <is>
          <t>NF</t>
        </is>
      </c>
      <c r="BC29" s="75" t="inlineStr">
        <is>
          <t>NF</t>
        </is>
      </c>
      <c r="BD29" s="63">
        <f>COUNTIF($D29:$BC29,"CARDIO")+COUNTIF($D29:$BC29,"CARDIO E")+COUNTIF($D29:$BC29,"CARDIO E *")+COUNTIF($D29:$BC29,"CARDIO-HCA")+COUNTIF($D29:$BC29,"CARDIO-HCA *")+COUNTIF($D29:$BC29,"CARDIO-RAM")+COUNTIF($D29:$BC29,"CARDIO-RAM *")</f>
        <v/>
      </c>
      <c r="BE29" s="63">
        <f>COUNTIF($D29:$BC29,"CLINIC")+COUNTIF($D29:$BC29,"CLINIC *")+COUNTIF($D29:$BC29,"URGENT CARE")+COUNTIF($D29:$BC29,"URGENT CARE *")</f>
        <v/>
      </c>
      <c r="BF29" s="63">
        <f>COUNTIF($D29:$BC29,"ED")</f>
        <v/>
      </c>
      <c r="BG29" s="63">
        <f>COUNTIF($D29:$BC29,"A")+COUNTIF($D29:$BC29,"B")+COUNTIF($D29:$BC29,"C")+COUNTIF($D29:$BC29,"D")+COUNTIF($D29:$BC29,"G")</f>
        <v/>
      </c>
      <c r="BH29" s="63">
        <f>COUNTIF($D29:$BC29,"ICU")</f>
        <v/>
      </c>
      <c r="BI29" s="63">
        <f>COUNTIF($D29:$BC29,"ICU E")</f>
        <v/>
      </c>
      <c r="BJ29" s="63">
        <f>COUNTIF($D29:$BC29,"ICU N")</f>
        <v/>
      </c>
      <c r="BK29" s="63">
        <f>COUNTIF($D29:$BC29,"ID")+COUNTIF($D29:$BC29,"ID *")</f>
        <v/>
      </c>
      <c r="BL29" s="63">
        <f>COUNTIF($D29:$BC29,"NEURO")+COUNTIF($D29:$BC29,"NEURO *")</f>
        <v/>
      </c>
      <c r="BM29" s="63">
        <f>COUNTIF($D29:$BC29,"NF")</f>
        <v/>
      </c>
      <c r="BN29" s="63">
        <f>COUNTIF($D29:$BC29,"SWING")</f>
        <v/>
      </c>
      <c r="BO29" s="63">
        <f>COUNTIF($D29:$BC29,"VACATION")</f>
        <v/>
      </c>
      <c r="BP29" s="23">
        <f>SUM(BD29:BO29)</f>
        <v/>
      </c>
      <c r="BQ29" s="63">
        <f>COUNTIF($D29:$BC29,"PALLIATIVE")+COUNTIF($D29:$BC29,"PALLIATIVE *")</f>
        <v/>
      </c>
      <c r="BR29" s="63">
        <f>COUNTIF($D29:$BC29,"GERIATRIC")+COUNTIF($D29:$BC29,"GERIATRIC 2")</f>
        <v/>
      </c>
      <c r="BS29" s="63">
        <f>COUNTIF($D29:$BC29,"GS")+COUNTIF($D29:$BC29,"GI")+COUNTIF($D29:$BC29,"GI *")</f>
        <v/>
      </c>
      <c r="BT29" s="63">
        <f>COUNTIF($D29:$BC29,"HEM/ONC")+COUNTIF($D29:$BC29,"HEM/ONC *")</f>
        <v/>
      </c>
      <c r="BU29" s="63">
        <f>COUNTIF($D29:$BC29,"PAIN MANAGEMENT")+COUNTIF($D29:$BC29,"PAIN MANAGEMENT *")</f>
        <v/>
      </c>
      <c r="BV29" s="63">
        <f>COUNTIF($D29:$BC29,"RHEUMA")+COUNTIF($D29:$BC29,"RHEUMA *")</f>
        <v/>
      </c>
      <c r="BW29" s="63">
        <f>COUNTIF($D29:$BC29,"ENDO")+COUNTIF($D29:$BC29,"ENDO *")</f>
        <v/>
      </c>
      <c r="BX29" s="63">
        <f>COUNTIF($D29:$BC29,"PLASTIC")+COUNTIF($D29:$BC29,"PLASTIC *")</f>
        <v/>
      </c>
      <c r="BY29" s="63">
        <f>COUNTIF($D29:$BC29,"PULM")+COUNTIF($D29:$BC29,"PULM *")</f>
        <v/>
      </c>
      <c r="BZ29" s="63">
        <f>COUNTIF($D29:$BC29,"SICU")+COUNTIF($D29:$BC29,"SICU *")</f>
        <v/>
      </c>
      <c r="CA29" s="63">
        <f>COUNTIF($D29:$BC29,"DERMATOLOGY")+COUNTIF($D29:$BC29,"DERMATOLOGY *")</f>
        <v/>
      </c>
      <c r="CB29" s="86">
        <f>COUNTIF($D29:$BC29,"NEPHRO")+COUNTIF($D29:$BC29,"NEPHRO *")</f>
        <v/>
      </c>
      <c r="CC29" s="59">
        <f>SUM(BQ29:CB29)</f>
        <v/>
      </c>
      <c r="CD29" s="57">
        <f>BP29+CC29</f>
        <v/>
      </c>
    </row>
    <row r="30" ht="39" customHeight="1">
      <c r="A30" s="163" t="n"/>
      <c r="B30" s="164" t="n"/>
      <c r="C30" s="67" t="inlineStr">
        <is>
          <t>R. Bernal</t>
        </is>
      </c>
      <c r="D30" s="75" t="inlineStr">
        <is>
          <t>B</t>
        </is>
      </c>
      <c r="E30" s="75" t="inlineStr">
        <is>
          <t>B</t>
        </is>
      </c>
      <c r="F30" s="75" t="inlineStr">
        <is>
          <t>B</t>
        </is>
      </c>
      <c r="G30" s="80" t="inlineStr">
        <is>
          <t>CLINIC *</t>
        </is>
      </c>
      <c r="H30" s="75" t="inlineStr">
        <is>
          <t>NF</t>
        </is>
      </c>
      <c r="I30" s="75" t="inlineStr">
        <is>
          <t>NF</t>
        </is>
      </c>
      <c r="J30" s="75" t="inlineStr">
        <is>
          <t>A</t>
        </is>
      </c>
      <c r="K30" s="75" t="inlineStr">
        <is>
          <t>A</t>
        </is>
      </c>
      <c r="L30" s="80" t="inlineStr">
        <is>
          <t>CLINIC *</t>
        </is>
      </c>
      <c r="M30" s="75" t="inlineStr">
        <is>
          <t>ED</t>
        </is>
      </c>
      <c r="N30" s="76" t="inlineStr">
        <is>
          <t>ED</t>
        </is>
      </c>
      <c r="O30" s="75" t="inlineStr">
        <is>
          <t>D</t>
        </is>
      </c>
      <c r="P30" s="80" t="inlineStr">
        <is>
          <t>D</t>
        </is>
      </c>
      <c r="Q30" s="80" t="inlineStr">
        <is>
          <t>CLINIC *</t>
        </is>
      </c>
      <c r="R30" s="76" t="inlineStr">
        <is>
          <t>ICU N</t>
        </is>
      </c>
      <c r="S30" s="76" t="inlineStr">
        <is>
          <t>ICU N</t>
        </is>
      </c>
      <c r="T30" s="76" t="inlineStr">
        <is>
          <t>ICU N</t>
        </is>
      </c>
      <c r="U30" s="76" t="inlineStr">
        <is>
          <t>ICU N</t>
        </is>
      </c>
      <c r="V30" s="80" t="inlineStr">
        <is>
          <t>CLINIC *</t>
        </is>
      </c>
      <c r="W30" s="76" t="inlineStr">
        <is>
          <t>B</t>
        </is>
      </c>
      <c r="X30" s="75" t="inlineStr">
        <is>
          <t>B</t>
        </is>
      </c>
      <c r="Y30" s="80" t="inlineStr">
        <is>
          <t>B</t>
        </is>
      </c>
      <c r="Z30" s="75" t="inlineStr">
        <is>
          <t>B</t>
        </is>
      </c>
      <c r="AA30" s="75" t="inlineStr">
        <is>
          <t>CLINIC *</t>
        </is>
      </c>
      <c r="AB30" s="75" t="inlineStr">
        <is>
          <t>ICU E</t>
        </is>
      </c>
      <c r="AC30" s="75" t="inlineStr">
        <is>
          <t>ICU E</t>
        </is>
      </c>
      <c r="AD30" s="89" t="inlineStr">
        <is>
          <t>CARDIO-HCA</t>
        </is>
      </c>
      <c r="AE30" s="75" t="inlineStr">
        <is>
          <t>CARDIO-HCA</t>
        </is>
      </c>
      <c r="AF30" s="75" t="inlineStr">
        <is>
          <t>NF</t>
        </is>
      </c>
      <c r="AG30" s="75" t="inlineStr">
        <is>
          <t>NF</t>
        </is>
      </c>
      <c r="AH30" s="80" t="inlineStr">
        <is>
          <t>CLINIC *</t>
        </is>
      </c>
      <c r="AI30" s="75" t="inlineStr">
        <is>
          <t>VACATION</t>
        </is>
      </c>
      <c r="AJ30" s="75" t="inlineStr">
        <is>
          <t>VACATION</t>
        </is>
      </c>
      <c r="AK30" s="75" t="inlineStr">
        <is>
          <t>VACATION</t>
        </is>
      </c>
      <c r="AL30" s="75" t="inlineStr">
        <is>
          <t>VACATION</t>
        </is>
      </c>
      <c r="AM30" s="80" t="inlineStr">
        <is>
          <t>CLINIC *</t>
        </is>
      </c>
      <c r="AN30" s="75" t="inlineStr">
        <is>
          <t>A</t>
        </is>
      </c>
      <c r="AO30" s="75" t="inlineStr">
        <is>
          <t>A</t>
        </is>
      </c>
      <c r="AP30" s="75" t="inlineStr">
        <is>
          <t>A</t>
        </is>
      </c>
      <c r="AQ30" s="80" t="inlineStr">
        <is>
          <t>A</t>
        </is>
      </c>
      <c r="AR30" s="75" t="inlineStr">
        <is>
          <t>CLINIC *</t>
        </is>
      </c>
      <c r="AS30" s="76" t="inlineStr">
        <is>
          <t>CLINIC *</t>
        </is>
      </c>
      <c r="AT30" s="75" t="inlineStr">
        <is>
          <t>CLINIC *</t>
        </is>
      </c>
      <c r="AU30" s="75" t="inlineStr">
        <is>
          <t>CLINIC *</t>
        </is>
      </c>
      <c r="AV30" s="75" t="inlineStr">
        <is>
          <t>CLINIC *</t>
        </is>
      </c>
      <c r="AW30" s="80" t="inlineStr">
        <is>
          <t>CLINIC *</t>
        </is>
      </c>
      <c r="AX30" s="75" t="inlineStr">
        <is>
          <t>CLINIC *</t>
        </is>
      </c>
      <c r="AY30" s="75" t="inlineStr">
        <is>
          <t>A</t>
        </is>
      </c>
      <c r="AZ30" s="75" t="inlineStr">
        <is>
          <t>ID</t>
        </is>
      </c>
      <c r="BA30" s="75" t="inlineStr">
        <is>
          <t>ID</t>
        </is>
      </c>
      <c r="BB30" s="80" t="inlineStr">
        <is>
          <t>ICU E</t>
        </is>
      </c>
      <c r="BC30" s="75" t="inlineStr">
        <is>
          <t>ICU E</t>
        </is>
      </c>
      <c r="BD30" s="63">
        <f>COUNTIF($D30:$BC30,"CARDIO")+COUNTIF($D30:$BC30,"CARDIO E")+COUNTIF($D30:$BC30,"CARDIO E *")+COUNTIF($D30:$BC30,"CARDIO-HCA")+COUNTIF($D30:$BC30,"CARDIO-HCA *")+COUNTIF($D30:$BC30,"CARDIO-RAM")+COUNTIF($D30:$BC30,"CARDIO-RAM *")</f>
        <v/>
      </c>
      <c r="BE30" s="63">
        <f>COUNTIF($D30:$BC30,"CLINIC")+COUNTIF($D30:$BC30,"CLINIC *")+COUNTIF($D30:$BC30,"URGENT CARE")+COUNTIF($D30:$BC30,"URGENT CARE *")</f>
        <v/>
      </c>
      <c r="BF30" s="63">
        <f>COUNTIF($D30:$BC30,"ED")</f>
        <v/>
      </c>
      <c r="BG30" s="63">
        <f>COUNTIF($D30:$BC30,"A")+COUNTIF($D30:$BC30,"B")+COUNTIF($D30:$BC30,"C")+COUNTIF($D30:$BC30,"D")+COUNTIF($D30:$BC30,"G")</f>
        <v/>
      </c>
      <c r="BH30" s="63">
        <f>COUNTIF($D30:$BC30,"ICU")</f>
        <v/>
      </c>
      <c r="BI30" s="63">
        <f>COUNTIF($D30:$BC30,"ICU E")</f>
        <v/>
      </c>
      <c r="BJ30" s="63">
        <f>COUNTIF($D30:$BC30,"ICU N")</f>
        <v/>
      </c>
      <c r="BK30" s="63">
        <f>COUNTIF($D30:$BC30,"ID")+COUNTIF($D30:$BC30,"ID *")</f>
        <v/>
      </c>
      <c r="BL30" s="63">
        <f>COUNTIF($D30:$BC30,"NEURO")+COUNTIF($D30:$BC30,"NEURO *")</f>
        <v/>
      </c>
      <c r="BM30" s="63">
        <f>COUNTIF($D30:$BC30,"NF")</f>
        <v/>
      </c>
      <c r="BN30" s="63">
        <f>COUNTIF($D30:$BC30,"SWING")</f>
        <v/>
      </c>
      <c r="BO30" s="63">
        <f>COUNTIF($D30:$BC30,"VACATION")</f>
        <v/>
      </c>
      <c r="BP30" s="23">
        <f>SUM(BD30:BO30)</f>
        <v/>
      </c>
      <c r="BQ30" s="63">
        <f>COUNTIF($D30:$BC30,"PALLIATIVE")+COUNTIF($D30:$BC30,"PALLIATIVE *")</f>
        <v/>
      </c>
      <c r="BR30" s="63">
        <f>COUNTIF($D30:$BC30,"GERIATRIC")+COUNTIF($D30:$BC30,"GERIATRIC 2")</f>
        <v/>
      </c>
      <c r="BS30" s="63">
        <f>COUNTIF($D30:$BC30,"GS")+COUNTIF($D30:$BC30,"GI")+COUNTIF($D30:$BC30,"GI *")</f>
        <v/>
      </c>
      <c r="BT30" s="63">
        <f>COUNTIF($D30:$BC30,"HEM/ONC")+COUNTIF($D30:$BC30,"HEM/ONC *")</f>
        <v/>
      </c>
      <c r="BU30" s="63">
        <f>COUNTIF($D30:$BC30,"PAIN MANAGEMENT")+COUNTIF($D30:$BC30,"PAIN MANAGEMENT *")</f>
        <v/>
      </c>
      <c r="BV30" s="63">
        <f>COUNTIF($D30:$BC30,"RHEUMA")+COUNTIF($D30:$BC30,"RHEUMA *")</f>
        <v/>
      </c>
      <c r="BW30" s="63">
        <f>COUNTIF($D30:$BC30,"ENDO")+COUNTIF($D30:$BC30,"ENDO *")</f>
        <v/>
      </c>
      <c r="BX30" s="63">
        <f>COUNTIF($D30:$BC30,"PLASTIC")+COUNTIF($D30:$BC30,"PLASTIC *")</f>
        <v/>
      </c>
      <c r="BY30" s="63">
        <f>COUNTIF($D30:$BC30,"PULM")+COUNTIF($D30:$BC30,"PULM *")</f>
        <v/>
      </c>
      <c r="BZ30" s="63">
        <f>COUNTIF($D30:$BC30,"SICU")+COUNTIF($D30:$BC30,"SICU *")</f>
        <v/>
      </c>
      <c r="CA30" s="63">
        <f>COUNTIF($D30:$BC30,"DERMATOLOGY")+COUNTIF($D30:$BC30,"DERMATOLOGY *")</f>
        <v/>
      </c>
      <c r="CB30" s="86">
        <f>COUNTIF($D30:$BC30,"NEPHRO")+COUNTIF($D30:$BC30,"NEPHRO *")</f>
        <v/>
      </c>
      <c r="CC30" s="59">
        <f>SUM(BQ30:CB30)</f>
        <v/>
      </c>
      <c r="CD30" s="57">
        <f>BP30+CC30</f>
        <v/>
      </c>
    </row>
    <row r="31" ht="39" customHeight="1">
      <c r="A31" s="163" t="n"/>
      <c r="B31" s="164" t="n"/>
      <c r="C31" s="67" t="inlineStr">
        <is>
          <t>A. Gonzalez</t>
        </is>
      </c>
      <c r="D31" s="75" t="inlineStr">
        <is>
          <t>C</t>
        </is>
      </c>
      <c r="E31" s="75" t="inlineStr">
        <is>
          <t>C</t>
        </is>
      </c>
      <c r="F31" s="80" t="inlineStr">
        <is>
          <t>C</t>
        </is>
      </c>
      <c r="G31" s="80" t="inlineStr">
        <is>
          <t>CLINIC *</t>
        </is>
      </c>
      <c r="H31" s="75" t="inlineStr">
        <is>
          <t>ICU</t>
        </is>
      </c>
      <c r="I31" s="76" t="inlineStr">
        <is>
          <t>ICU</t>
        </is>
      </c>
      <c r="J31" s="75" t="inlineStr">
        <is>
          <t>ICU</t>
        </is>
      </c>
      <c r="K31" s="75" t="inlineStr">
        <is>
          <t>ICU</t>
        </is>
      </c>
      <c r="L31" s="80" t="inlineStr">
        <is>
          <t>CLINIC</t>
        </is>
      </c>
      <c r="M31" s="75" t="inlineStr">
        <is>
          <t>CLINIC</t>
        </is>
      </c>
      <c r="N31" s="76" t="inlineStr">
        <is>
          <t>CLINIC</t>
        </is>
      </c>
      <c r="O31" s="75" t="inlineStr">
        <is>
          <t>CLINIC</t>
        </is>
      </c>
      <c r="P31" s="76" t="inlineStr">
        <is>
          <t>CLINIC</t>
        </is>
      </c>
      <c r="Q31" s="80" t="inlineStr">
        <is>
          <t>CLINIC</t>
        </is>
      </c>
      <c r="R31" s="76" t="inlineStr">
        <is>
          <t>D</t>
        </is>
      </c>
      <c r="S31" s="76" t="inlineStr">
        <is>
          <t>D</t>
        </is>
      </c>
      <c r="T31" s="76" t="inlineStr">
        <is>
          <t>D</t>
        </is>
      </c>
      <c r="U31" s="76" t="inlineStr">
        <is>
          <t>D</t>
        </is>
      </c>
      <c r="V31" s="75" t="inlineStr">
        <is>
          <t>CLINIC *</t>
        </is>
      </c>
      <c r="W31" s="75" t="inlineStr">
        <is>
          <t>ICU N</t>
        </is>
      </c>
      <c r="X31" s="80" t="inlineStr">
        <is>
          <t>ICU N</t>
        </is>
      </c>
      <c r="Y31" s="76" t="inlineStr">
        <is>
          <t>ED</t>
        </is>
      </c>
      <c r="Z31" s="75" t="inlineStr">
        <is>
          <t>ED</t>
        </is>
      </c>
      <c r="AA31" s="80" t="inlineStr">
        <is>
          <t>CLINIC *</t>
        </is>
      </c>
      <c r="AB31" s="75" t="inlineStr">
        <is>
          <t>NF</t>
        </is>
      </c>
      <c r="AC31" s="75" t="inlineStr">
        <is>
          <t>NF</t>
        </is>
      </c>
      <c r="AD31" s="89" t="inlineStr">
        <is>
          <t>ID</t>
        </is>
      </c>
      <c r="AE31" s="75" t="inlineStr">
        <is>
          <t>ID</t>
        </is>
      </c>
      <c r="AF31" s="75" t="inlineStr">
        <is>
          <t>CARDIO-HCA</t>
        </is>
      </c>
      <c r="AG31" s="75" t="inlineStr">
        <is>
          <t>CARDIO-HCA</t>
        </is>
      </c>
      <c r="AH31" s="80" t="inlineStr">
        <is>
          <t>CLINIC *</t>
        </is>
      </c>
      <c r="AI31" s="75" t="inlineStr">
        <is>
          <t>NF</t>
        </is>
      </c>
      <c r="AJ31" s="75" t="inlineStr">
        <is>
          <t>NF</t>
        </is>
      </c>
      <c r="AK31" s="75" t="inlineStr">
        <is>
          <t>NF</t>
        </is>
      </c>
      <c r="AL31" s="75" t="inlineStr">
        <is>
          <t>NF</t>
        </is>
      </c>
      <c r="AM31" s="80" t="inlineStr">
        <is>
          <t>CLINIC *</t>
        </is>
      </c>
      <c r="AN31" s="78" t="inlineStr">
        <is>
          <t>VACATION</t>
        </is>
      </c>
      <c r="AO31" s="78" t="inlineStr">
        <is>
          <t>VACATION</t>
        </is>
      </c>
      <c r="AP31" s="78" t="inlineStr">
        <is>
          <t>VACATION</t>
        </is>
      </c>
      <c r="AQ31" s="78" t="inlineStr">
        <is>
          <t>VACATION</t>
        </is>
      </c>
      <c r="AR31" s="80" t="inlineStr">
        <is>
          <t>CLINIC *</t>
        </is>
      </c>
      <c r="AS31" s="75" t="inlineStr">
        <is>
          <t>ICU E</t>
        </is>
      </c>
      <c r="AT31" s="80" t="inlineStr">
        <is>
          <t>A</t>
        </is>
      </c>
      <c r="AU31" s="75" t="inlineStr">
        <is>
          <t>A</t>
        </is>
      </c>
      <c r="AV31" s="75" t="inlineStr">
        <is>
          <t>A</t>
        </is>
      </c>
      <c r="AW31" s="75" t="inlineStr">
        <is>
          <t>CLINIC *</t>
        </is>
      </c>
      <c r="AX31" s="80" t="inlineStr">
        <is>
          <t>CLINIC *</t>
        </is>
      </c>
      <c r="AY31" s="75" t="inlineStr">
        <is>
          <t>B</t>
        </is>
      </c>
      <c r="AZ31" s="75" t="inlineStr">
        <is>
          <t>B</t>
        </is>
      </c>
      <c r="BA31" s="80" t="inlineStr">
        <is>
          <t>B</t>
        </is>
      </c>
      <c r="BB31" s="80" t="inlineStr">
        <is>
          <t>ICU E</t>
        </is>
      </c>
      <c r="BC31" s="75" t="inlineStr">
        <is>
          <t>SWING</t>
        </is>
      </c>
      <c r="BD31" s="63">
        <f>COUNTIF($D31:$BC31,"CARDIO")+COUNTIF($D31:$BC31,"CARDIO E")+COUNTIF($D31:$BC31,"CARDIO E *")+COUNTIF($D31:$BC31,"CARDIO-HCA")+COUNTIF($D31:$BC31,"CARDIO-HCA *")+COUNTIF($D31:$BC31,"CARDIO-RAM")+COUNTIF($D31:$BC31,"CARDIO-RAM *")</f>
        <v/>
      </c>
      <c r="BE31" s="63">
        <f>COUNTIF($D31:$BC31,"CLINIC")+COUNTIF($D31:$BC31,"CLINIC *")+COUNTIF($D31:$BC31,"URGENT CARE")+COUNTIF($D31:$BC31,"URGENT CARE *")</f>
        <v/>
      </c>
      <c r="BF31" s="63">
        <f>COUNTIF($D31:$BC31,"ED")</f>
        <v/>
      </c>
      <c r="BG31" s="63">
        <f>COUNTIF($D31:$BC31,"A")+COUNTIF($D31:$BC31,"B")+COUNTIF($D31:$BC31,"C")+COUNTIF($D31:$BC31,"D")+COUNTIF($D31:$BC31,"G")</f>
        <v/>
      </c>
      <c r="BH31" s="63">
        <f>COUNTIF($D31:$BC31,"ICU")</f>
        <v/>
      </c>
      <c r="BI31" s="63">
        <f>COUNTIF($D31:$BC31,"ICU E")</f>
        <v/>
      </c>
      <c r="BJ31" s="63">
        <f>COUNTIF($D31:$BC31,"ICU N")</f>
        <v/>
      </c>
      <c r="BK31" s="63">
        <f>COUNTIF($D31:$BC31,"ID")+COUNTIF($D31:$BC31,"ID *")</f>
        <v/>
      </c>
      <c r="BL31" s="63">
        <f>COUNTIF($D31:$BC31,"NEURO")+COUNTIF($D31:$BC31,"NEURO *")</f>
        <v/>
      </c>
      <c r="BM31" s="63">
        <f>COUNTIF($D31:$BC31,"NF")</f>
        <v/>
      </c>
      <c r="BN31" s="63">
        <f>COUNTIF($D31:$BC31,"SWING")</f>
        <v/>
      </c>
      <c r="BO31" s="63">
        <f>COUNTIF($D31:$BC31,"VACATION")</f>
        <v/>
      </c>
      <c r="BP31" s="23">
        <f>SUM(BD31:BO31)</f>
        <v/>
      </c>
      <c r="BQ31" s="63">
        <f>COUNTIF($D31:$BC31,"PALLIATIVE")+COUNTIF($D31:$BC31,"PALLIATIVE *")</f>
        <v/>
      </c>
      <c r="BR31" s="63">
        <f>COUNTIF($D31:$BC31,"GERIATRIC")+COUNTIF($D31:$BC31,"GERIATRIC 2")</f>
        <v/>
      </c>
      <c r="BS31" s="63">
        <f>COUNTIF($D31:$BC31,"GS")+COUNTIF($D31:$BC31,"GI")+COUNTIF($D31:$BC31,"GI *")</f>
        <v/>
      </c>
      <c r="BT31" s="63">
        <f>COUNTIF($D31:$BC31,"HEM/ONC")+COUNTIF($D31:$BC31,"HEM/ONC *")</f>
        <v/>
      </c>
      <c r="BU31" s="63">
        <f>COUNTIF($D31:$BC31,"PAIN MANAGEMENT")+COUNTIF($D31:$BC31,"PAIN MANAGEMENT *")</f>
        <v/>
      </c>
      <c r="BV31" s="63">
        <f>COUNTIF($D31:$BC31,"RHEUMA")+COUNTIF($D31:$BC31,"RHEUMA *")</f>
        <v/>
      </c>
      <c r="BW31" s="63">
        <f>COUNTIF($D31:$BC31,"ENDO")+COUNTIF($D31:$BC31,"ENDO *")</f>
        <v/>
      </c>
      <c r="BX31" s="63">
        <f>COUNTIF($D31:$BC31,"PLASTIC")+COUNTIF($D31:$BC31,"PLASTIC *")</f>
        <v/>
      </c>
      <c r="BY31" s="63">
        <f>COUNTIF($D31:$BC31,"PULM")+COUNTIF($D31:$BC31,"PULM *")</f>
        <v/>
      </c>
      <c r="BZ31" s="63">
        <f>COUNTIF($D31:$BC31,"SICU")+COUNTIF($D31:$BC31,"SICU *")</f>
        <v/>
      </c>
      <c r="CA31" s="63">
        <f>COUNTIF($D31:$BC31,"DERMATOLOGY")+COUNTIF($D31:$BC31,"DERMATOLOGY *")</f>
        <v/>
      </c>
      <c r="CB31" s="86">
        <f>COUNTIF($D31:$BC31,"NEPHRO")+COUNTIF($D31:$BC31,"NEPHRO *")</f>
        <v/>
      </c>
      <c r="CC31" s="59">
        <f>SUM(BQ31:CB31)</f>
        <v/>
      </c>
      <c r="CD31" s="57">
        <f>BP31+CC31</f>
        <v/>
      </c>
    </row>
    <row r="32" ht="39" customHeight="1">
      <c r="A32" s="163" t="n"/>
      <c r="B32" s="164" t="n"/>
      <c r="C32" s="67" t="inlineStr">
        <is>
          <t>N. Monroig</t>
        </is>
      </c>
      <c r="D32" s="75" t="inlineStr">
        <is>
          <t>D</t>
        </is>
      </c>
      <c r="E32" s="75" t="inlineStr">
        <is>
          <t>D</t>
        </is>
      </c>
      <c r="F32" s="80" t="inlineStr">
        <is>
          <t>CLINIC</t>
        </is>
      </c>
      <c r="G32" s="80" t="inlineStr">
        <is>
          <t>CLINIC</t>
        </is>
      </c>
      <c r="H32" s="75" t="inlineStr">
        <is>
          <t>ICU E</t>
        </is>
      </c>
      <c r="I32" s="75" t="inlineStr">
        <is>
          <t>ICU E</t>
        </is>
      </c>
      <c r="J32" s="75" t="inlineStr">
        <is>
          <t>ID</t>
        </is>
      </c>
      <c r="K32" s="75" t="inlineStr">
        <is>
          <t>ID</t>
        </is>
      </c>
      <c r="L32" s="80" t="inlineStr">
        <is>
          <t>CLINIC *</t>
        </is>
      </c>
      <c r="M32" s="75" t="inlineStr">
        <is>
          <t>CLINIC *</t>
        </is>
      </c>
      <c r="N32" s="75" t="inlineStr">
        <is>
          <t>B</t>
        </is>
      </c>
      <c r="O32" s="76" t="inlineStr">
        <is>
          <t>ED</t>
        </is>
      </c>
      <c r="P32" s="76" t="inlineStr">
        <is>
          <t>ED</t>
        </is>
      </c>
      <c r="Q32" s="80" t="inlineStr">
        <is>
          <t>CLINIC *</t>
        </is>
      </c>
      <c r="R32" s="85" t="inlineStr">
        <is>
          <t>CLINIC *</t>
        </is>
      </c>
      <c r="S32" s="76" t="inlineStr">
        <is>
          <t>CLINIC *</t>
        </is>
      </c>
      <c r="T32" s="76" t="inlineStr">
        <is>
          <t>A</t>
        </is>
      </c>
      <c r="U32" s="76" t="inlineStr">
        <is>
          <t>A</t>
        </is>
      </c>
      <c r="V32" s="80" t="inlineStr">
        <is>
          <t>CLINIC *</t>
        </is>
      </c>
      <c r="W32" s="80" t="inlineStr">
        <is>
          <t>A</t>
        </is>
      </c>
      <c r="X32" s="76" t="inlineStr">
        <is>
          <t>A</t>
        </is>
      </c>
      <c r="Y32" s="75" t="inlineStr">
        <is>
          <t>CARDIO-HCA</t>
        </is>
      </c>
      <c r="Z32" s="75" t="inlineStr">
        <is>
          <t>CARDIO-HCA</t>
        </is>
      </c>
      <c r="AA32" s="80" t="inlineStr">
        <is>
          <t>CLINIC *</t>
        </is>
      </c>
      <c r="AB32" s="75" t="inlineStr">
        <is>
          <t>VACATION</t>
        </is>
      </c>
      <c r="AC32" s="75" t="inlineStr">
        <is>
          <t>VACATION</t>
        </is>
      </c>
      <c r="AD32" s="89" t="inlineStr">
        <is>
          <t>NF</t>
        </is>
      </c>
      <c r="AE32" s="85" t="inlineStr">
        <is>
          <t>ICU N</t>
        </is>
      </c>
      <c r="AF32" s="85" t="inlineStr">
        <is>
          <t>ICU N</t>
        </is>
      </c>
      <c r="AG32" s="75" t="inlineStr">
        <is>
          <t>ICU N</t>
        </is>
      </c>
      <c r="AH32" s="80" t="inlineStr">
        <is>
          <t>CLINIC *</t>
        </is>
      </c>
      <c r="AI32" s="75" t="inlineStr">
        <is>
          <t>B</t>
        </is>
      </c>
      <c r="AJ32" s="75" t="inlineStr">
        <is>
          <t>B</t>
        </is>
      </c>
      <c r="AK32" s="85" t="inlineStr">
        <is>
          <t>B</t>
        </is>
      </c>
      <c r="AL32" s="76" t="inlineStr">
        <is>
          <t>B</t>
        </is>
      </c>
      <c r="AM32" s="80" t="inlineStr">
        <is>
          <t>CLINIC *</t>
        </is>
      </c>
      <c r="AN32" s="78" t="inlineStr">
        <is>
          <t>VACATION</t>
        </is>
      </c>
      <c r="AO32" s="78" t="inlineStr">
        <is>
          <t>VACATION</t>
        </is>
      </c>
      <c r="AP32" s="78" t="inlineStr">
        <is>
          <t>B</t>
        </is>
      </c>
      <c r="AQ32" s="78" t="inlineStr">
        <is>
          <t>B</t>
        </is>
      </c>
      <c r="AR32" s="80" t="inlineStr">
        <is>
          <t>CLINIC</t>
        </is>
      </c>
      <c r="AS32" s="75" t="inlineStr">
        <is>
          <t>CLINIC</t>
        </is>
      </c>
      <c r="AT32" s="75" t="inlineStr">
        <is>
          <t>ICU E</t>
        </is>
      </c>
      <c r="AU32" s="75" t="inlineStr">
        <is>
          <t>ICU E</t>
        </is>
      </c>
      <c r="AV32" s="75" t="inlineStr">
        <is>
          <t>ICU E</t>
        </is>
      </c>
      <c r="AW32" s="80" t="inlineStr">
        <is>
          <t>CLINIC *</t>
        </is>
      </c>
      <c r="AX32" s="75" t="inlineStr">
        <is>
          <t>C</t>
        </is>
      </c>
      <c r="AY32" s="75" t="inlineStr">
        <is>
          <t>C</t>
        </is>
      </c>
      <c r="AZ32" s="75" t="inlineStr">
        <is>
          <t>C</t>
        </is>
      </c>
      <c r="BA32" s="75" t="inlineStr">
        <is>
          <t>C</t>
        </is>
      </c>
      <c r="BB32" s="75" t="inlineStr">
        <is>
          <t>B</t>
        </is>
      </c>
      <c r="BC32" s="80" t="inlineStr">
        <is>
          <t>B</t>
        </is>
      </c>
      <c r="BD32" s="63">
        <f>COUNTIF($D32:$BC32,"CARDIO")+COUNTIF($D32:$BC32,"CARDIO E")+COUNTIF($D32:$BC32,"CARDIO E *")+COUNTIF($D32:$BC32,"CARDIO-HCA")+COUNTIF($D32:$BC32,"CARDIO-HCA *")+COUNTIF($D32:$BC32,"CARDIO-RAM")+COUNTIF($D32:$BC32,"CARDIO-RAM *")</f>
        <v/>
      </c>
      <c r="BE32" s="63">
        <f>COUNTIF($D32:$BC32,"CLINIC")+COUNTIF($D32:$BC32,"CLINIC *")+COUNTIF($D32:$BC32,"URGENT CARE")+COUNTIF($D32:$BC32,"URGENT CARE *")</f>
        <v/>
      </c>
      <c r="BF32" s="63">
        <f>COUNTIF($D32:$BC32,"ED")</f>
        <v/>
      </c>
      <c r="BG32" s="63">
        <f>COUNTIF($D32:$BC32,"A")+COUNTIF($D32:$BC32,"B")+COUNTIF($D32:$BC32,"C")+COUNTIF($D32:$BC32,"D")+COUNTIF($D32:$BC32,"G")</f>
        <v/>
      </c>
      <c r="BH32" s="63">
        <f>COUNTIF($D32:$BC32,"ICU")</f>
        <v/>
      </c>
      <c r="BI32" s="63">
        <f>COUNTIF($D32:$BC32,"ICU E")</f>
        <v/>
      </c>
      <c r="BJ32" s="63">
        <f>COUNTIF($D32:$BC32,"ICU N")</f>
        <v/>
      </c>
      <c r="BK32" s="63">
        <f>COUNTIF($D32:$BC32,"ID")+COUNTIF($D32:$BC32,"ID *")</f>
        <v/>
      </c>
      <c r="BL32" s="63">
        <f>COUNTIF($D32:$BC32,"NEURO")+COUNTIF($D32:$BC32,"NEURO *")</f>
        <v/>
      </c>
      <c r="BM32" s="63">
        <f>COUNTIF($D32:$BC32,"NF")</f>
        <v/>
      </c>
      <c r="BN32" s="63">
        <f>COUNTIF($D32:$BC32,"SWING")</f>
        <v/>
      </c>
      <c r="BO32" s="63">
        <f>COUNTIF($D32:$BC32,"VACATION")</f>
        <v/>
      </c>
      <c r="BP32" s="23">
        <f>SUM(BD32:BO32)</f>
        <v/>
      </c>
      <c r="BQ32" s="63">
        <f>COUNTIF($D32:$BC32,"PALLIATIVE")+COUNTIF($D32:$BC32,"PALLIATIVE *")</f>
        <v/>
      </c>
      <c r="BR32" s="63">
        <f>COUNTIF($D32:$BC32,"GERIATRIC")+COUNTIF($D32:$BC32,"GERIATRIC 2")</f>
        <v/>
      </c>
      <c r="BS32" s="63">
        <f>COUNTIF($D32:$BC32,"GS")+COUNTIF($D32:$BC32,"GI")+COUNTIF($D32:$BC32,"GI *")</f>
        <v/>
      </c>
      <c r="BT32" s="63">
        <f>COUNTIF($D32:$BC32,"HEM/ONC")+COUNTIF($D32:$BC32,"HEM/ONC *")</f>
        <v/>
      </c>
      <c r="BU32" s="63">
        <f>COUNTIF($D32:$BC32,"PAIN MANAGEMENT")+COUNTIF($D32:$BC32,"PAIN MANAGEMENT *")</f>
        <v/>
      </c>
      <c r="BV32" s="63">
        <f>COUNTIF($D32:$BC32,"RHEUMA")+COUNTIF($D32:$BC32,"RHEUMA *")</f>
        <v/>
      </c>
      <c r="BW32" s="63">
        <f>COUNTIF($D32:$BC32,"ENDO")+COUNTIF($D32:$BC32,"ENDO *")</f>
        <v/>
      </c>
      <c r="BX32" s="63">
        <f>COUNTIF($D32:$BC32,"PLASTIC")+COUNTIF($D32:$BC32,"PLASTIC *")</f>
        <v/>
      </c>
      <c r="BY32" s="63">
        <f>COUNTIF($D32:$BC32,"PULM")+COUNTIF($D32:$BC32,"PULM *")</f>
        <v/>
      </c>
      <c r="BZ32" s="63">
        <f>COUNTIF($D32:$BC32,"SICU")+COUNTIF($D32:$BC32,"SICU *")</f>
        <v/>
      </c>
      <c r="CA32" s="63">
        <f>COUNTIF($D32:$BC32,"DERMATOLOGY")+COUNTIF($D32:$BC32,"DERMATOLOGY *")</f>
        <v/>
      </c>
      <c r="CB32" s="86">
        <f>COUNTIF($D32:$BC32,"NEPHRO")+COUNTIF($D32:$BC32,"NEPHRO *")</f>
        <v/>
      </c>
      <c r="CC32" s="59">
        <f>SUM(BQ32:CB32)</f>
        <v/>
      </c>
      <c r="CD32" s="57">
        <f>BP32+CC32</f>
        <v/>
      </c>
    </row>
    <row r="33" ht="39" customHeight="1">
      <c r="A33" s="163" t="n"/>
      <c r="B33" s="112" t="inlineStr">
        <is>
          <t>PGY-2</t>
        </is>
      </c>
      <c r="C33" s="67" t="inlineStr">
        <is>
          <t>E. Mujica</t>
        </is>
      </c>
      <c r="D33" s="75" t="inlineStr">
        <is>
          <t>ICU N</t>
        </is>
      </c>
      <c r="E33" s="75" t="inlineStr">
        <is>
          <t>ICU N</t>
        </is>
      </c>
      <c r="F33" s="80" t="inlineStr">
        <is>
          <t>CLINIC</t>
        </is>
      </c>
      <c r="G33" s="80" t="inlineStr">
        <is>
          <t>CLINIC</t>
        </is>
      </c>
      <c r="H33" s="75" t="inlineStr">
        <is>
          <t>CARDIO-RAM</t>
        </is>
      </c>
      <c r="I33" s="80" t="inlineStr">
        <is>
          <t>CARDIO-RAM</t>
        </is>
      </c>
      <c r="J33" s="75" t="inlineStr">
        <is>
          <t>CARDIO-RAM</t>
        </is>
      </c>
      <c r="K33" s="75" t="inlineStr">
        <is>
          <t>CARDIO-RAM</t>
        </is>
      </c>
      <c r="L33" s="80" t="inlineStr">
        <is>
          <t>CLINIC *</t>
        </is>
      </c>
      <c r="M33" s="104" t="inlineStr">
        <is>
          <t>A</t>
        </is>
      </c>
      <c r="N33" s="76" t="inlineStr">
        <is>
          <t>A</t>
        </is>
      </c>
      <c r="O33" s="80" t="inlineStr">
        <is>
          <t>A</t>
        </is>
      </c>
      <c r="P33" s="80" t="inlineStr">
        <is>
          <t>A</t>
        </is>
      </c>
      <c r="Q33" s="80" t="inlineStr">
        <is>
          <t>CLINIC</t>
        </is>
      </c>
      <c r="R33" s="76" t="inlineStr">
        <is>
          <t>CLINIC</t>
        </is>
      </c>
      <c r="S33" s="76" t="inlineStr">
        <is>
          <t>B</t>
        </is>
      </c>
      <c r="T33" s="97" t="inlineStr">
        <is>
          <t>B</t>
        </is>
      </c>
      <c r="U33" s="76" t="inlineStr">
        <is>
          <t>B</t>
        </is>
      </c>
      <c r="V33" s="80" t="inlineStr">
        <is>
          <t>CLINIC *</t>
        </is>
      </c>
      <c r="W33" s="75" t="inlineStr">
        <is>
          <t>ED</t>
        </is>
      </c>
      <c r="X33" s="75" t="inlineStr">
        <is>
          <t>ED</t>
        </is>
      </c>
      <c r="Y33" s="80" t="inlineStr">
        <is>
          <t>ID</t>
        </is>
      </c>
      <c r="Z33" s="75" t="inlineStr">
        <is>
          <t>ID</t>
        </is>
      </c>
      <c r="AA33" s="80" t="inlineStr">
        <is>
          <t>CLINIC *</t>
        </is>
      </c>
      <c r="AB33" s="75" t="inlineStr">
        <is>
          <t>ICU N</t>
        </is>
      </c>
      <c r="AC33" s="89" t="inlineStr">
        <is>
          <t>C</t>
        </is>
      </c>
      <c r="AD33" s="75" t="inlineStr">
        <is>
          <t>C</t>
        </is>
      </c>
      <c r="AE33" s="75" t="inlineStr">
        <is>
          <t>C</t>
        </is>
      </c>
      <c r="AF33" s="80" t="inlineStr">
        <is>
          <t>NEURO</t>
        </is>
      </c>
      <c r="AG33" s="75" t="inlineStr">
        <is>
          <t>NEURO</t>
        </is>
      </c>
      <c r="AH33" s="80" t="inlineStr">
        <is>
          <t>CLINIC</t>
        </is>
      </c>
      <c r="AI33" s="75" t="inlineStr">
        <is>
          <t>CLINIC</t>
        </is>
      </c>
      <c r="AJ33" s="75" t="inlineStr">
        <is>
          <t>ICU E</t>
        </is>
      </c>
      <c r="AK33" s="75" t="inlineStr">
        <is>
          <t>ICU E</t>
        </is>
      </c>
      <c r="AL33" s="80" t="inlineStr">
        <is>
          <t>ICU E</t>
        </is>
      </c>
      <c r="AM33" s="80" t="inlineStr">
        <is>
          <t>CLINIC *</t>
        </is>
      </c>
      <c r="AN33" s="75" t="inlineStr">
        <is>
          <t>VACATION</t>
        </is>
      </c>
      <c r="AO33" s="80" t="inlineStr">
        <is>
          <t>VACATION</t>
        </is>
      </c>
      <c r="AP33" s="90" t="inlineStr">
        <is>
          <t>VACATION</t>
        </is>
      </c>
      <c r="AQ33" s="75" t="inlineStr">
        <is>
          <t>VACATION</t>
        </is>
      </c>
      <c r="AR33" s="80" t="inlineStr">
        <is>
          <t>CLINIC *</t>
        </is>
      </c>
      <c r="AS33" s="75" t="inlineStr">
        <is>
          <t>CLINIC *</t>
        </is>
      </c>
      <c r="AT33" s="75" t="inlineStr">
        <is>
          <t>ICU</t>
        </is>
      </c>
      <c r="AU33" s="75" t="inlineStr">
        <is>
          <t>ICU</t>
        </is>
      </c>
      <c r="AV33" s="75" t="inlineStr">
        <is>
          <t>SWING</t>
        </is>
      </c>
      <c r="AW33" s="80" t="inlineStr">
        <is>
          <t>CLINIC</t>
        </is>
      </c>
      <c r="AX33" s="75" t="inlineStr">
        <is>
          <t>CLINIC</t>
        </is>
      </c>
      <c r="AY33" s="75" t="inlineStr">
        <is>
          <t>D</t>
        </is>
      </c>
      <c r="AZ33" s="75" t="inlineStr">
        <is>
          <t>D</t>
        </is>
      </c>
      <c r="BA33" s="75" t="inlineStr">
        <is>
          <t>D</t>
        </is>
      </c>
      <c r="BB33" s="80" t="inlineStr">
        <is>
          <t>D</t>
        </is>
      </c>
      <c r="BC33" s="75" t="inlineStr">
        <is>
          <t>D</t>
        </is>
      </c>
      <c r="BD33" s="63">
        <f>COUNTIF($D33:$BC33,"CARDIO")+COUNTIF($D33:$BC33,"CARDIO E")+COUNTIF($D33:$BC33,"CARDIO E *")+COUNTIF($D33:$BC33,"CARDIO-HCA")+COUNTIF($D33:$BC33,"CARDIO-HCA *")+COUNTIF($D33:$BC33,"CARDIO-RAM")+COUNTIF($D33:$BC33,"CARDIO-RAM *")</f>
        <v/>
      </c>
      <c r="BE33" s="63">
        <f>COUNTIF($D33:$BC33,"CLINIC")+COUNTIF($D33:$BC33,"CLINIC *")+COUNTIF($D33:$BC33,"URGENT CARE")+COUNTIF($D33:$BC33,"URGENT CARE *")</f>
        <v/>
      </c>
      <c r="BF33" s="63">
        <f>COUNTIF($D33:$BC33,"ED")</f>
        <v/>
      </c>
      <c r="BG33" s="63">
        <f>COUNTIF($D33:$BC33,"A")+COUNTIF($D33:$BC33,"B")+COUNTIF($D33:$BC33,"C")+COUNTIF($D33:$BC33,"D")+COUNTIF($D33:$BC33,"G")</f>
        <v/>
      </c>
      <c r="BH33" s="63">
        <f>COUNTIF($D33:$BC33,"ICU")</f>
        <v/>
      </c>
      <c r="BI33" s="63">
        <f>COUNTIF($D33:$BC33,"ICU E")</f>
        <v/>
      </c>
      <c r="BJ33" s="63">
        <f>COUNTIF($D33:$BC33,"ICU N")</f>
        <v/>
      </c>
      <c r="BK33" s="63">
        <f>COUNTIF($D33:$BC33,"ID")+COUNTIF($D33:$BC33,"ID *")</f>
        <v/>
      </c>
      <c r="BL33" s="63">
        <f>COUNTIF($D33:$BC33,"NEURO")+COUNTIF($D33:$BC33,"NEURO *")</f>
        <v/>
      </c>
      <c r="BM33" s="63">
        <f>COUNTIF($D33:$BC33,"NF")</f>
        <v/>
      </c>
      <c r="BN33" s="63">
        <f>COUNTIF($D33:$BC33,"SWING")</f>
        <v/>
      </c>
      <c r="BO33" s="63">
        <f>COUNTIF($D33:$BC33,"VACATION")</f>
        <v/>
      </c>
      <c r="BP33" s="23">
        <f>SUM(BD33:BO33)</f>
        <v/>
      </c>
      <c r="BQ33" s="63">
        <f>COUNTIF($D33:$BC33,"PALLIATIVE")+COUNTIF($D33:$BC33,"PALLIATIVE *")</f>
        <v/>
      </c>
      <c r="BR33" s="63">
        <f>COUNTIF($D33:$BC33,"GERIATRIC")+COUNTIF($D33:$BC33,"GERIATRIC 2")</f>
        <v/>
      </c>
      <c r="BS33" s="63">
        <f>COUNTIF($D33:$BC33,"GS")+COUNTIF($D33:$BC33,"GI")+COUNTIF($D33:$BC33,"GI *")</f>
        <v/>
      </c>
      <c r="BT33" s="63">
        <f>COUNTIF($D33:$BC33,"HEM/ONC")+COUNTIF($D33:$BC33,"HEM/ONC *")</f>
        <v/>
      </c>
      <c r="BU33" s="63">
        <f>COUNTIF($D33:$BC33,"PAIN MANAGEMENT")+COUNTIF($D33:$BC33,"PAIN MANAGEMENT *")</f>
        <v/>
      </c>
      <c r="BV33" s="63">
        <f>COUNTIF($D33:$BC33,"RHEUMA")+COUNTIF($D33:$BC33,"RHEUMA *")</f>
        <v/>
      </c>
      <c r="BW33" s="63">
        <f>COUNTIF($D33:$BC33,"ENDO")+COUNTIF($D33:$BC33,"ENDO *")</f>
        <v/>
      </c>
      <c r="BX33" s="63">
        <f>COUNTIF($D33:$BC33,"PLASTIC")+COUNTIF($D33:$BC33,"PLASTIC *")</f>
        <v/>
      </c>
      <c r="BY33" s="63">
        <f>COUNTIF($D33:$BC33,"PULM")+COUNTIF($D33:$BC33,"PULM *")</f>
        <v/>
      </c>
      <c r="BZ33" s="63">
        <f>COUNTIF($D33:$BC33,"SICU")+COUNTIF($D33:$BC33,"SICU *")</f>
        <v/>
      </c>
      <c r="CA33" s="63">
        <f>COUNTIF($D33:$BC33,"DERMATOLOGY")+COUNTIF($D33:$BC33,"DERMATOLOGY *")</f>
        <v/>
      </c>
      <c r="CB33" s="86">
        <f>COUNTIF($D33:$BC33,"NEPHRO")+COUNTIF($D33:$BC33,"NEPHRO *")</f>
        <v/>
      </c>
      <c r="CC33" s="59">
        <f>SUM(BQ33:CB33)</f>
        <v/>
      </c>
      <c r="CD33" s="57">
        <f>BP33+CC33</f>
        <v/>
      </c>
    </row>
    <row r="34" ht="39" customHeight="1">
      <c r="A34" s="163" t="n"/>
      <c r="B34" s="164" t="n"/>
      <c r="C34" s="67" t="inlineStr">
        <is>
          <t>Y. Oliva</t>
        </is>
      </c>
      <c r="D34" s="85" t="inlineStr">
        <is>
          <t>ICU N</t>
        </is>
      </c>
      <c r="E34" s="85" t="inlineStr">
        <is>
          <t>ICU N</t>
        </is>
      </c>
      <c r="F34" s="80" t="inlineStr">
        <is>
          <t>CLINIC *</t>
        </is>
      </c>
      <c r="G34" s="80" t="inlineStr">
        <is>
          <t>CLINIC *</t>
        </is>
      </c>
      <c r="H34" s="75" t="inlineStr">
        <is>
          <t>CLINIC *</t>
        </is>
      </c>
      <c r="I34" s="97" t="inlineStr">
        <is>
          <t>ICU</t>
        </is>
      </c>
      <c r="J34" s="75" t="inlineStr">
        <is>
          <t>ICU</t>
        </is>
      </c>
      <c r="K34" s="75" t="inlineStr">
        <is>
          <t>ICU</t>
        </is>
      </c>
      <c r="L34" s="80" t="inlineStr">
        <is>
          <t>CLINIC *</t>
        </is>
      </c>
      <c r="M34" s="75" t="inlineStr">
        <is>
          <t>G</t>
        </is>
      </c>
      <c r="N34" s="80" t="inlineStr">
        <is>
          <t>G</t>
        </is>
      </c>
      <c r="O34" s="76" t="inlineStr">
        <is>
          <t>G</t>
        </is>
      </c>
      <c r="P34" s="76" t="inlineStr">
        <is>
          <t>G</t>
        </is>
      </c>
      <c r="Q34" s="80" t="inlineStr">
        <is>
          <t>CLINIC</t>
        </is>
      </c>
      <c r="R34" s="76" t="inlineStr">
        <is>
          <t>D</t>
        </is>
      </c>
      <c r="S34" s="76" t="inlineStr">
        <is>
          <t>D</t>
        </is>
      </c>
      <c r="T34" s="104" t="inlineStr">
        <is>
          <t>D</t>
        </is>
      </c>
      <c r="U34" s="104" t="inlineStr">
        <is>
          <t>D</t>
        </is>
      </c>
      <c r="V34" s="76" t="inlineStr">
        <is>
          <t>CLINIC *</t>
        </is>
      </c>
      <c r="W34" s="76" t="inlineStr">
        <is>
          <t>C</t>
        </is>
      </c>
      <c r="X34" s="76" t="inlineStr">
        <is>
          <t>C</t>
        </is>
      </c>
      <c r="Y34" s="80" t="inlineStr">
        <is>
          <t>C</t>
        </is>
      </c>
      <c r="Z34" s="80" t="inlineStr">
        <is>
          <t>C</t>
        </is>
      </c>
      <c r="AA34" s="80" t="inlineStr">
        <is>
          <t>CLINIC *</t>
        </is>
      </c>
      <c r="AB34" s="75" t="inlineStr">
        <is>
          <t>ICU</t>
        </is>
      </c>
      <c r="AC34" s="89" t="inlineStr">
        <is>
          <t>NEURO</t>
        </is>
      </c>
      <c r="AD34" s="75" t="inlineStr">
        <is>
          <t>NEURO</t>
        </is>
      </c>
      <c r="AE34" s="80" t="inlineStr">
        <is>
          <t>B</t>
        </is>
      </c>
      <c r="AF34" s="80" t="inlineStr">
        <is>
          <t>B</t>
        </is>
      </c>
      <c r="AG34" s="75" t="inlineStr">
        <is>
          <t>B</t>
        </is>
      </c>
      <c r="AH34" s="80" t="inlineStr">
        <is>
          <t>CLINIC *</t>
        </is>
      </c>
      <c r="AI34" s="75" t="inlineStr">
        <is>
          <t>CLINIC *</t>
        </is>
      </c>
      <c r="AJ34" s="75" t="inlineStr">
        <is>
          <t>ID</t>
        </is>
      </c>
      <c r="AK34" s="75" t="inlineStr">
        <is>
          <t>ID</t>
        </is>
      </c>
      <c r="AL34" s="80" t="inlineStr">
        <is>
          <t>CLINIC *</t>
        </is>
      </c>
      <c r="AM34" s="80" t="inlineStr">
        <is>
          <t>CLINIC *</t>
        </is>
      </c>
      <c r="AN34" s="75" t="inlineStr">
        <is>
          <t>CLINIC *</t>
        </is>
      </c>
      <c r="AO34" s="75" t="inlineStr">
        <is>
          <t>ED</t>
        </is>
      </c>
      <c r="AP34" s="75" t="inlineStr">
        <is>
          <t>ED</t>
        </is>
      </c>
      <c r="AQ34" s="75" t="inlineStr">
        <is>
          <t>SWING</t>
        </is>
      </c>
      <c r="AR34" s="80" t="inlineStr">
        <is>
          <t>CLINIC *</t>
        </is>
      </c>
      <c r="AS34" s="75" t="inlineStr">
        <is>
          <t>CARDIO-HCA</t>
        </is>
      </c>
      <c r="AT34" s="75" t="inlineStr">
        <is>
          <t>CARDIO-HCA</t>
        </is>
      </c>
      <c r="AU34" s="75" t="inlineStr">
        <is>
          <t>CARDIO-HCA</t>
        </is>
      </c>
      <c r="AV34" s="75" t="inlineStr">
        <is>
          <t>CARDIO-HCA</t>
        </is>
      </c>
      <c r="AW34" s="80" t="inlineStr">
        <is>
          <t>CLINIC *</t>
        </is>
      </c>
      <c r="AX34" s="80" t="inlineStr">
        <is>
          <t>ICU N</t>
        </is>
      </c>
      <c r="AY34" s="75" t="inlineStr">
        <is>
          <t>ICU N</t>
        </is>
      </c>
      <c r="AZ34" s="75" t="inlineStr">
        <is>
          <t>VACATION</t>
        </is>
      </c>
      <c r="BA34" s="80" t="inlineStr">
        <is>
          <t>VACATION</t>
        </is>
      </c>
      <c r="BB34" s="80" t="inlineStr">
        <is>
          <t>VACATION</t>
        </is>
      </c>
      <c r="BC34" s="75" t="inlineStr">
        <is>
          <t>VACATION</t>
        </is>
      </c>
      <c r="BD34" s="63">
        <f>COUNTIF($D34:$BC34,"CARDIO")+COUNTIF($D34:$BC34,"CARDIO E")+COUNTIF($D34:$BC34,"CARDIO E *")+COUNTIF($D34:$BC34,"CARDIO-HCA")+COUNTIF($D34:$BC34,"CARDIO-HCA *")+COUNTIF($D34:$BC34,"CARDIO-RAM")+COUNTIF($D34:$BC34,"CARDIO-RAM *")</f>
        <v/>
      </c>
      <c r="BE34" s="63">
        <f>COUNTIF($D34:$BC34,"CLINIC")+COUNTIF($D34:$BC34,"CLINIC *")+COUNTIF($D34:$BC34,"URGENT CARE")+COUNTIF($D34:$BC34,"URGENT CARE *")</f>
        <v/>
      </c>
      <c r="BF34" s="63">
        <f>COUNTIF($D34:$BC34,"ED")</f>
        <v/>
      </c>
      <c r="BG34" s="63">
        <f>COUNTIF($D34:$BC34,"A")+COUNTIF($D34:$BC34,"B")+COUNTIF($D34:$BC34,"C")+COUNTIF($D34:$BC34,"D")+COUNTIF($D34:$BC34,"G")</f>
        <v/>
      </c>
      <c r="BH34" s="63">
        <f>COUNTIF($D34:$BC34,"ICU")</f>
        <v/>
      </c>
      <c r="BI34" s="63">
        <f>COUNTIF($D34:$BC34,"ICU E")</f>
        <v/>
      </c>
      <c r="BJ34" s="63">
        <f>COUNTIF($D34:$BC34,"ICU N")</f>
        <v/>
      </c>
      <c r="BK34" s="63">
        <f>COUNTIF($D34:$BC34,"ID")+COUNTIF($D34:$BC34,"ID *")</f>
        <v/>
      </c>
      <c r="BL34" s="63">
        <f>COUNTIF($D34:$BC34,"NEURO")+COUNTIF($D34:$BC34,"NEURO *")</f>
        <v/>
      </c>
      <c r="BM34" s="63">
        <f>COUNTIF($D34:$BC34,"NF")</f>
        <v/>
      </c>
      <c r="BN34" s="63">
        <f>COUNTIF($D34:$BC34,"SWING")</f>
        <v/>
      </c>
      <c r="BO34" s="63">
        <f>COUNTIF($D34:$BC34,"VACATION")</f>
        <v/>
      </c>
      <c r="BP34" s="23">
        <f>SUM(BD34:BO34)</f>
        <v/>
      </c>
      <c r="BQ34" s="63">
        <f>COUNTIF($D34:$BC34,"PALLIATIVE")+COUNTIF($D34:$BC34,"PALLIATIVE *")</f>
        <v/>
      </c>
      <c r="BR34" s="63">
        <f>COUNTIF($D34:$BC34,"GERIATRIC")+COUNTIF($D34:$BC34,"GERIATRIC 2")</f>
        <v/>
      </c>
      <c r="BS34" s="63">
        <f>COUNTIF($D34:$BC34,"GS")+COUNTIF($D34:$BC34,"GI")+COUNTIF($D34:$BC34,"GI *")</f>
        <v/>
      </c>
      <c r="BT34" s="63">
        <f>COUNTIF($D34:$BC34,"HEM/ONC")+COUNTIF($D34:$BC34,"HEM/ONC *")</f>
        <v/>
      </c>
      <c r="BU34" s="63">
        <f>COUNTIF($D34:$BC34,"PAIN MANAGEMENT")+COUNTIF($D34:$BC34,"PAIN MANAGEMENT *")</f>
        <v/>
      </c>
      <c r="BV34" s="63">
        <f>COUNTIF($D34:$BC34,"RHEUMA")+COUNTIF($D34:$BC34,"RHEUMA *")</f>
        <v/>
      </c>
      <c r="BW34" s="63">
        <f>COUNTIF($D34:$BC34,"ENDO")+COUNTIF($D34:$BC34,"ENDO *")</f>
        <v/>
      </c>
      <c r="BX34" s="63">
        <f>COUNTIF($D34:$BC34,"PLASTIC")+COUNTIF($D34:$BC34,"PLASTIC *")</f>
        <v/>
      </c>
      <c r="BY34" s="63">
        <f>COUNTIF($D34:$BC34,"PULM")+COUNTIF($D34:$BC34,"PULM *")</f>
        <v/>
      </c>
      <c r="BZ34" s="63">
        <f>COUNTIF($D34:$BC34,"SICU")+COUNTIF($D34:$BC34,"SICU *")</f>
        <v/>
      </c>
      <c r="CA34" s="63">
        <f>COUNTIF($D34:$BC34,"DERMATOLOGY")+COUNTIF($D34:$BC34,"DERMATOLOGY *")</f>
        <v/>
      </c>
      <c r="CB34" s="86">
        <f>COUNTIF($D34:$BC34,"NEPHRO")+COUNTIF($D34:$BC34,"NEPHRO *")</f>
        <v/>
      </c>
      <c r="CC34" s="59">
        <f>SUM(BQ34:CB34)</f>
        <v/>
      </c>
      <c r="CD34" s="57">
        <f>BP34+CC34</f>
        <v/>
      </c>
    </row>
    <row r="35" ht="39" customHeight="1">
      <c r="A35" s="163" t="n"/>
      <c r="B35" s="164" t="n"/>
      <c r="C35" s="67" t="inlineStr">
        <is>
          <t>A. Perez-Sanz</t>
        </is>
      </c>
      <c r="D35" s="97" t="inlineStr">
        <is>
          <t>NEURO</t>
        </is>
      </c>
      <c r="E35" s="80" t="inlineStr">
        <is>
          <t>ICU E</t>
        </is>
      </c>
      <c r="F35" s="75" t="inlineStr">
        <is>
          <t>CARDIO-HCA</t>
        </is>
      </c>
      <c r="G35" s="80" t="inlineStr">
        <is>
          <t>CLINIC *</t>
        </is>
      </c>
      <c r="H35" s="75" t="inlineStr">
        <is>
          <t>CARDIO-HCA</t>
        </is>
      </c>
      <c r="I35" s="75" t="inlineStr">
        <is>
          <t>ICU</t>
        </is>
      </c>
      <c r="J35" s="75" t="inlineStr">
        <is>
          <t>NF</t>
        </is>
      </c>
      <c r="K35" s="80" t="inlineStr">
        <is>
          <t>NF</t>
        </is>
      </c>
      <c r="L35" s="80" t="inlineStr">
        <is>
          <t>CLINIC *</t>
        </is>
      </c>
      <c r="M35" s="97" t="inlineStr">
        <is>
          <t>D</t>
        </is>
      </c>
      <c r="N35" s="76" t="inlineStr">
        <is>
          <t>D</t>
        </is>
      </c>
      <c r="O35" s="75" t="inlineStr">
        <is>
          <t>ICU N</t>
        </is>
      </c>
      <c r="P35" s="75" t="inlineStr">
        <is>
          <t>ICU N</t>
        </is>
      </c>
      <c r="Q35" s="80" t="inlineStr">
        <is>
          <t>CLINIC *</t>
        </is>
      </c>
      <c r="R35" s="76" t="inlineStr">
        <is>
          <t>SWING</t>
        </is>
      </c>
      <c r="S35" s="76" t="inlineStr">
        <is>
          <t>SWING</t>
        </is>
      </c>
      <c r="T35" s="104" t="inlineStr">
        <is>
          <t>ED</t>
        </is>
      </c>
      <c r="U35" s="97" t="inlineStr">
        <is>
          <t>ED</t>
        </is>
      </c>
      <c r="V35" s="80" t="inlineStr">
        <is>
          <t>CLINIC *</t>
        </is>
      </c>
      <c r="W35" s="80" t="inlineStr">
        <is>
          <t>ICU E</t>
        </is>
      </c>
      <c r="X35" s="75" t="inlineStr">
        <is>
          <t>ICU E</t>
        </is>
      </c>
      <c r="Y35" s="80" t="inlineStr">
        <is>
          <t>ICU E</t>
        </is>
      </c>
      <c r="Z35" s="85" t="inlineStr">
        <is>
          <t>NEURO</t>
        </is>
      </c>
      <c r="AA35" s="80" t="inlineStr">
        <is>
          <t>CLINIC *</t>
        </is>
      </c>
      <c r="AB35" s="75" t="inlineStr">
        <is>
          <t>B</t>
        </is>
      </c>
      <c r="AC35" s="89" t="inlineStr">
        <is>
          <t>B</t>
        </is>
      </c>
      <c r="AD35" s="75" t="inlineStr">
        <is>
          <t>B</t>
        </is>
      </c>
      <c r="AE35" s="75" t="inlineStr">
        <is>
          <t>B</t>
        </is>
      </c>
      <c r="AF35" s="75" t="inlineStr">
        <is>
          <t>B</t>
        </is>
      </c>
      <c r="AG35" s="85" t="inlineStr">
        <is>
          <t>B</t>
        </is>
      </c>
      <c r="AH35" s="80" t="inlineStr">
        <is>
          <t>CLINIC *</t>
        </is>
      </c>
      <c r="AI35" s="75" t="inlineStr">
        <is>
          <t>VACATION</t>
        </is>
      </c>
      <c r="AJ35" s="75" t="inlineStr">
        <is>
          <t>VACATION</t>
        </is>
      </c>
      <c r="AK35" s="75" t="inlineStr">
        <is>
          <t>VACATION</t>
        </is>
      </c>
      <c r="AL35" s="75" t="inlineStr">
        <is>
          <t>VACATION</t>
        </is>
      </c>
      <c r="AM35" s="80" t="inlineStr">
        <is>
          <t>CLINIC *</t>
        </is>
      </c>
      <c r="AN35" s="75" t="inlineStr">
        <is>
          <t>CLINIC *</t>
        </is>
      </c>
      <c r="AO35" s="75" t="inlineStr">
        <is>
          <t>CLINIC *</t>
        </is>
      </c>
      <c r="AP35" s="75" t="inlineStr">
        <is>
          <t>CLINIC *</t>
        </is>
      </c>
      <c r="AQ35" s="80" t="inlineStr">
        <is>
          <t>CLINIC *</t>
        </is>
      </c>
      <c r="AR35" s="80" t="inlineStr">
        <is>
          <t>CLINIC *</t>
        </is>
      </c>
      <c r="AS35" s="75" t="inlineStr">
        <is>
          <t>B</t>
        </is>
      </c>
      <c r="AT35" s="75" t="inlineStr">
        <is>
          <t>B</t>
        </is>
      </c>
      <c r="AU35" s="75" t="inlineStr">
        <is>
          <t>B</t>
        </is>
      </c>
      <c r="AV35" s="75" t="inlineStr">
        <is>
          <t>B</t>
        </is>
      </c>
      <c r="AW35" s="80" t="inlineStr">
        <is>
          <t>CLINIC</t>
        </is>
      </c>
      <c r="AX35" s="75" t="inlineStr">
        <is>
          <t>CLINIC</t>
        </is>
      </c>
      <c r="AY35" s="75" t="inlineStr">
        <is>
          <t>ID</t>
        </is>
      </c>
      <c r="AZ35" s="80" t="inlineStr">
        <is>
          <t>ID</t>
        </is>
      </c>
      <c r="BA35" s="97" t="inlineStr">
        <is>
          <t>CARDIO-RAM</t>
        </is>
      </c>
      <c r="BB35" s="80" t="inlineStr">
        <is>
          <t>CARDIO-RAM</t>
        </is>
      </c>
      <c r="BC35" s="75" t="inlineStr">
        <is>
          <t>ICU N</t>
        </is>
      </c>
      <c r="BD35" s="63">
        <f>COUNTIF($D35:$BC35,"CARDIO")+COUNTIF($D35:$BC35,"CARDIO E")+COUNTIF($D35:$BC35,"CARDIO E *")+COUNTIF($D35:$BC35,"CARDIO-HCA")+COUNTIF($D35:$BC35,"CARDIO-HCA *")+COUNTIF($D35:$BC35,"CARDIO-RAM")+COUNTIF($D35:$BC35,"CARDIO-RAM *")</f>
        <v/>
      </c>
      <c r="BE35" s="63">
        <f>COUNTIF($D35:$BC35,"CLINIC")+COUNTIF($D35:$BC35,"CLINIC *")+COUNTIF($D35:$BC35,"URGENT CARE")+COUNTIF($D35:$BC35,"URGENT CARE *")</f>
        <v/>
      </c>
      <c r="BF35" s="63">
        <f>COUNTIF($D35:$BC35,"ED")</f>
        <v/>
      </c>
      <c r="BG35" s="63">
        <f>COUNTIF($D35:$BC35,"A")+COUNTIF($D35:$BC35,"B")+COUNTIF($D35:$BC35,"C")+COUNTIF($D35:$BC35,"D")+COUNTIF($D35:$BC35,"G")</f>
        <v/>
      </c>
      <c r="BH35" s="63">
        <f>COUNTIF($D35:$BC35,"ICU")</f>
        <v/>
      </c>
      <c r="BI35" s="63">
        <f>COUNTIF($D35:$BC35,"ICU E")</f>
        <v/>
      </c>
      <c r="BJ35" s="63">
        <f>COUNTIF($D35:$BC35,"ICU N")</f>
        <v/>
      </c>
      <c r="BK35" s="63">
        <f>COUNTIF($D35:$BC35,"ID")+COUNTIF($D35:$BC35,"ID *")</f>
        <v/>
      </c>
      <c r="BL35" s="63">
        <f>COUNTIF($D35:$BC35,"NEURO")+COUNTIF($D35:$BC35,"NEURO *")</f>
        <v/>
      </c>
      <c r="BM35" s="63">
        <f>COUNTIF($D35:$BC35,"NF")</f>
        <v/>
      </c>
      <c r="BN35" s="63">
        <f>COUNTIF($D35:$BC35,"SWING")</f>
        <v/>
      </c>
      <c r="BO35" s="63">
        <f>COUNTIF($D35:$BC35,"VACATION")</f>
        <v/>
      </c>
      <c r="BP35" s="23">
        <f>SUM(BD35:BO35)</f>
        <v/>
      </c>
      <c r="BQ35" s="63">
        <f>COUNTIF($D35:$BC35,"PALLIATIVE")+COUNTIF($D35:$BC35,"PALLIATIVE *")</f>
        <v/>
      </c>
      <c r="BR35" s="63">
        <f>COUNTIF($D35:$BC35,"GERIATRIC")+COUNTIF($D35:$BC35,"GERIATRIC 2")</f>
        <v/>
      </c>
      <c r="BS35" s="63">
        <f>COUNTIF($D35:$BC35,"GS")+COUNTIF($D35:$BC35,"GI")+COUNTIF($D35:$BC35,"GI *")</f>
        <v/>
      </c>
      <c r="BT35" s="63">
        <f>COUNTIF($D35:$BC35,"HEM/ONC")+COUNTIF($D35:$BC35,"HEM/ONC *")</f>
        <v/>
      </c>
      <c r="BU35" s="63">
        <f>COUNTIF($D35:$BC35,"PAIN MANAGEMENT")+COUNTIF($D35:$BC35,"PAIN MANAGEMENT *")</f>
        <v/>
      </c>
      <c r="BV35" s="63">
        <f>COUNTIF($D35:$BC35,"RHEUMA")+COUNTIF($D35:$BC35,"RHEUMA *")</f>
        <v/>
      </c>
      <c r="BW35" s="63">
        <f>COUNTIF($D35:$BC35,"ENDO")+COUNTIF($D35:$BC35,"ENDO *")</f>
        <v/>
      </c>
      <c r="BX35" s="63">
        <f>COUNTIF($D35:$BC35,"PLASTIC")+COUNTIF($D35:$BC35,"PLASTIC *")</f>
        <v/>
      </c>
      <c r="BY35" s="63">
        <f>COUNTIF($D35:$BC35,"PULM")+COUNTIF($D35:$BC35,"PULM *")</f>
        <v/>
      </c>
      <c r="BZ35" s="63">
        <f>COUNTIF($D35:$BC35,"SICU")+COUNTIF($D35:$BC35,"SICU *")</f>
        <v/>
      </c>
      <c r="CA35" s="63">
        <f>COUNTIF($D35:$BC35,"DERMATOLOGY")+COUNTIF($D35:$BC35,"DERMATOLOGY *")</f>
        <v/>
      </c>
      <c r="CB35" s="86">
        <f>COUNTIF($D35:$BC35,"NEPHRO")+COUNTIF($D35:$BC35,"NEPHRO *")</f>
        <v/>
      </c>
      <c r="CC35" s="59">
        <f>SUM(BQ35:CB35)</f>
        <v/>
      </c>
      <c r="CD35" s="57">
        <f>BP35+CC35</f>
        <v/>
      </c>
    </row>
    <row r="36" ht="39" customHeight="1">
      <c r="A36" s="163" t="n"/>
      <c r="B36" s="164" t="n"/>
      <c r="C36" s="67" t="inlineStr">
        <is>
          <t>O. Melendez</t>
        </is>
      </c>
      <c r="D36" s="75" t="inlineStr">
        <is>
          <t>B</t>
        </is>
      </c>
      <c r="E36" s="75" t="inlineStr">
        <is>
          <t>B</t>
        </is>
      </c>
      <c r="F36" s="85" t="inlineStr">
        <is>
          <t>B</t>
        </is>
      </c>
      <c r="G36" s="80" t="inlineStr">
        <is>
          <t>CLINIC *</t>
        </is>
      </c>
      <c r="H36" s="75" t="inlineStr">
        <is>
          <t>ICU E</t>
        </is>
      </c>
      <c r="I36" s="76" t="inlineStr">
        <is>
          <t>ICU E</t>
        </is>
      </c>
      <c r="J36" s="97" t="inlineStr">
        <is>
          <t>ICU E</t>
        </is>
      </c>
      <c r="K36" s="80" t="inlineStr">
        <is>
          <t>ICU E</t>
        </is>
      </c>
      <c r="L36" s="80" t="inlineStr">
        <is>
          <t>CLINIC *</t>
        </is>
      </c>
      <c r="M36" s="75" t="inlineStr">
        <is>
          <t>B</t>
        </is>
      </c>
      <c r="N36" s="75" t="inlineStr">
        <is>
          <t>B</t>
        </is>
      </c>
      <c r="O36" s="75" t="inlineStr">
        <is>
          <t>B</t>
        </is>
      </c>
      <c r="P36" s="75" t="inlineStr">
        <is>
          <t>B</t>
        </is>
      </c>
      <c r="Q36" s="80" t="inlineStr">
        <is>
          <t>CLINIC *</t>
        </is>
      </c>
      <c r="R36" s="80" t="inlineStr">
        <is>
          <t>ED</t>
        </is>
      </c>
      <c r="S36" s="75" t="inlineStr">
        <is>
          <t>ED</t>
        </is>
      </c>
      <c r="T36" s="76" t="inlineStr">
        <is>
          <t>ID</t>
        </is>
      </c>
      <c r="U36" s="76" t="inlineStr">
        <is>
          <t>ID</t>
        </is>
      </c>
      <c r="V36" s="80" t="inlineStr">
        <is>
          <t>CLINIC *</t>
        </is>
      </c>
      <c r="W36" s="97" t="inlineStr">
        <is>
          <t>D</t>
        </is>
      </c>
      <c r="X36" s="76" t="inlineStr">
        <is>
          <t>D</t>
        </is>
      </c>
      <c r="Y36" s="75" t="inlineStr">
        <is>
          <t>D</t>
        </is>
      </c>
      <c r="Z36" s="75" t="inlineStr">
        <is>
          <t>D</t>
        </is>
      </c>
      <c r="AA36" s="80" t="inlineStr">
        <is>
          <t>CLINIC *</t>
        </is>
      </c>
      <c r="AB36" s="85" t="inlineStr">
        <is>
          <t>ICU N</t>
        </is>
      </c>
      <c r="AC36" s="75" t="inlineStr">
        <is>
          <t>ICU N</t>
        </is>
      </c>
      <c r="AD36" s="89" t="inlineStr">
        <is>
          <t>ICU N</t>
        </is>
      </c>
      <c r="AE36" s="80" t="inlineStr">
        <is>
          <t>ICU N</t>
        </is>
      </c>
      <c r="AF36" s="75" t="inlineStr">
        <is>
          <t>SWING</t>
        </is>
      </c>
      <c r="AG36" s="80" t="inlineStr">
        <is>
          <t>SWING</t>
        </is>
      </c>
      <c r="AH36" s="80" t="inlineStr">
        <is>
          <t>CLINIC</t>
        </is>
      </c>
      <c r="AI36" s="75" t="inlineStr">
        <is>
          <t>B</t>
        </is>
      </c>
      <c r="AJ36" s="75" t="inlineStr">
        <is>
          <t>B</t>
        </is>
      </c>
      <c r="AK36" s="75" t="inlineStr">
        <is>
          <t>B</t>
        </is>
      </c>
      <c r="AL36" s="75" t="inlineStr">
        <is>
          <t>CLINIC *</t>
        </is>
      </c>
      <c r="AM36" s="80" t="inlineStr">
        <is>
          <t>CLINIC *</t>
        </is>
      </c>
      <c r="AN36" s="75" t="inlineStr">
        <is>
          <t>CLINIC *</t>
        </is>
      </c>
      <c r="AO36" s="75" t="inlineStr">
        <is>
          <t>CLINIC *</t>
        </is>
      </c>
      <c r="AP36" s="75" t="inlineStr">
        <is>
          <t>CLINIC</t>
        </is>
      </c>
      <c r="AQ36" s="75" t="inlineStr">
        <is>
          <t>CLINIC</t>
        </is>
      </c>
      <c r="AR36" s="80" t="inlineStr">
        <is>
          <t>CLINIC</t>
        </is>
      </c>
      <c r="AS36" s="75" t="inlineStr">
        <is>
          <t>CARDIO-HCA</t>
        </is>
      </c>
      <c r="AT36" s="75" t="inlineStr">
        <is>
          <t>CARDIO-HCA</t>
        </is>
      </c>
      <c r="AU36" s="75" t="inlineStr">
        <is>
          <t>CARDIO-HCA</t>
        </is>
      </c>
      <c r="AV36" s="75" t="inlineStr">
        <is>
          <t>CARDIO-HCA</t>
        </is>
      </c>
      <c r="AW36" s="80" t="inlineStr">
        <is>
          <t>CLINIC</t>
        </is>
      </c>
      <c r="AX36" s="75" t="inlineStr">
        <is>
          <t>NEURO</t>
        </is>
      </c>
      <c r="AY36" s="75" t="inlineStr">
        <is>
          <t>NEURO</t>
        </is>
      </c>
      <c r="AZ36" s="80" t="inlineStr">
        <is>
          <t>VACATION</t>
        </is>
      </c>
      <c r="BA36" s="75" t="inlineStr">
        <is>
          <t>VACATION</t>
        </is>
      </c>
      <c r="BB36" s="80" t="inlineStr">
        <is>
          <t>VACATION</t>
        </is>
      </c>
      <c r="BC36" s="75" t="inlineStr">
        <is>
          <t>VACATION</t>
        </is>
      </c>
      <c r="BD36" s="63">
        <f>COUNTIF($D36:$BC36,"CARDIO")+COUNTIF($D36:$BC36,"CARDIO E")+COUNTIF($D36:$BC36,"CARDIO E *")+COUNTIF($D36:$BC36,"CARDIO-HCA")+COUNTIF($D36:$BC36,"CARDIO-HCA *")+COUNTIF($D36:$BC36,"CARDIO-RAM")+COUNTIF($D36:$BC36,"CARDIO-RAM *")</f>
        <v/>
      </c>
      <c r="BE36" s="63">
        <f>COUNTIF($D36:$BC36,"CLINIC")+COUNTIF($D36:$BC36,"CLINIC *")+COUNTIF($D36:$BC36,"URGENT CARE")+COUNTIF($D36:$BC36,"URGENT CARE *")</f>
        <v/>
      </c>
      <c r="BF36" s="63">
        <f>COUNTIF($D36:$BC36,"ED")</f>
        <v/>
      </c>
      <c r="BG36" s="63">
        <f>COUNTIF($D36:$BC36,"A")+COUNTIF($D36:$BC36,"B")+COUNTIF($D36:$BC36,"C")+COUNTIF($D36:$BC36,"D")+COUNTIF($D36:$BC36,"G")</f>
        <v/>
      </c>
      <c r="BH36" s="63">
        <f>COUNTIF($D36:$BC36,"ICU")</f>
        <v/>
      </c>
      <c r="BI36" s="63">
        <f>COUNTIF($D36:$BC36,"ICU E")</f>
        <v/>
      </c>
      <c r="BJ36" s="63">
        <f>COUNTIF($D36:$BC36,"ICU N")</f>
        <v/>
      </c>
      <c r="BK36" s="63">
        <f>COUNTIF($D36:$BC36,"ID")+COUNTIF($D36:$BC36,"ID *")</f>
        <v/>
      </c>
      <c r="BL36" s="63">
        <f>COUNTIF($D36:$BC36,"NEURO")+COUNTIF($D36:$BC36,"NEURO *")</f>
        <v/>
      </c>
      <c r="BM36" s="63">
        <f>COUNTIF($D36:$BC36,"NF")</f>
        <v/>
      </c>
      <c r="BN36" s="63">
        <f>COUNTIF($D36:$BC36,"SWING")</f>
        <v/>
      </c>
      <c r="BO36" s="63">
        <f>COUNTIF($D36:$BC36,"VACATION")</f>
        <v/>
      </c>
      <c r="BP36" s="23">
        <f>SUM(BD36:BO36)</f>
        <v/>
      </c>
      <c r="BQ36" s="63">
        <f>COUNTIF($D36:$BC36,"PALLIATIVE")+COUNTIF($D36:$BC36,"PALLIATIVE *")</f>
        <v/>
      </c>
      <c r="BR36" s="63">
        <f>COUNTIF($D36:$BC36,"GERIATRIC")+COUNTIF($D36:$BC36,"GERIATRIC 2")</f>
        <v/>
      </c>
      <c r="BS36" s="63">
        <f>COUNTIF($D36:$BC36,"GS")+COUNTIF($D36:$BC36,"GI")+COUNTIF($D36:$BC36,"GI *")</f>
        <v/>
      </c>
      <c r="BT36" s="63">
        <f>COUNTIF($D36:$BC36,"HEM/ONC")+COUNTIF($D36:$BC36,"HEM/ONC *")</f>
        <v/>
      </c>
      <c r="BU36" s="63">
        <f>COUNTIF($D36:$BC36,"PAIN MANAGEMENT")+COUNTIF($D36:$BC36,"PAIN MANAGEMENT *")</f>
        <v/>
      </c>
      <c r="BV36" s="63">
        <f>COUNTIF($D36:$BC36,"RHEUMA")+COUNTIF($D36:$BC36,"RHEUMA *")</f>
        <v/>
      </c>
      <c r="BW36" s="63">
        <f>COUNTIF($D36:$BC36,"ENDO")+COUNTIF($D36:$BC36,"ENDO *")</f>
        <v/>
      </c>
      <c r="BX36" s="63">
        <f>COUNTIF($D36:$BC36,"PLASTIC")+COUNTIF($D36:$BC36,"PLASTIC *")</f>
        <v/>
      </c>
      <c r="BY36" s="63">
        <f>COUNTIF($D36:$BC36,"PULM")+COUNTIF($D36:$BC36,"PULM *")</f>
        <v/>
      </c>
      <c r="BZ36" s="63">
        <f>COUNTIF($D36:$BC36,"SICU")+COUNTIF($D36:$BC36,"SICU *")</f>
        <v/>
      </c>
      <c r="CA36" s="63">
        <f>COUNTIF($D36:$BC36,"DERMATOLOGY")+COUNTIF($D36:$BC36,"DERMATOLOGY *")</f>
        <v/>
      </c>
      <c r="CB36" s="86">
        <f>COUNTIF($D36:$BC36,"NEPHRO")+COUNTIF($D36:$BC36,"NEPHRO *")</f>
        <v/>
      </c>
      <c r="CC36" s="59">
        <f>SUM(BQ36:CB36)</f>
        <v/>
      </c>
      <c r="CD36" s="57">
        <f>BP36+CC36</f>
        <v/>
      </c>
    </row>
    <row r="37" ht="39" customHeight="1">
      <c r="A37" s="163" t="n"/>
      <c r="B37" s="165" t="inlineStr">
        <is>
          <t>PGY-3</t>
        </is>
      </c>
      <c r="C37" s="67" t="inlineStr">
        <is>
          <t>G. Barciela</t>
        </is>
      </c>
      <c r="D37" s="75" t="inlineStr">
        <is>
          <t>VACATION</t>
        </is>
      </c>
      <c r="E37" s="75" t="inlineStr">
        <is>
          <t>VACATION</t>
        </is>
      </c>
      <c r="F37" s="75" t="inlineStr">
        <is>
          <t>VACATION</t>
        </is>
      </c>
      <c r="G37" s="80" t="inlineStr">
        <is>
          <t>CLINIC *</t>
        </is>
      </c>
      <c r="H37" s="75" t="inlineStr">
        <is>
          <t>CLINIC *</t>
        </is>
      </c>
      <c r="I37" s="75" t="inlineStr">
        <is>
          <t>CLINIC *</t>
        </is>
      </c>
      <c r="J37" s="80" t="inlineStr">
        <is>
          <t>CLINIC *</t>
        </is>
      </c>
      <c r="K37" s="75" t="inlineStr">
        <is>
          <t>CLINIC *</t>
        </is>
      </c>
      <c r="L37" s="80" t="inlineStr">
        <is>
          <t>CLINIC *</t>
        </is>
      </c>
      <c r="M37" s="75" t="inlineStr">
        <is>
          <t>CLINIC *</t>
        </is>
      </c>
      <c r="N37" s="75" t="inlineStr">
        <is>
          <t>A</t>
        </is>
      </c>
      <c r="O37" s="75" t="inlineStr">
        <is>
          <t>A</t>
        </is>
      </c>
      <c r="P37" s="75" t="inlineStr">
        <is>
          <t>VACATION</t>
        </is>
      </c>
      <c r="Q37" s="80" t="inlineStr">
        <is>
          <t>CLINIC *</t>
        </is>
      </c>
      <c r="R37" s="76" t="inlineStr">
        <is>
          <t>C</t>
        </is>
      </c>
      <c r="S37" s="76" t="inlineStr">
        <is>
          <t>C</t>
        </is>
      </c>
      <c r="T37" s="76" t="inlineStr">
        <is>
          <t>C</t>
        </is>
      </c>
      <c r="U37" s="76" t="inlineStr">
        <is>
          <t>C</t>
        </is>
      </c>
      <c r="V37" s="80" t="inlineStr">
        <is>
          <t>CLINIC *</t>
        </is>
      </c>
      <c r="W37" s="96" t="inlineStr">
        <is>
          <t>A</t>
        </is>
      </c>
      <c r="X37" s="75" t="inlineStr">
        <is>
          <t>A</t>
        </is>
      </c>
      <c r="Y37" s="75" t="inlineStr">
        <is>
          <t>A</t>
        </is>
      </c>
      <c r="Z37" s="96" t="inlineStr">
        <is>
          <t>CLINIC *</t>
        </is>
      </c>
      <c r="AA37" s="80" t="inlineStr">
        <is>
          <t>CLINIC *</t>
        </is>
      </c>
      <c r="AB37" s="75" t="inlineStr">
        <is>
          <t>C</t>
        </is>
      </c>
      <c r="AC37" s="75" t="inlineStr">
        <is>
          <t>C</t>
        </is>
      </c>
      <c r="AD37" s="89" t="inlineStr">
        <is>
          <t>C</t>
        </is>
      </c>
      <c r="AE37" s="75" t="inlineStr">
        <is>
          <t>C</t>
        </is>
      </c>
      <c r="AF37" s="75" t="inlineStr">
        <is>
          <t>C</t>
        </is>
      </c>
      <c r="AG37" s="75" t="inlineStr">
        <is>
          <t>C</t>
        </is>
      </c>
      <c r="AH37" s="80" t="inlineStr">
        <is>
          <t>CLINIC *</t>
        </is>
      </c>
      <c r="AI37" s="97" t="inlineStr">
        <is>
          <t>CLINIC *</t>
        </is>
      </c>
      <c r="AJ37" s="75" t="inlineStr">
        <is>
          <t>CLINIC *</t>
        </is>
      </c>
      <c r="AK37" s="75" t="inlineStr">
        <is>
          <t>C</t>
        </is>
      </c>
      <c r="AL37" s="75" t="inlineStr">
        <is>
          <t>C</t>
        </is>
      </c>
      <c r="AM37" s="80" t="inlineStr">
        <is>
          <t>CLINIC *</t>
        </is>
      </c>
      <c r="AN37" s="80" t="inlineStr">
        <is>
          <t>B</t>
        </is>
      </c>
      <c r="AO37" s="85" t="inlineStr">
        <is>
          <t>B</t>
        </is>
      </c>
      <c r="AP37" s="85" t="inlineStr">
        <is>
          <t>B</t>
        </is>
      </c>
      <c r="AQ37" s="80" t="inlineStr">
        <is>
          <t>CLINIC *</t>
        </is>
      </c>
      <c r="AR37" s="80" t="inlineStr">
        <is>
          <t>CLINIC *</t>
        </is>
      </c>
      <c r="AS37" s="75" t="inlineStr">
        <is>
          <t>CLINIC *</t>
        </is>
      </c>
      <c r="AT37" s="75" t="inlineStr">
        <is>
          <t>CLINIC *</t>
        </is>
      </c>
      <c r="AU37" s="80" t="inlineStr">
        <is>
          <t>CLINIC *</t>
        </is>
      </c>
      <c r="AV37" s="75" t="inlineStr">
        <is>
          <t>CLINIC *</t>
        </is>
      </c>
      <c r="AW37" s="80" t="inlineStr">
        <is>
          <t>CLINIC *</t>
        </is>
      </c>
      <c r="AX37" s="85" t="inlineStr">
        <is>
          <t>A</t>
        </is>
      </c>
      <c r="AY37" s="75" t="inlineStr">
        <is>
          <t>A</t>
        </is>
      </c>
      <c r="AZ37" s="75" t="inlineStr">
        <is>
          <t>A</t>
        </is>
      </c>
      <c r="BA37" s="85" t="inlineStr">
        <is>
          <t>A</t>
        </is>
      </c>
      <c r="BB37" s="80" t="inlineStr">
        <is>
          <t>A</t>
        </is>
      </c>
      <c r="BC37" s="75" t="inlineStr">
        <is>
          <t>A</t>
        </is>
      </c>
      <c r="BD37" s="63">
        <f>COUNTIF($D37:$BC37,"CARDIO")+COUNTIF($D37:$BC37,"CARDIO E")+COUNTIF($D37:$BC37,"CARDIO E *")+COUNTIF($D37:$BC37,"CARDIO-HCA")+COUNTIF($D37:$BC37,"CARDIO-HCA *")+COUNTIF($D37:$BC37,"CARDIO-RAM")+COUNTIF($D37:$BC37,"CARDIO-RAM *")</f>
        <v/>
      </c>
      <c r="BE37" s="63">
        <f>COUNTIF($D37:$BC37,"CLINIC")+COUNTIF($D37:$BC37,"CLINIC *")+COUNTIF($D37:$BC37,"URGENT CARE")+COUNTIF($D37:$BC37,"URGENT CARE *")</f>
        <v/>
      </c>
      <c r="BF37" s="63">
        <f>COUNTIF($D37:$BC37,"ED")</f>
        <v/>
      </c>
      <c r="BG37" s="63">
        <f>COUNTIF($D37:$BC37,"A")+COUNTIF($D37:$BC37,"B")+COUNTIF($D37:$BC37,"C")+COUNTIF($D37:$BC37,"D")+COUNTIF($D37:$BC37,"G")</f>
        <v/>
      </c>
      <c r="BH37" s="63">
        <f>COUNTIF($D37:$BC37,"ICU")</f>
        <v/>
      </c>
      <c r="BI37" s="63">
        <f>COUNTIF($D37:$BC37,"ICU E")</f>
        <v/>
      </c>
      <c r="BJ37" s="63">
        <f>COUNTIF($D37:$BC37,"ICU N")</f>
        <v/>
      </c>
      <c r="BK37" s="63">
        <f>COUNTIF($D37:$BC37,"ID")+COUNTIF($D37:$BC37,"ID *")</f>
        <v/>
      </c>
      <c r="BL37" s="63">
        <f>COUNTIF($D37:$BC37,"NEURO")+COUNTIF($D37:$BC37,"NEURO *")</f>
        <v/>
      </c>
      <c r="BM37" s="63">
        <f>COUNTIF($D37:$BC37,"NF")</f>
        <v/>
      </c>
      <c r="BN37" s="63">
        <f>COUNTIF($D37:$BC37,"SWING")</f>
        <v/>
      </c>
      <c r="BO37" s="63">
        <f>COUNTIF($D37:$BC37,"VACATION")</f>
        <v/>
      </c>
      <c r="BP37" s="23">
        <f>SUM(BD37:BO37)</f>
        <v/>
      </c>
      <c r="BQ37" s="63">
        <f>COUNTIF($D37:$BC37,"PALLIATIVE")+COUNTIF($D37:$BC37,"PALLIATIVE *")</f>
        <v/>
      </c>
      <c r="BR37" s="63">
        <f>COUNTIF($D37:$BC37,"GERIATRIC")+COUNTIF($D37:$BC37,"GERIATRIC 2")</f>
        <v/>
      </c>
      <c r="BS37" s="63">
        <f>COUNTIF($D37:$BC37,"GS")+COUNTIF($D37:$BC37,"GI")+COUNTIF($D37:$BC37,"GI *")</f>
        <v/>
      </c>
      <c r="BT37" s="63">
        <f>COUNTIF($D37:$BC37,"HEM/ONC")+COUNTIF($D37:$BC37,"HEM/ONC *")</f>
        <v/>
      </c>
      <c r="BU37" s="63">
        <f>COUNTIF($D37:$BC37,"PAIN MANAGEMENT")+COUNTIF($D37:$BC37,"PAIN MANAGEMENT *")</f>
        <v/>
      </c>
      <c r="BV37" s="63">
        <f>COUNTIF($D37:$BC37,"RHEUMA")+COUNTIF($D37:$BC37,"RHEUMA *")</f>
        <v/>
      </c>
      <c r="BW37" s="63">
        <f>COUNTIF($D37:$BC37,"ENDO")+COUNTIF($D37:$BC37,"ENDO *")</f>
        <v/>
      </c>
      <c r="BX37" s="63">
        <f>COUNTIF($D37:$BC37,"PLASTIC")+COUNTIF($D37:$BC37,"PLASTIC *")</f>
        <v/>
      </c>
      <c r="BY37" s="63">
        <f>COUNTIF($D37:$BC37,"PULM")+COUNTIF($D37:$BC37,"PULM *")</f>
        <v/>
      </c>
      <c r="BZ37" s="63">
        <f>COUNTIF($D37:$BC37,"SICU")+COUNTIF($D37:$BC37,"SICU *")</f>
        <v/>
      </c>
      <c r="CA37" s="63">
        <f>COUNTIF($D37:$BC37,"DERMATOLOGY")+COUNTIF($D37:$BC37,"DERMATOLOGY *")</f>
        <v/>
      </c>
      <c r="CB37" s="86">
        <f>COUNTIF($D37:$BC37,"NEPHRO")+COUNTIF($D37:$BC37,"NEPHRO *")</f>
        <v/>
      </c>
      <c r="CC37" s="59">
        <f>SUM(BQ37:CB37)</f>
        <v/>
      </c>
      <c r="CD37" s="57">
        <f>BP37+CC37</f>
        <v/>
      </c>
    </row>
    <row r="38" ht="39" customHeight="1">
      <c r="A38" s="166" t="n"/>
      <c r="B38" s="167" t="n"/>
      <c r="C38" s="67" t="inlineStr">
        <is>
          <t>K. Sanchez</t>
        </is>
      </c>
      <c r="D38" s="75" t="inlineStr">
        <is>
          <t>CLINIC</t>
        </is>
      </c>
      <c r="E38" s="75" t="inlineStr">
        <is>
          <t>CLINIC</t>
        </is>
      </c>
      <c r="F38" s="75" t="inlineStr">
        <is>
          <t>CLINIC</t>
        </is>
      </c>
      <c r="G38" s="80" t="inlineStr">
        <is>
          <t>CLINIC</t>
        </is>
      </c>
      <c r="H38" s="75" t="inlineStr">
        <is>
          <t>A</t>
        </is>
      </c>
      <c r="I38" s="75" t="inlineStr">
        <is>
          <t>A</t>
        </is>
      </c>
      <c r="J38" s="75" t="inlineStr">
        <is>
          <t>A</t>
        </is>
      </c>
      <c r="K38" s="75" t="inlineStr">
        <is>
          <t>A</t>
        </is>
      </c>
      <c r="L38" s="80" t="inlineStr">
        <is>
          <t>CLINIC *</t>
        </is>
      </c>
      <c r="M38" s="80" t="inlineStr">
        <is>
          <t>CLINIC *</t>
        </is>
      </c>
      <c r="N38" s="75" t="inlineStr">
        <is>
          <t>CLINIC *</t>
        </is>
      </c>
      <c r="O38" s="76" t="inlineStr">
        <is>
          <t>CLINIC *</t>
        </is>
      </c>
      <c r="P38" s="80" t="inlineStr">
        <is>
          <t>CLINIC *</t>
        </is>
      </c>
      <c r="Q38" s="80" t="inlineStr">
        <is>
          <t>CLINIC *</t>
        </is>
      </c>
      <c r="R38" s="76" t="inlineStr">
        <is>
          <t>CLINIC *</t>
        </is>
      </c>
      <c r="S38" s="76" t="inlineStr">
        <is>
          <t>CLINIC *</t>
        </is>
      </c>
      <c r="T38" s="76" t="inlineStr">
        <is>
          <t>CLINIC *</t>
        </is>
      </c>
      <c r="U38" s="76" t="inlineStr">
        <is>
          <t>CLINIC *</t>
        </is>
      </c>
      <c r="V38" s="80" t="inlineStr">
        <is>
          <t>CLINIC *</t>
        </is>
      </c>
      <c r="W38" s="96" t="inlineStr">
        <is>
          <t>CLINIC *</t>
        </is>
      </c>
      <c r="X38" s="76" t="inlineStr">
        <is>
          <t>CLINIC *</t>
        </is>
      </c>
      <c r="Y38" s="76" t="inlineStr">
        <is>
          <t>CLINIC *</t>
        </is>
      </c>
      <c r="Z38" s="75" t="inlineStr">
        <is>
          <t>CLINIC *</t>
        </is>
      </c>
      <c r="AA38" s="80" t="inlineStr">
        <is>
          <t>CLINIC *</t>
        </is>
      </c>
      <c r="AB38" s="75" t="inlineStr">
        <is>
          <t>SWING</t>
        </is>
      </c>
      <c r="AC38" s="80" t="inlineStr">
        <is>
          <t>SWING</t>
        </is>
      </c>
      <c r="AD38" s="89" t="inlineStr">
        <is>
          <t>C</t>
        </is>
      </c>
      <c r="AE38" s="85" t="inlineStr">
        <is>
          <t>C</t>
        </is>
      </c>
      <c r="AF38" s="75" t="inlineStr">
        <is>
          <t>CLINIC *</t>
        </is>
      </c>
      <c r="AG38" s="75" t="inlineStr">
        <is>
          <t>CLINIC *</t>
        </is>
      </c>
      <c r="AH38" s="80" t="inlineStr">
        <is>
          <t>CLINIC *</t>
        </is>
      </c>
      <c r="AI38" s="75" t="inlineStr">
        <is>
          <t>ICU E</t>
        </is>
      </c>
      <c r="AJ38" s="80" t="inlineStr">
        <is>
          <t>ICU E</t>
        </is>
      </c>
      <c r="AK38" s="75" t="inlineStr">
        <is>
          <t>ICU E</t>
        </is>
      </c>
      <c r="AL38" s="97" t="inlineStr">
        <is>
          <t>ICU E</t>
        </is>
      </c>
      <c r="AM38" s="80" t="inlineStr">
        <is>
          <t>CLINIC *</t>
        </is>
      </c>
      <c r="AN38" s="85" t="inlineStr">
        <is>
          <t>NF</t>
        </is>
      </c>
      <c r="AO38" s="80" t="inlineStr">
        <is>
          <t>NF</t>
        </is>
      </c>
      <c r="AP38" s="97" t="inlineStr">
        <is>
          <t>NF</t>
        </is>
      </c>
      <c r="AQ38" s="75" t="inlineStr">
        <is>
          <t>NF</t>
        </is>
      </c>
      <c r="AR38" s="80" t="inlineStr">
        <is>
          <t>CLINIC *</t>
        </is>
      </c>
      <c r="AS38" s="85" t="inlineStr">
        <is>
          <t>NF</t>
        </is>
      </c>
      <c r="AT38" s="85" t="inlineStr">
        <is>
          <t>NF</t>
        </is>
      </c>
      <c r="AU38" s="80" t="inlineStr">
        <is>
          <t>NF</t>
        </is>
      </c>
      <c r="AV38" s="80" t="inlineStr">
        <is>
          <t>NF</t>
        </is>
      </c>
      <c r="AW38" s="80" t="inlineStr">
        <is>
          <t>CLINIC *</t>
        </is>
      </c>
      <c r="AX38" s="85" t="inlineStr">
        <is>
          <t>CLINIC *</t>
        </is>
      </c>
      <c r="AY38" s="75" t="inlineStr">
        <is>
          <t>VACATION</t>
        </is>
      </c>
      <c r="AZ38" s="80" t="inlineStr">
        <is>
          <t>VACATION</t>
        </is>
      </c>
      <c r="BA38" s="75" t="inlineStr">
        <is>
          <t>VACATION</t>
        </is>
      </c>
      <c r="BB38" s="75" t="inlineStr">
        <is>
          <t>VACATION</t>
        </is>
      </c>
      <c r="BC38" s="75" t="inlineStr">
        <is>
          <t>ICU E</t>
        </is>
      </c>
      <c r="BD38" s="63">
        <f>COUNTIF($D38:$BC38,"CARDIO")+COUNTIF($D38:$BC38,"CARDIO E")+COUNTIF($D38:$BC38,"CARDIO E *")+COUNTIF($D38:$BC38,"CARDIO-HCA")+COUNTIF($D38:$BC38,"CARDIO-HCA *")+COUNTIF($D38:$BC38,"CARDIO-RAM")+COUNTIF($D38:$BC38,"CARDIO-RAM *")</f>
        <v/>
      </c>
      <c r="BE38" s="63">
        <f>COUNTIF($D38:$BC38,"CLINIC")+COUNTIF($D38:$BC38,"CLINIC *")+COUNTIF($D38:$BC38,"URGENT CARE")+COUNTIF($D38:$BC38,"URGENT CARE *")</f>
        <v/>
      </c>
      <c r="BF38" s="63">
        <f>COUNTIF($D38:$BC38,"ED")</f>
        <v/>
      </c>
      <c r="BG38" s="63">
        <f>COUNTIF($D38:$BC38,"A")+COUNTIF($D38:$BC38,"B")+COUNTIF($D38:$BC38,"C")+COUNTIF($D38:$BC38,"D")+COUNTIF($D38:$BC38,"G")</f>
        <v/>
      </c>
      <c r="BH38" s="63">
        <f>COUNTIF($D38:$BC38,"ICU")</f>
        <v/>
      </c>
      <c r="BI38" s="63">
        <f>COUNTIF($D38:$BC38,"ICU E")</f>
        <v/>
      </c>
      <c r="BJ38" s="63">
        <f>COUNTIF($D38:$BC38,"ICU N")</f>
        <v/>
      </c>
      <c r="BK38" s="63">
        <f>COUNTIF($D38:$BC38,"ID")+COUNTIF($D38:$BC38,"ID *")</f>
        <v/>
      </c>
      <c r="BL38" s="63">
        <f>COUNTIF($D38:$BC38,"NEURO")+COUNTIF($D38:$BC38,"NEURO *")</f>
        <v/>
      </c>
      <c r="BM38" s="63">
        <f>COUNTIF($D38:$BC38,"NF")</f>
        <v/>
      </c>
      <c r="BN38" s="63">
        <f>COUNTIF($D38:$BC38,"SWING")</f>
        <v/>
      </c>
      <c r="BO38" s="63">
        <f>COUNTIF($D38:$BC38,"VACATION")</f>
        <v/>
      </c>
      <c r="BP38" s="23">
        <f>SUM(BD38:BO38)</f>
        <v/>
      </c>
      <c r="BQ38" s="63">
        <f>COUNTIF($D38:$BC38,"PALLIATIVE")+COUNTIF($D38:$BC38,"PALLIATIVE *")</f>
        <v/>
      </c>
      <c r="BR38" s="63">
        <f>COUNTIF($D38:$BC38,"GERIATRIC")+COUNTIF($D38:$BC38,"GERIATRIC 2")</f>
        <v/>
      </c>
      <c r="BS38" s="63">
        <f>COUNTIF($D38:$BC38,"GS")+COUNTIF($D38:$BC38,"GI")+COUNTIF($D38:$BC38,"GI *")</f>
        <v/>
      </c>
      <c r="BT38" s="63">
        <f>COUNTIF($D38:$BC38,"HEM/ONC")+COUNTIF($D38:$BC38,"HEM/ONC *")</f>
        <v/>
      </c>
      <c r="BU38" s="63">
        <f>COUNTIF($D38:$BC38,"PAIN MANAGEMENT")+COUNTIF($D38:$BC38,"PAIN MANAGEMENT *")</f>
        <v/>
      </c>
      <c r="BV38" s="63">
        <f>COUNTIF($D38:$BC38,"RHEUMA")+COUNTIF($D38:$BC38,"RHEUMA *")</f>
        <v/>
      </c>
      <c r="BW38" s="63">
        <f>COUNTIF($D38:$BC38,"ENDO")+COUNTIF($D38:$BC38,"ENDO *")</f>
        <v/>
      </c>
      <c r="BX38" s="63">
        <f>COUNTIF($D38:$BC38,"PLASTIC")+COUNTIF($D38:$BC38,"PLASTIC *")</f>
        <v/>
      </c>
      <c r="BY38" s="63">
        <f>COUNTIF($D38:$BC38,"PULM")+COUNTIF($D38:$BC38,"PULM *")</f>
        <v/>
      </c>
      <c r="BZ38" s="63">
        <f>COUNTIF($D38:$BC38,"SICU")+COUNTIF($D38:$BC38,"SICU *")</f>
        <v/>
      </c>
      <c r="CA38" s="63">
        <f>COUNTIF($D38:$BC38,"DERMATOLOGY")+COUNTIF($D38:$BC38,"DERMATOLOGY *")</f>
        <v/>
      </c>
      <c r="CB38" s="86">
        <f>COUNTIF($D38:$BC38,"NEPHRO")+COUNTIF($D38:$BC38,"NEPHRO *")</f>
        <v/>
      </c>
      <c r="CC38" s="59">
        <f>SUM(BQ38:CB38)</f>
        <v/>
      </c>
      <c r="CD38" s="57">
        <f>BP38+CC38</f>
        <v/>
      </c>
    </row>
    <row r="39" ht="39" customHeight="1">
      <c r="A39" s="120" t="inlineStr">
        <is>
          <t>Cohort 5</t>
        </is>
      </c>
      <c r="B39" s="110" t="inlineStr">
        <is>
          <t>PGY-1</t>
        </is>
      </c>
      <c r="C39" s="92" t="inlineStr">
        <is>
          <t>C. Tucci</t>
        </is>
      </c>
      <c r="D39" s="75" t="inlineStr">
        <is>
          <t>VACATION</t>
        </is>
      </c>
      <c r="E39" s="75" t="inlineStr">
        <is>
          <t>ICU N</t>
        </is>
      </c>
      <c r="F39" s="75" t="inlineStr">
        <is>
          <t>ICU N</t>
        </is>
      </c>
      <c r="G39" s="75" t="inlineStr">
        <is>
          <t>CLINIC</t>
        </is>
      </c>
      <c r="H39" s="80" t="inlineStr">
        <is>
          <t>CLINIC</t>
        </is>
      </c>
      <c r="I39" s="75" t="inlineStr">
        <is>
          <t>D</t>
        </is>
      </c>
      <c r="J39" s="75" t="inlineStr">
        <is>
          <t>D</t>
        </is>
      </c>
      <c r="K39" s="75" t="inlineStr">
        <is>
          <t>D</t>
        </is>
      </c>
      <c r="L39" s="75" t="inlineStr">
        <is>
          <t>D</t>
        </is>
      </c>
      <c r="M39" s="80" t="inlineStr">
        <is>
          <t>CLINIC *</t>
        </is>
      </c>
      <c r="N39" s="75" t="inlineStr">
        <is>
          <t>NF</t>
        </is>
      </c>
      <c r="O39" s="75" t="inlineStr">
        <is>
          <t>NF</t>
        </is>
      </c>
      <c r="P39" s="75" t="inlineStr">
        <is>
          <t>ED</t>
        </is>
      </c>
      <c r="Q39" s="76" t="inlineStr">
        <is>
          <t>ED</t>
        </is>
      </c>
      <c r="R39" s="80" t="inlineStr">
        <is>
          <t>CLINIC *</t>
        </is>
      </c>
      <c r="S39" s="76" t="inlineStr">
        <is>
          <t>ICU E</t>
        </is>
      </c>
      <c r="T39" s="76" t="inlineStr">
        <is>
          <t>ICU E</t>
        </is>
      </c>
      <c r="U39" s="75" t="inlineStr">
        <is>
          <t>C</t>
        </is>
      </c>
      <c r="V39" s="75" t="inlineStr">
        <is>
          <t>CLINIC</t>
        </is>
      </c>
      <c r="W39" s="80" t="inlineStr">
        <is>
          <t>CLINIC</t>
        </is>
      </c>
      <c r="X39" s="76" t="inlineStr">
        <is>
          <t>CLINIC</t>
        </is>
      </c>
      <c r="Y39" s="76" t="inlineStr">
        <is>
          <t>D</t>
        </is>
      </c>
      <c r="Z39" s="75" t="inlineStr">
        <is>
          <t>D</t>
        </is>
      </c>
      <c r="AA39" s="75" t="inlineStr">
        <is>
          <t>D</t>
        </is>
      </c>
      <c r="AB39" s="80" t="inlineStr">
        <is>
          <t>CLINIC *</t>
        </is>
      </c>
      <c r="AC39" s="75" t="inlineStr">
        <is>
          <t>CLINIC *</t>
        </is>
      </c>
      <c r="AD39" s="89" t="inlineStr">
        <is>
          <t>A</t>
        </is>
      </c>
      <c r="AE39" s="75" t="inlineStr">
        <is>
          <t>A</t>
        </is>
      </c>
      <c r="AF39" s="75" t="inlineStr">
        <is>
          <t>ICU</t>
        </is>
      </c>
      <c r="AG39" s="80" t="inlineStr">
        <is>
          <t>ID</t>
        </is>
      </c>
      <c r="AH39" s="75" t="inlineStr">
        <is>
          <t>ID</t>
        </is>
      </c>
      <c r="AI39" s="80" t="inlineStr">
        <is>
          <t>CLINIC *</t>
        </is>
      </c>
      <c r="AJ39" s="75" t="inlineStr">
        <is>
          <t>ICU E</t>
        </is>
      </c>
      <c r="AK39" s="75" t="inlineStr">
        <is>
          <t>ICU E</t>
        </is>
      </c>
      <c r="AL39" s="80" t="inlineStr">
        <is>
          <t>ICU E</t>
        </is>
      </c>
      <c r="AM39" s="75" t="inlineStr">
        <is>
          <t>NF</t>
        </is>
      </c>
      <c r="AN39" s="80" t="inlineStr">
        <is>
          <t>CLINIC *</t>
        </is>
      </c>
      <c r="AO39" s="80" t="inlineStr">
        <is>
          <t>CARDIO-HCA</t>
        </is>
      </c>
      <c r="AP39" s="75" t="inlineStr">
        <is>
          <t>CARDIO-HCA</t>
        </is>
      </c>
      <c r="AQ39" s="75" t="inlineStr">
        <is>
          <t>VACATION</t>
        </is>
      </c>
      <c r="AR39" s="75" t="inlineStr">
        <is>
          <t>VACATION</t>
        </is>
      </c>
      <c r="AS39" s="75" t="inlineStr">
        <is>
          <t>VACATION</t>
        </is>
      </c>
      <c r="AT39" s="75" t="inlineStr">
        <is>
          <t>NF</t>
        </is>
      </c>
      <c r="AU39" s="75" t="inlineStr">
        <is>
          <t>NF</t>
        </is>
      </c>
      <c r="AV39" s="75" t="inlineStr">
        <is>
          <t>C</t>
        </is>
      </c>
      <c r="AW39" s="75" t="inlineStr">
        <is>
          <t>C</t>
        </is>
      </c>
      <c r="AX39" s="80" t="inlineStr">
        <is>
          <t>CLINIC *</t>
        </is>
      </c>
      <c r="AY39" s="75" t="inlineStr">
        <is>
          <t>CLINIC *</t>
        </is>
      </c>
      <c r="AZ39" s="75" t="inlineStr">
        <is>
          <t>C</t>
        </is>
      </c>
      <c r="BA39" s="75" t="inlineStr">
        <is>
          <t>C</t>
        </is>
      </c>
      <c r="BB39" s="75" t="inlineStr">
        <is>
          <t>C</t>
        </is>
      </c>
      <c r="BC39" s="75" t="inlineStr">
        <is>
          <t>CLINIC *</t>
        </is>
      </c>
      <c r="BD39" s="63">
        <f>COUNTIF($D39:$BC39,"CARDIO")+COUNTIF($D39:$BC39,"CARDIO E")+COUNTIF($D39:$BC39,"CARDIO E *")+COUNTIF($D39:$BC39,"CARDIO-HCA")+COUNTIF($D39:$BC39,"CARDIO-HCA *")+COUNTIF($D39:$BC39,"CARDIO-RAM")+COUNTIF($D39:$BC39,"CARDIO-RAM *")</f>
        <v/>
      </c>
      <c r="BE39" s="63">
        <f>COUNTIF($D39:$BC39,"CLINIC")+COUNTIF($D39:$BC39,"CLINIC *")+COUNTIF($D39:$BC39,"URGENT CARE")+COUNTIF($D39:$BC39,"URGENT CARE *")</f>
        <v/>
      </c>
      <c r="BF39" s="63">
        <f>COUNTIF($D39:$BC39,"ED")</f>
        <v/>
      </c>
      <c r="BG39" s="63">
        <f>COUNTIF($D39:$BC39,"A")+COUNTIF($D39:$BC39,"B")+COUNTIF($D39:$BC39,"C")+COUNTIF($D39:$BC39,"D")+COUNTIF($D39:$BC39,"G")</f>
        <v/>
      </c>
      <c r="BH39" s="63">
        <f>COUNTIF($D39:$BC39,"ICU")</f>
        <v/>
      </c>
      <c r="BI39" s="63">
        <f>COUNTIF($D39:$BC39,"ICU E")</f>
        <v/>
      </c>
      <c r="BJ39" s="63">
        <f>COUNTIF($D39:$BC39,"ICU N")</f>
        <v/>
      </c>
      <c r="BK39" s="63">
        <f>COUNTIF($D39:$BC39,"ID")+COUNTIF($D39:$BC39,"ID *")</f>
        <v/>
      </c>
      <c r="BL39" s="63">
        <f>COUNTIF($D39:$BC39,"NEURO")+COUNTIF($D39:$BC39,"NEURO *")</f>
        <v/>
      </c>
      <c r="BM39" s="63">
        <f>COUNTIF($D39:$BC39,"NF")</f>
        <v/>
      </c>
      <c r="BN39" s="63">
        <f>COUNTIF($D39:$BC39,"SWING")</f>
        <v/>
      </c>
      <c r="BO39" s="63">
        <f>COUNTIF($D39:$BC39,"VACATION")</f>
        <v/>
      </c>
      <c r="BP39" s="23">
        <f>SUM(BD39:BO39)</f>
        <v/>
      </c>
      <c r="BQ39" s="63">
        <f>COUNTIF($D39:$BC39,"PALLIATIVE")+COUNTIF($D39:$BC39,"PALLIATIVE *")</f>
        <v/>
      </c>
      <c r="BR39" s="63">
        <f>COUNTIF($D39:$BC39,"GERIATRIC")+COUNTIF($D39:$BC39,"GERIATRIC 2")</f>
        <v/>
      </c>
      <c r="BS39" s="63">
        <f>COUNTIF($D39:$BC39,"GS")+COUNTIF($D39:$BC39,"GI")+COUNTIF($D39:$BC39,"GI *")</f>
        <v/>
      </c>
      <c r="BT39" s="63">
        <f>COUNTIF($D39:$BC39,"HEM/ONC")+COUNTIF($D39:$BC39,"HEM/ONC *")</f>
        <v/>
      </c>
      <c r="BU39" s="63">
        <f>COUNTIF($D39:$BC39,"PAIN MANAGEMENT")+COUNTIF($D39:$BC39,"PAIN MANAGEMENT *")</f>
        <v/>
      </c>
      <c r="BV39" s="63">
        <f>COUNTIF($D39:$BC39,"RHEUMA")+COUNTIF($D39:$BC39,"RHEUMA *")</f>
        <v/>
      </c>
      <c r="BW39" s="63">
        <f>COUNTIF($D39:$BC39,"ENDO")+COUNTIF($D39:$BC39,"ENDO *")</f>
        <v/>
      </c>
      <c r="BX39" s="63">
        <f>COUNTIF($D39:$BC39,"PLASTIC")+COUNTIF($D39:$BC39,"PLASTIC *")</f>
        <v/>
      </c>
      <c r="BY39" s="63">
        <f>COUNTIF($D39:$BC39,"PULM")+COUNTIF($D39:$BC39,"PULM *")</f>
        <v/>
      </c>
      <c r="BZ39" s="63">
        <f>COUNTIF($D39:$BC39,"SICU")+COUNTIF($D39:$BC39,"SICU *")</f>
        <v/>
      </c>
      <c r="CA39" s="63">
        <f>COUNTIF($D39:$BC39,"DERMATOLOGY")+COUNTIF($D39:$BC39,"DERMATOLOGY *")</f>
        <v/>
      </c>
      <c r="CB39" s="86">
        <f>COUNTIF($D39:$BC39,"NEPHRO")+COUNTIF($D39:$BC39,"NEPHRO *")</f>
        <v/>
      </c>
      <c r="CC39" s="59">
        <f>SUM(BQ39:CB39)</f>
        <v/>
      </c>
      <c r="CD39" s="57">
        <f>BP39+CC39</f>
        <v/>
      </c>
    </row>
    <row r="40" ht="39" customHeight="1">
      <c r="A40" s="163" t="n"/>
      <c r="B40" s="164" t="n"/>
      <c r="C40" s="92" t="inlineStr">
        <is>
          <t>L. Cordoba</t>
        </is>
      </c>
      <c r="D40" s="75" t="inlineStr">
        <is>
          <t>A</t>
        </is>
      </c>
      <c r="E40" s="75" t="inlineStr">
        <is>
          <t>A</t>
        </is>
      </c>
      <c r="F40" s="75" t="inlineStr">
        <is>
          <t>ID</t>
        </is>
      </c>
      <c r="G40" s="75" t="inlineStr">
        <is>
          <t>ID</t>
        </is>
      </c>
      <c r="H40" s="80" t="inlineStr">
        <is>
          <t>CLINIC *</t>
        </is>
      </c>
      <c r="I40" s="76" t="inlineStr">
        <is>
          <t>VACATION</t>
        </is>
      </c>
      <c r="J40" s="75" t="inlineStr">
        <is>
          <t>VACATION</t>
        </is>
      </c>
      <c r="K40" s="75" t="inlineStr">
        <is>
          <t>VACATION</t>
        </is>
      </c>
      <c r="L40" s="75" t="inlineStr">
        <is>
          <t>VACATION</t>
        </is>
      </c>
      <c r="M40" s="80" t="inlineStr">
        <is>
          <t>CLINIC *</t>
        </is>
      </c>
      <c r="N40" s="75" t="inlineStr">
        <is>
          <t>C</t>
        </is>
      </c>
      <c r="O40" s="75" t="inlineStr">
        <is>
          <t>C</t>
        </is>
      </c>
      <c r="P40" s="75" t="inlineStr">
        <is>
          <t>ICU E</t>
        </is>
      </c>
      <c r="Q40" s="75" t="inlineStr">
        <is>
          <t>ICU E</t>
        </is>
      </c>
      <c r="R40" s="80" t="inlineStr">
        <is>
          <t>CLINIC *</t>
        </is>
      </c>
      <c r="S40" s="80" t="inlineStr">
        <is>
          <t>NF</t>
        </is>
      </c>
      <c r="T40" s="76" t="inlineStr">
        <is>
          <t>NF</t>
        </is>
      </c>
      <c r="U40" s="76" t="inlineStr">
        <is>
          <t>NF</t>
        </is>
      </c>
      <c r="V40" s="75" t="inlineStr">
        <is>
          <t>NF</t>
        </is>
      </c>
      <c r="W40" s="75" t="inlineStr">
        <is>
          <t>CLINIC *</t>
        </is>
      </c>
      <c r="X40" s="76" t="inlineStr">
        <is>
          <t>D</t>
        </is>
      </c>
      <c r="Y40" s="76" t="inlineStr">
        <is>
          <t>D</t>
        </is>
      </c>
      <c r="Z40" s="75" t="inlineStr">
        <is>
          <t>D</t>
        </is>
      </c>
      <c r="AA40" s="75" t="inlineStr">
        <is>
          <t>NF</t>
        </is>
      </c>
      <c r="AB40" s="80" t="inlineStr">
        <is>
          <t>CLINIC *</t>
        </is>
      </c>
      <c r="AC40" s="75" t="inlineStr">
        <is>
          <t>CARDIO-HCA</t>
        </is>
      </c>
      <c r="AD40" s="89" t="inlineStr">
        <is>
          <t>CARDIO-HCA</t>
        </is>
      </c>
      <c r="AE40" s="75" t="inlineStr">
        <is>
          <t>ICU E</t>
        </is>
      </c>
      <c r="AF40" s="75" t="inlineStr">
        <is>
          <t>ICU E</t>
        </is>
      </c>
      <c r="AG40" s="80" t="inlineStr">
        <is>
          <t>ICU E</t>
        </is>
      </c>
      <c r="AH40" s="75" t="inlineStr">
        <is>
          <t>ICU E</t>
        </is>
      </c>
      <c r="AI40" s="80" t="inlineStr">
        <is>
          <t>CLINIC</t>
        </is>
      </c>
      <c r="AJ40" s="75" t="inlineStr">
        <is>
          <t>CLINIC</t>
        </is>
      </c>
      <c r="AK40" s="75" t="inlineStr">
        <is>
          <t>ICU E</t>
        </is>
      </c>
      <c r="AL40" s="80" t="inlineStr">
        <is>
          <t>ICU E</t>
        </is>
      </c>
      <c r="AM40" s="75" t="inlineStr">
        <is>
          <t>CLINIC *</t>
        </is>
      </c>
      <c r="AN40" s="80" t="inlineStr">
        <is>
          <t>CLINIC *</t>
        </is>
      </c>
      <c r="AO40" s="75" t="inlineStr">
        <is>
          <t>B</t>
        </is>
      </c>
      <c r="AP40" s="80" t="inlineStr">
        <is>
          <t>B</t>
        </is>
      </c>
      <c r="AQ40" s="78" t="inlineStr">
        <is>
          <t>ED</t>
        </is>
      </c>
      <c r="AR40" s="75" t="inlineStr">
        <is>
          <t>ED</t>
        </is>
      </c>
      <c r="AS40" s="80" t="inlineStr">
        <is>
          <t>D</t>
        </is>
      </c>
      <c r="AT40" s="75" t="inlineStr">
        <is>
          <t>D</t>
        </is>
      </c>
      <c r="AU40" s="75" t="inlineStr">
        <is>
          <t>D</t>
        </is>
      </c>
      <c r="AV40" s="75" t="inlineStr">
        <is>
          <t>D</t>
        </is>
      </c>
      <c r="AW40" s="75" t="inlineStr">
        <is>
          <t>CLINIC</t>
        </is>
      </c>
      <c r="AX40" s="80" t="inlineStr">
        <is>
          <t>CLINIC</t>
        </is>
      </c>
      <c r="AY40" s="75" t="inlineStr">
        <is>
          <t>D</t>
        </is>
      </c>
      <c r="AZ40" s="75" t="inlineStr">
        <is>
          <t>D</t>
        </is>
      </c>
      <c r="BA40" s="75" t="inlineStr">
        <is>
          <t>CLINIC *</t>
        </is>
      </c>
      <c r="BB40" s="75" t="inlineStr">
        <is>
          <t>CLINIC *</t>
        </is>
      </c>
      <c r="BC40" s="80" t="inlineStr">
        <is>
          <t>CLINIC *</t>
        </is>
      </c>
      <c r="BD40" s="63">
        <f>COUNTIF($D40:$BC40,"CARDIO")+COUNTIF($D40:$BC40,"CARDIO E")+COUNTIF($D40:$BC40,"CARDIO E *")+COUNTIF($D40:$BC40,"CARDIO-HCA")+COUNTIF($D40:$BC40,"CARDIO-HCA *")+COUNTIF($D40:$BC40,"CARDIO-RAM")+COUNTIF($D40:$BC40,"CARDIO-RAM *")</f>
        <v/>
      </c>
      <c r="BE40" s="63">
        <f>COUNTIF($D40:$BC40,"CLINIC")+COUNTIF($D40:$BC40,"CLINIC *")+COUNTIF($D40:$BC40,"URGENT CARE")+COUNTIF($D40:$BC40,"URGENT CARE *")</f>
        <v/>
      </c>
      <c r="BF40" s="63">
        <f>COUNTIF($D40:$BC40,"ED")</f>
        <v/>
      </c>
      <c r="BG40" s="63">
        <f>COUNTIF($D40:$BC40,"A")+COUNTIF($D40:$BC40,"B")+COUNTIF($D40:$BC40,"C")+COUNTIF($D40:$BC40,"D")+COUNTIF($D40:$BC40,"G")</f>
        <v/>
      </c>
      <c r="BH40" s="63">
        <f>COUNTIF($D40:$BC40,"ICU")</f>
        <v/>
      </c>
      <c r="BI40" s="63">
        <f>COUNTIF($D40:$BC40,"ICU E")</f>
        <v/>
      </c>
      <c r="BJ40" s="63">
        <f>COUNTIF($D40:$BC40,"ICU N")</f>
        <v/>
      </c>
      <c r="BK40" s="63">
        <f>COUNTIF($D40:$BC40,"ID")+COUNTIF($D40:$BC40,"ID *")</f>
        <v/>
      </c>
      <c r="BL40" s="63">
        <f>COUNTIF($D40:$BC40,"NEURO")+COUNTIF($D40:$BC40,"NEURO *")</f>
        <v/>
      </c>
      <c r="BM40" s="63">
        <f>COUNTIF($D40:$BC40,"NF")</f>
        <v/>
      </c>
      <c r="BN40" s="63">
        <f>COUNTIF($D40:$BC40,"SWING")</f>
        <v/>
      </c>
      <c r="BO40" s="63">
        <f>COUNTIF($D40:$BC40,"VACATION")</f>
        <v/>
      </c>
      <c r="BP40" s="23">
        <f>SUM(BD40:BO40)</f>
        <v/>
      </c>
      <c r="BQ40" s="63">
        <f>COUNTIF($D40:$BC40,"PALLIATIVE")+COUNTIF($D40:$BC40,"PALLIATIVE *")</f>
        <v/>
      </c>
      <c r="BR40" s="63">
        <f>COUNTIF($D40:$BC40,"GERIATRIC")+COUNTIF($D40:$BC40,"GERIATRIC 2")</f>
        <v/>
      </c>
      <c r="BS40" s="63">
        <f>COUNTIF($D40:$BC40,"GS")+COUNTIF($D40:$BC40,"GI")+COUNTIF($D40:$BC40,"GI *")</f>
        <v/>
      </c>
      <c r="BT40" s="63">
        <f>COUNTIF($D40:$BC40,"HEM/ONC")+COUNTIF($D40:$BC40,"HEM/ONC *")</f>
        <v/>
      </c>
      <c r="BU40" s="63">
        <f>COUNTIF($D40:$BC40,"PAIN MANAGEMENT")+COUNTIF($D40:$BC40,"PAIN MANAGEMENT *")</f>
        <v/>
      </c>
      <c r="BV40" s="63">
        <f>COUNTIF($D40:$BC40,"RHEUMA")+COUNTIF($D40:$BC40,"RHEUMA *")</f>
        <v/>
      </c>
      <c r="BW40" s="63">
        <f>COUNTIF($D40:$BC40,"ENDO")+COUNTIF($D40:$BC40,"ENDO *")</f>
        <v/>
      </c>
      <c r="BX40" s="63">
        <f>COUNTIF($D40:$BC40,"PLASTIC")+COUNTIF($D40:$BC40,"PLASTIC *")</f>
        <v/>
      </c>
      <c r="BY40" s="63">
        <f>COUNTIF($D40:$BC40,"PULM")+COUNTIF($D40:$BC40,"PULM *")</f>
        <v/>
      </c>
      <c r="BZ40" s="63">
        <f>COUNTIF($D40:$BC40,"SICU")+COUNTIF($D40:$BC40,"SICU *")</f>
        <v/>
      </c>
      <c r="CA40" s="63">
        <f>COUNTIF($D40:$BC40,"DERMATOLOGY")+COUNTIF($D40:$BC40,"DERMATOLOGY *")</f>
        <v/>
      </c>
      <c r="CB40" s="86">
        <f>COUNTIF($D40:$BC40,"NEPHRO")+COUNTIF($D40:$BC40,"NEPHRO *")</f>
        <v/>
      </c>
      <c r="CC40" s="59">
        <f>SUM(BQ40:CB40)</f>
        <v/>
      </c>
      <c r="CD40" s="57">
        <f>BP40+CC40</f>
        <v/>
      </c>
    </row>
    <row r="41" ht="39" customHeight="1">
      <c r="A41" s="163" t="n"/>
      <c r="B41" s="168" t="inlineStr">
        <is>
          <t>PGY-2</t>
        </is>
      </c>
      <c r="C41" s="92" t="inlineStr">
        <is>
          <t>M. Osorio</t>
        </is>
      </c>
      <c r="D41" s="75" t="inlineStr">
        <is>
          <t>ID</t>
        </is>
      </c>
      <c r="E41" s="75" t="inlineStr">
        <is>
          <t>ID</t>
        </is>
      </c>
      <c r="F41" s="75" t="inlineStr">
        <is>
          <t>ICU E</t>
        </is>
      </c>
      <c r="G41" s="75" t="inlineStr">
        <is>
          <t>ICU E</t>
        </is>
      </c>
      <c r="H41" s="80" t="inlineStr">
        <is>
          <t>CLINIC *</t>
        </is>
      </c>
      <c r="I41" s="80" t="inlineStr">
        <is>
          <t>D</t>
        </is>
      </c>
      <c r="J41" s="75" t="inlineStr">
        <is>
          <t>D</t>
        </is>
      </c>
      <c r="K41" s="75" t="inlineStr">
        <is>
          <t>NF</t>
        </is>
      </c>
      <c r="L41" s="97" t="inlineStr">
        <is>
          <t>NF</t>
        </is>
      </c>
      <c r="M41" s="80" t="inlineStr">
        <is>
          <t>CLINIC *</t>
        </is>
      </c>
      <c r="N41" s="75" t="inlineStr">
        <is>
          <t>NEURO</t>
        </is>
      </c>
      <c r="O41" s="75" t="inlineStr">
        <is>
          <t>ICU</t>
        </is>
      </c>
      <c r="P41" s="75" t="inlineStr">
        <is>
          <t>ICU</t>
        </is>
      </c>
      <c r="Q41" s="74" t="inlineStr">
        <is>
          <t>ICU</t>
        </is>
      </c>
      <c r="R41" s="80" t="inlineStr">
        <is>
          <t>CLINIC *</t>
        </is>
      </c>
      <c r="S41" s="97" t="inlineStr">
        <is>
          <t>NF</t>
        </is>
      </c>
      <c r="T41" s="80" t="inlineStr">
        <is>
          <t>NF</t>
        </is>
      </c>
      <c r="U41" s="76" t="inlineStr">
        <is>
          <t>NF</t>
        </is>
      </c>
      <c r="V41" s="76" t="inlineStr">
        <is>
          <t>CLINIC</t>
        </is>
      </c>
      <c r="W41" s="80" t="inlineStr">
        <is>
          <t>CLINIC</t>
        </is>
      </c>
      <c r="X41" s="80" t="inlineStr">
        <is>
          <t>CLINIC</t>
        </is>
      </c>
      <c r="Y41" s="75" t="inlineStr">
        <is>
          <t>CLINIC</t>
        </is>
      </c>
      <c r="Z41" s="75" t="inlineStr">
        <is>
          <t>CLINIC</t>
        </is>
      </c>
      <c r="AA41" s="75" t="inlineStr">
        <is>
          <t>CLINIC</t>
        </is>
      </c>
      <c r="AB41" s="80" t="inlineStr">
        <is>
          <t>CLINIC</t>
        </is>
      </c>
      <c r="AC41" s="75" t="inlineStr">
        <is>
          <t>ED</t>
        </is>
      </c>
      <c r="AD41" s="89" t="inlineStr">
        <is>
          <t>ED</t>
        </is>
      </c>
      <c r="AE41" s="75" t="inlineStr">
        <is>
          <t>NEURO</t>
        </is>
      </c>
      <c r="AF41" s="75" t="inlineStr">
        <is>
          <t>C</t>
        </is>
      </c>
      <c r="AG41" s="75" t="inlineStr">
        <is>
          <t>C</t>
        </is>
      </c>
      <c r="AH41" s="75" t="inlineStr">
        <is>
          <t>C</t>
        </is>
      </c>
      <c r="AI41" s="80" t="inlineStr">
        <is>
          <t>CLINIC *</t>
        </is>
      </c>
      <c r="AJ41" s="75" t="inlineStr">
        <is>
          <t>NF</t>
        </is>
      </c>
      <c r="AK41" s="75" t="inlineStr">
        <is>
          <t>NF</t>
        </is>
      </c>
      <c r="AL41" s="75" t="inlineStr">
        <is>
          <t>CARDIO-HCA</t>
        </is>
      </c>
      <c r="AM41" s="75" t="inlineStr">
        <is>
          <t>G</t>
        </is>
      </c>
      <c r="AN41" s="80" t="inlineStr">
        <is>
          <t>CLINIC *</t>
        </is>
      </c>
      <c r="AO41" s="80" t="inlineStr">
        <is>
          <t>VACATION</t>
        </is>
      </c>
      <c r="AP41" s="75" t="inlineStr">
        <is>
          <t>VACATION</t>
        </is>
      </c>
      <c r="AQ41" s="75" t="inlineStr">
        <is>
          <t>VACATION</t>
        </is>
      </c>
      <c r="AR41" s="75" t="inlineStr">
        <is>
          <t>VACATION</t>
        </is>
      </c>
      <c r="AS41" s="80" t="inlineStr">
        <is>
          <t>ICU</t>
        </is>
      </c>
      <c r="AT41" s="80" t="inlineStr">
        <is>
          <t>ICU</t>
        </is>
      </c>
      <c r="AU41" s="75" t="inlineStr">
        <is>
          <t>B</t>
        </is>
      </c>
      <c r="AV41" s="75" t="inlineStr">
        <is>
          <t>B</t>
        </is>
      </c>
      <c r="AW41" s="80" t="inlineStr">
        <is>
          <t>B</t>
        </is>
      </c>
      <c r="AX41" s="80" t="inlineStr">
        <is>
          <t>CLINIC *</t>
        </is>
      </c>
      <c r="AY41" s="98" t="inlineStr">
        <is>
          <t>CARDIO-RAM</t>
        </is>
      </c>
      <c r="AZ41" s="75" t="inlineStr">
        <is>
          <t>CARDIO-RAM</t>
        </is>
      </c>
      <c r="BA41" s="75" t="inlineStr">
        <is>
          <t>CARDIO-RAM</t>
        </is>
      </c>
      <c r="BB41" s="75" t="inlineStr">
        <is>
          <t>ICU N</t>
        </is>
      </c>
      <c r="BC41" s="80" t="inlineStr">
        <is>
          <t>CLINIC *</t>
        </is>
      </c>
      <c r="BD41" s="63">
        <f>COUNTIF($D41:$BC41,"CARDIO")+COUNTIF($D41:$BC41,"CARDIO E")+COUNTIF($D41:$BC41,"CARDIO E *")+COUNTIF($D41:$BC41,"CARDIO-HCA")+COUNTIF($D41:$BC41,"CARDIO-HCA *")+COUNTIF($D41:$BC41,"CARDIO-RAM")+COUNTIF($D41:$BC41,"CARDIO-RAM *")</f>
        <v/>
      </c>
      <c r="BE41" s="63">
        <f>COUNTIF($D41:$BC41,"CLINIC")+COUNTIF($D41:$BC41,"CLINIC *")+COUNTIF($D41:$BC41,"URGENT CARE")+COUNTIF($D41:$BC41,"URGENT CARE *")</f>
        <v/>
      </c>
      <c r="BF41" s="63">
        <f>COUNTIF($D41:$BC41,"ED")</f>
        <v/>
      </c>
      <c r="BG41" s="63">
        <f>COUNTIF($D41:$BC41,"A")+COUNTIF($D41:$BC41,"B")+COUNTIF($D41:$BC41,"C")+COUNTIF($D41:$BC41,"D")+COUNTIF($D41:$BC41,"G")</f>
        <v/>
      </c>
      <c r="BH41" s="63">
        <f>COUNTIF($D41:$BC41,"ICU")</f>
        <v/>
      </c>
      <c r="BI41" s="63">
        <f>COUNTIF($D41:$BC41,"ICU E")</f>
        <v/>
      </c>
      <c r="BJ41" s="63">
        <f>COUNTIF($D41:$BC41,"ICU N")</f>
        <v/>
      </c>
      <c r="BK41" s="63">
        <f>COUNTIF($D41:$BC41,"ID")+COUNTIF($D41:$BC41,"ID *")</f>
        <v/>
      </c>
      <c r="BL41" s="63">
        <f>COUNTIF($D41:$BC41,"NEURO")+COUNTIF($D41:$BC41,"NEURO *")</f>
        <v/>
      </c>
      <c r="BM41" s="63">
        <f>COUNTIF($D41:$BC41,"NF")</f>
        <v/>
      </c>
      <c r="BN41" s="63">
        <f>COUNTIF($D41:$BC41,"SWING")</f>
        <v/>
      </c>
      <c r="BO41" s="63">
        <f>COUNTIF($D41:$BC41,"VACATION")</f>
        <v/>
      </c>
      <c r="BP41" s="23">
        <f>SUM(BD41:BO41)</f>
        <v/>
      </c>
      <c r="BQ41" s="63">
        <f>COUNTIF($D41:$BC41,"PALLIATIVE")+COUNTIF($D41:$BC41,"PALLIATIVE *")</f>
        <v/>
      </c>
      <c r="BR41" s="63">
        <f>COUNTIF($D41:$BC41,"GERIATRIC")+COUNTIF($D41:$BC41,"GERIATRIC 2")</f>
        <v/>
      </c>
      <c r="BS41" s="63">
        <f>COUNTIF($D41:$BC41,"GS")+COUNTIF($D41:$BC41,"GI")+COUNTIF($D41:$BC41,"GI *")</f>
        <v/>
      </c>
      <c r="BT41" s="63">
        <f>COUNTIF($D41:$BC41,"HEM/ONC")+COUNTIF($D41:$BC41,"HEM/ONC *")</f>
        <v/>
      </c>
      <c r="BU41" s="63">
        <f>COUNTIF($D41:$BC41,"PAIN MANAGEMENT")+COUNTIF($D41:$BC41,"PAIN MANAGEMENT *")</f>
        <v/>
      </c>
      <c r="BV41" s="63">
        <f>COUNTIF($D41:$BC41,"RHEUMA")+COUNTIF($D41:$BC41,"RHEUMA *")</f>
        <v/>
      </c>
      <c r="BW41" s="63">
        <f>COUNTIF($D41:$BC41,"ENDO")+COUNTIF($D41:$BC41,"ENDO *")</f>
        <v/>
      </c>
      <c r="BX41" s="63">
        <f>COUNTIF($D41:$BC41,"PLASTIC")+COUNTIF($D41:$BC41,"PLASTIC *")</f>
        <v/>
      </c>
      <c r="BY41" s="63">
        <f>COUNTIF($D41:$BC41,"PULM")+COUNTIF($D41:$BC41,"PULM *")</f>
        <v/>
      </c>
      <c r="BZ41" s="63">
        <f>COUNTIF($D41:$BC41,"SICU")+COUNTIF($D41:$BC41,"SICU *")</f>
        <v/>
      </c>
      <c r="CA41" s="63">
        <f>COUNTIF($D41:$BC41,"DERMATOLOGY")+COUNTIF($D41:$BC41,"DERMATOLOGY *")</f>
        <v/>
      </c>
      <c r="CB41" s="86">
        <f>COUNTIF($D41:$BC41,"NEPHRO")+COUNTIF($D41:$BC41,"NEPHRO *")</f>
        <v/>
      </c>
      <c r="CC41" s="59">
        <f>SUM(BQ41:CB41)</f>
        <v/>
      </c>
      <c r="CD41" s="57">
        <f>BP41+CC41</f>
        <v/>
      </c>
    </row>
    <row r="42" ht="39" customHeight="1">
      <c r="A42" s="163" t="n"/>
      <c r="B42" s="163" t="n"/>
      <c r="C42" s="67" t="inlineStr">
        <is>
          <t>H. Hussain</t>
        </is>
      </c>
      <c r="D42" s="75" t="inlineStr">
        <is>
          <t>ICU E</t>
        </is>
      </c>
      <c r="E42" s="97" t="inlineStr">
        <is>
          <t>CARDIO-HCA</t>
        </is>
      </c>
      <c r="F42" s="75" t="inlineStr">
        <is>
          <t>ED</t>
        </is>
      </c>
      <c r="G42" s="80" t="inlineStr">
        <is>
          <t>ED</t>
        </is>
      </c>
      <c r="H42" s="80" t="inlineStr">
        <is>
          <t>CLINIC *</t>
        </is>
      </c>
      <c r="I42" s="75" t="inlineStr">
        <is>
          <t>C</t>
        </is>
      </c>
      <c r="J42" s="75" t="inlineStr">
        <is>
          <t>CARDIO-RAM</t>
        </is>
      </c>
      <c r="K42" s="75" t="inlineStr">
        <is>
          <t>CARDIO-RAM</t>
        </is>
      </c>
      <c r="L42" s="75" t="inlineStr">
        <is>
          <t>CARDIO-RAM</t>
        </is>
      </c>
      <c r="M42" s="80" t="inlineStr">
        <is>
          <t>CLINIC *</t>
        </is>
      </c>
      <c r="N42" s="75" t="inlineStr">
        <is>
          <t>VACATION</t>
        </is>
      </c>
      <c r="O42" s="75" t="inlineStr">
        <is>
          <t>VACATION</t>
        </is>
      </c>
      <c r="P42" s="75" t="inlineStr">
        <is>
          <t>VACATION</t>
        </is>
      </c>
      <c r="Q42" s="75" t="inlineStr">
        <is>
          <t>VACATION</t>
        </is>
      </c>
      <c r="R42" s="80" t="inlineStr">
        <is>
          <t>CLINIC *</t>
        </is>
      </c>
      <c r="S42" s="75" t="inlineStr">
        <is>
          <t>ID</t>
        </is>
      </c>
      <c r="T42" s="76" t="inlineStr">
        <is>
          <t>A</t>
        </is>
      </c>
      <c r="U42" s="76" t="inlineStr">
        <is>
          <t>CLINIC</t>
        </is>
      </c>
      <c r="V42" s="76" t="inlineStr">
        <is>
          <t>CLINIC</t>
        </is>
      </c>
      <c r="W42" s="80" t="inlineStr">
        <is>
          <t>CLINIC</t>
        </is>
      </c>
      <c r="X42" s="76" t="inlineStr">
        <is>
          <t>ICU</t>
        </is>
      </c>
      <c r="Y42" s="75" t="inlineStr">
        <is>
          <t>ICU</t>
        </is>
      </c>
      <c r="Z42" s="80" t="inlineStr">
        <is>
          <t>ICU</t>
        </is>
      </c>
      <c r="AA42" s="96" t="inlineStr">
        <is>
          <t>CLINIC</t>
        </is>
      </c>
      <c r="AB42" s="80" t="inlineStr">
        <is>
          <t>CLINIC</t>
        </is>
      </c>
      <c r="AC42" s="89" t="inlineStr">
        <is>
          <t>B</t>
        </is>
      </c>
      <c r="AD42" s="75" t="inlineStr">
        <is>
          <t>B</t>
        </is>
      </c>
      <c r="AE42" s="76" t="inlineStr">
        <is>
          <t>B</t>
        </is>
      </c>
      <c r="AF42" s="76" t="inlineStr">
        <is>
          <t>B</t>
        </is>
      </c>
      <c r="AG42" s="75" t="inlineStr">
        <is>
          <t>B</t>
        </is>
      </c>
      <c r="AH42" s="75" t="inlineStr">
        <is>
          <t>CLINIC</t>
        </is>
      </c>
      <c r="AI42" s="80" t="inlineStr">
        <is>
          <t>CLINIC</t>
        </is>
      </c>
      <c r="AJ42" s="75" t="inlineStr">
        <is>
          <t>A</t>
        </is>
      </c>
      <c r="AK42" s="75" t="inlineStr">
        <is>
          <t>A</t>
        </is>
      </c>
      <c r="AL42" s="75" t="inlineStr">
        <is>
          <t>A</t>
        </is>
      </c>
      <c r="AM42" s="75" t="inlineStr">
        <is>
          <t>A</t>
        </is>
      </c>
      <c r="AN42" s="80" t="inlineStr">
        <is>
          <t>CLINIC</t>
        </is>
      </c>
      <c r="AO42" s="78" t="inlineStr">
        <is>
          <t>CLINIC</t>
        </is>
      </c>
      <c r="AP42" s="75" t="inlineStr">
        <is>
          <t>NEURO</t>
        </is>
      </c>
      <c r="AQ42" s="78" t="inlineStr">
        <is>
          <t>NEURO</t>
        </is>
      </c>
      <c r="AR42" s="78" t="inlineStr">
        <is>
          <t>ID</t>
        </is>
      </c>
      <c r="AS42" s="97" t="inlineStr">
        <is>
          <t>A</t>
        </is>
      </c>
      <c r="AT42" s="80" t="inlineStr">
        <is>
          <t>A</t>
        </is>
      </c>
      <c r="AU42" s="75" t="inlineStr">
        <is>
          <t>A</t>
        </is>
      </c>
      <c r="AV42" s="80" t="inlineStr">
        <is>
          <t>A</t>
        </is>
      </c>
      <c r="AW42" s="75" t="inlineStr">
        <is>
          <t>A</t>
        </is>
      </c>
      <c r="AX42" s="80" t="inlineStr">
        <is>
          <t>CLINIC *</t>
        </is>
      </c>
      <c r="AY42" s="78" t="inlineStr">
        <is>
          <t>ICU E</t>
        </is>
      </c>
      <c r="AZ42" s="78" t="inlineStr">
        <is>
          <t>ICU E</t>
        </is>
      </c>
      <c r="BA42" s="75" t="inlineStr">
        <is>
          <t>ICU E</t>
        </is>
      </c>
      <c r="BB42" s="75" t="inlineStr">
        <is>
          <t>ICU E</t>
        </is>
      </c>
      <c r="BC42" s="80" t="inlineStr">
        <is>
          <t>CLINIC *</t>
        </is>
      </c>
      <c r="BD42" s="63">
        <f>COUNTIF($D42:$BC42,"CARDIO")+COUNTIF($D42:$BC42,"CARDIO E")+COUNTIF($D42:$BC42,"CARDIO E *")+COUNTIF($D42:$BC42,"CARDIO-HCA")+COUNTIF($D42:$BC42,"CARDIO-HCA *")+COUNTIF($D42:$BC42,"CARDIO-RAM")+COUNTIF($D42:$BC42,"CARDIO-RAM *")</f>
        <v/>
      </c>
      <c r="BE42" s="63">
        <f>COUNTIF($D42:$BC42,"CLINIC")+COUNTIF($D42:$BC42,"CLINIC *")+COUNTIF($D42:$BC42,"URGENT CARE")+COUNTIF($D42:$BC42,"URGENT CARE *")</f>
        <v/>
      </c>
      <c r="BF42" s="63">
        <f>COUNTIF($D42:$BC42,"ED")</f>
        <v/>
      </c>
      <c r="BG42" s="63">
        <f>COUNTIF($D42:$BC42,"A")+COUNTIF($D42:$BC42,"B")+COUNTIF($D42:$BC42,"C")+COUNTIF($D42:$BC42,"D")+COUNTIF($D42:$BC42,"G")</f>
        <v/>
      </c>
      <c r="BH42" s="63">
        <f>COUNTIF($D42:$BC42,"ICU")</f>
        <v/>
      </c>
      <c r="BI42" s="63">
        <f>COUNTIF($D42:$BC42,"ICU E")</f>
        <v/>
      </c>
      <c r="BJ42" s="63">
        <f>COUNTIF($D42:$BC42,"ICU N")</f>
        <v/>
      </c>
      <c r="BK42" s="63">
        <f>COUNTIF($D42:$BC42,"ID")+COUNTIF($D42:$BC42,"ID *")</f>
        <v/>
      </c>
      <c r="BL42" s="63">
        <f>COUNTIF($D42:$BC42,"NEURO")+COUNTIF($D42:$BC42,"NEURO *")</f>
        <v/>
      </c>
      <c r="BM42" s="63">
        <f>COUNTIF($D42:$BC42,"NF")</f>
        <v/>
      </c>
      <c r="BN42" s="63">
        <f>COUNTIF($D42:$BC42,"SWING")</f>
        <v/>
      </c>
      <c r="BO42" s="63">
        <f>COUNTIF($D42:$BC42,"VACATION")</f>
        <v/>
      </c>
      <c r="BP42" s="23">
        <f>SUM(BD42:BO42)</f>
        <v/>
      </c>
      <c r="BQ42" s="63">
        <f>COUNTIF($D42:$BC42,"PALLIATIVE")+COUNTIF($D42:$BC42,"PALLIATIVE *")</f>
        <v/>
      </c>
      <c r="BR42" s="63">
        <f>COUNTIF($D42:$BC42,"GERIATRIC")+COUNTIF($D42:$BC42,"GERIATRIC 2")</f>
        <v/>
      </c>
      <c r="BS42" s="63">
        <f>COUNTIF($D42:$BC42,"GS")+COUNTIF($D42:$BC42,"GI")+COUNTIF($D42:$BC42,"GI *")</f>
        <v/>
      </c>
      <c r="BT42" s="63">
        <f>COUNTIF($D42:$BC42,"HEM/ONC")+COUNTIF($D42:$BC42,"HEM/ONC *")</f>
        <v/>
      </c>
      <c r="BU42" s="63">
        <f>COUNTIF($D42:$BC42,"PAIN MANAGEMENT")+COUNTIF($D42:$BC42,"PAIN MANAGEMENT *")</f>
        <v/>
      </c>
      <c r="BV42" s="63">
        <f>COUNTIF($D42:$BC42,"RHEUMA")+COUNTIF($D42:$BC42,"RHEUMA *")</f>
        <v/>
      </c>
      <c r="BW42" s="63">
        <f>COUNTIF($D42:$BC42,"ENDO")+COUNTIF($D42:$BC42,"ENDO *")</f>
        <v/>
      </c>
      <c r="BX42" s="63">
        <f>COUNTIF($D42:$BC42,"PLASTIC")+COUNTIF($D42:$BC42,"PLASTIC *")</f>
        <v/>
      </c>
      <c r="BY42" s="63">
        <f>COUNTIF($D42:$BC42,"PULM")+COUNTIF($D42:$BC42,"PULM *")</f>
        <v/>
      </c>
      <c r="BZ42" s="63">
        <f>COUNTIF($D42:$BC42,"SICU")+COUNTIF($D42:$BC42,"SICU *")</f>
        <v/>
      </c>
      <c r="CA42" s="63">
        <f>COUNTIF($D42:$BC42,"DERMATOLOGY")+COUNTIF($D42:$BC42,"DERMATOLOGY *")</f>
        <v/>
      </c>
      <c r="CB42" s="86">
        <f>COUNTIF($D42:$BC42,"NEPHRO")+COUNTIF($D42:$BC42,"NEPHRO *")</f>
        <v/>
      </c>
      <c r="CC42" s="59">
        <f>SUM(BQ42:CB42)</f>
        <v/>
      </c>
      <c r="CD42" s="57">
        <f>BP42+CC42</f>
        <v/>
      </c>
    </row>
    <row r="43" ht="39" customHeight="1">
      <c r="A43" s="163" t="n"/>
      <c r="B43" s="163" t="n"/>
      <c r="C43" s="67" t="inlineStr">
        <is>
          <t>M. De Mello</t>
        </is>
      </c>
      <c r="D43" s="75" t="inlineStr">
        <is>
          <t>ED</t>
        </is>
      </c>
      <c r="E43" s="75" t="inlineStr">
        <is>
          <t>ICU N</t>
        </is>
      </c>
      <c r="F43" s="97" t="inlineStr">
        <is>
          <t>ICU N</t>
        </is>
      </c>
      <c r="G43" s="75" t="inlineStr">
        <is>
          <t>CLINIC *</t>
        </is>
      </c>
      <c r="H43" s="80" t="inlineStr">
        <is>
          <t>CLINIC *</t>
        </is>
      </c>
      <c r="I43" s="80" t="inlineStr">
        <is>
          <t>CLINIC *</t>
        </is>
      </c>
      <c r="J43" s="75" t="inlineStr">
        <is>
          <t>CLINIC *</t>
        </is>
      </c>
      <c r="K43" s="75" t="inlineStr">
        <is>
          <t>CLINIC *</t>
        </is>
      </c>
      <c r="L43" s="80" t="inlineStr">
        <is>
          <t>CLINIC *</t>
        </is>
      </c>
      <c r="M43" s="80" t="inlineStr">
        <is>
          <t>CLINIC *</t>
        </is>
      </c>
      <c r="N43" s="75" t="inlineStr">
        <is>
          <t>VACATION</t>
        </is>
      </c>
      <c r="O43" s="75" t="inlineStr">
        <is>
          <t>VACATION</t>
        </is>
      </c>
      <c r="P43" s="75" t="inlineStr">
        <is>
          <t>VACATION</t>
        </is>
      </c>
      <c r="Q43" s="75" t="inlineStr">
        <is>
          <t>VACATION</t>
        </is>
      </c>
      <c r="R43" s="80" t="inlineStr">
        <is>
          <t>CLINIC *</t>
        </is>
      </c>
      <c r="S43" s="76" t="inlineStr">
        <is>
          <t>ICU N</t>
        </is>
      </c>
      <c r="T43" s="76" t="inlineStr">
        <is>
          <t>ICU N</t>
        </is>
      </c>
      <c r="U43" s="76" t="inlineStr">
        <is>
          <t>ICU N</t>
        </is>
      </c>
      <c r="V43" s="75" t="inlineStr">
        <is>
          <t>ICU N</t>
        </is>
      </c>
      <c r="W43" s="80" t="inlineStr">
        <is>
          <t>CLINIC *</t>
        </is>
      </c>
      <c r="X43" s="75" t="inlineStr">
        <is>
          <t>ID</t>
        </is>
      </c>
      <c r="Y43" s="75" t="inlineStr">
        <is>
          <t>ID</t>
        </is>
      </c>
      <c r="Z43" s="80" t="inlineStr">
        <is>
          <t>ICU</t>
        </is>
      </c>
      <c r="AA43" s="97" t="inlineStr">
        <is>
          <t>ICU</t>
        </is>
      </c>
      <c r="AB43" s="80" t="inlineStr">
        <is>
          <t>CLINIC *</t>
        </is>
      </c>
      <c r="AC43" s="75" t="inlineStr">
        <is>
          <t>A</t>
        </is>
      </c>
      <c r="AD43" s="89" t="inlineStr">
        <is>
          <t>A</t>
        </is>
      </c>
      <c r="AE43" s="75" t="inlineStr">
        <is>
          <t>A</t>
        </is>
      </c>
      <c r="AF43" s="75" t="inlineStr">
        <is>
          <t>A</t>
        </is>
      </c>
      <c r="AG43" s="75" t="inlineStr">
        <is>
          <t>A</t>
        </is>
      </c>
      <c r="AH43" s="97" t="inlineStr">
        <is>
          <t>A</t>
        </is>
      </c>
      <c r="AI43" s="80" t="inlineStr">
        <is>
          <t>CLINIC *</t>
        </is>
      </c>
      <c r="AJ43" s="75" t="inlineStr">
        <is>
          <t>D</t>
        </is>
      </c>
      <c r="AK43" s="75" t="inlineStr">
        <is>
          <t>D</t>
        </is>
      </c>
      <c r="AL43" s="75" t="inlineStr">
        <is>
          <t>D</t>
        </is>
      </c>
      <c r="AM43" s="97" t="inlineStr">
        <is>
          <t>D</t>
        </is>
      </c>
      <c r="AN43" s="80" t="inlineStr">
        <is>
          <t>CLINIC *</t>
        </is>
      </c>
      <c r="AO43" s="75" t="inlineStr">
        <is>
          <t>A</t>
        </is>
      </c>
      <c r="AP43" s="75" t="inlineStr">
        <is>
          <t>A</t>
        </is>
      </c>
      <c r="AQ43" s="80" t="inlineStr">
        <is>
          <t>NEURO</t>
        </is>
      </c>
      <c r="AR43" s="75" t="inlineStr">
        <is>
          <t>NEURO</t>
        </is>
      </c>
      <c r="AS43" s="80" t="inlineStr">
        <is>
          <t>CARDIO-HCA</t>
        </is>
      </c>
      <c r="AT43" s="75" t="inlineStr">
        <is>
          <t>CARDIO-HCA</t>
        </is>
      </c>
      <c r="AU43" s="80" t="inlineStr">
        <is>
          <t>CARDIO-HCA</t>
        </is>
      </c>
      <c r="AV43" s="97" t="inlineStr">
        <is>
          <t>CARDIO-HCA</t>
        </is>
      </c>
      <c r="AW43" s="75" t="inlineStr">
        <is>
          <t>ED</t>
        </is>
      </c>
      <c r="AX43" s="98" t="inlineStr">
        <is>
          <t>CLINIC *</t>
        </is>
      </c>
      <c r="AY43" s="75" t="inlineStr">
        <is>
          <t>B</t>
        </is>
      </c>
      <c r="AZ43" s="75" t="inlineStr">
        <is>
          <t>B</t>
        </is>
      </c>
      <c r="BA43" s="75" t="inlineStr">
        <is>
          <t>B</t>
        </is>
      </c>
      <c r="BB43" s="75" t="inlineStr">
        <is>
          <t>B</t>
        </is>
      </c>
      <c r="BC43" s="80" t="inlineStr">
        <is>
          <t>CLINIC *</t>
        </is>
      </c>
      <c r="BD43" s="63">
        <f>COUNTIF($D43:$BC43,"CARDIO")+COUNTIF($D43:$BC43,"CARDIO E")+COUNTIF($D43:$BC43,"CARDIO E *")+COUNTIF($D43:$BC43,"CARDIO-HCA")+COUNTIF($D43:$BC43,"CARDIO-HCA *")+COUNTIF($D43:$BC43,"CARDIO-RAM")+COUNTIF($D43:$BC43,"CARDIO-RAM *")</f>
        <v/>
      </c>
      <c r="BE43" s="63">
        <f>COUNTIF($D43:$BC43,"CLINIC")+COUNTIF($D43:$BC43,"CLINIC *")+COUNTIF($D43:$BC43,"URGENT CARE")+COUNTIF($D43:$BC43,"URGENT CARE *")</f>
        <v/>
      </c>
      <c r="BF43" s="63">
        <f>COUNTIF($D43:$BC43,"ED")</f>
        <v/>
      </c>
      <c r="BG43" s="63">
        <f>COUNTIF($D43:$BC43,"A")+COUNTIF($D43:$BC43,"B")+COUNTIF($D43:$BC43,"C")+COUNTIF($D43:$BC43,"D")+COUNTIF($D43:$BC43,"G")</f>
        <v/>
      </c>
      <c r="BH43" s="63">
        <f>COUNTIF($D43:$BC43,"ICU")</f>
        <v/>
      </c>
      <c r="BI43" s="63">
        <f>COUNTIF($D43:$BC43,"ICU E")</f>
        <v/>
      </c>
      <c r="BJ43" s="63">
        <f>COUNTIF($D43:$BC43,"ICU N")</f>
        <v/>
      </c>
      <c r="BK43" s="63">
        <f>COUNTIF($D43:$BC43,"ID")+COUNTIF($D43:$BC43,"ID *")</f>
        <v/>
      </c>
      <c r="BL43" s="63">
        <f>COUNTIF($D43:$BC43,"NEURO")+COUNTIF($D43:$BC43,"NEURO *")</f>
        <v/>
      </c>
      <c r="BM43" s="63">
        <f>COUNTIF($D43:$BC43,"NF")</f>
        <v/>
      </c>
      <c r="BN43" s="63">
        <f>COUNTIF($D43:$BC43,"SWING")</f>
        <v/>
      </c>
      <c r="BO43" s="63">
        <f>COUNTIF($D43:$BC43,"VACATION")</f>
        <v/>
      </c>
      <c r="BP43" s="23">
        <f>SUM(BD43:BO43)</f>
        <v/>
      </c>
      <c r="BQ43" s="63">
        <f>COUNTIF($D43:$BC43,"PALLIATIVE")+COUNTIF($D43:$BC43,"PALLIATIVE *")</f>
        <v/>
      </c>
      <c r="BR43" s="63">
        <f>COUNTIF($D43:$BC43,"GERIATRIC")+COUNTIF($D43:$BC43,"GERIATRIC 2")</f>
        <v/>
      </c>
      <c r="BS43" s="63">
        <f>COUNTIF($D43:$BC43,"GS")+COUNTIF($D43:$BC43,"GI")+COUNTIF($D43:$BC43,"GI *")</f>
        <v/>
      </c>
      <c r="BT43" s="63">
        <f>COUNTIF($D43:$BC43,"HEM/ONC")+COUNTIF($D43:$BC43,"HEM/ONC *")</f>
        <v/>
      </c>
      <c r="BU43" s="63">
        <f>COUNTIF($D43:$BC43,"PAIN MANAGEMENT")+COUNTIF($D43:$BC43,"PAIN MANAGEMENT *")</f>
        <v/>
      </c>
      <c r="BV43" s="63">
        <f>COUNTIF($D43:$BC43,"RHEUMA")+COUNTIF($D43:$BC43,"RHEUMA *")</f>
        <v/>
      </c>
      <c r="BW43" s="63">
        <f>COUNTIF($D43:$BC43,"ENDO")+COUNTIF($D43:$BC43,"ENDO *")</f>
        <v/>
      </c>
      <c r="BX43" s="63">
        <f>COUNTIF($D43:$BC43,"PLASTIC")+COUNTIF($D43:$BC43,"PLASTIC *")</f>
        <v/>
      </c>
      <c r="BY43" s="63">
        <f>COUNTIF($D43:$BC43,"PULM")+COUNTIF($D43:$BC43,"PULM *")</f>
        <v/>
      </c>
      <c r="BZ43" s="63">
        <f>COUNTIF($D43:$BC43,"SICU")+COUNTIF($D43:$BC43,"SICU *")</f>
        <v/>
      </c>
      <c r="CA43" s="63">
        <f>COUNTIF($D43:$BC43,"DERMATOLOGY")+COUNTIF($D43:$BC43,"DERMATOLOGY *")</f>
        <v/>
      </c>
      <c r="CB43" s="86">
        <f>COUNTIF($D43:$BC43,"NEPHRO")+COUNTIF($D43:$BC43,"NEPHRO *")</f>
        <v/>
      </c>
      <c r="CC43" s="59">
        <f>SUM(BQ43:CB43)</f>
        <v/>
      </c>
      <c r="CD43" s="57">
        <f>BP43+CC43</f>
        <v/>
      </c>
    </row>
    <row r="44" ht="39" customHeight="1">
      <c r="A44" s="163" t="n"/>
      <c r="B44" s="166" t="n"/>
      <c r="C44" s="67" t="inlineStr">
        <is>
          <t>A. Pueyo</t>
        </is>
      </c>
      <c r="D44" s="80" t="inlineStr">
        <is>
          <t>VACATION</t>
        </is>
      </c>
      <c r="E44" s="75" t="inlineStr">
        <is>
          <t>VACATION</t>
        </is>
      </c>
      <c r="F44" s="75" t="inlineStr">
        <is>
          <t>VACATION</t>
        </is>
      </c>
      <c r="G44" s="85" t="inlineStr">
        <is>
          <t>VACATION</t>
        </is>
      </c>
      <c r="H44" s="80" t="inlineStr">
        <is>
          <t>CLINIC *</t>
        </is>
      </c>
      <c r="I44" s="75" t="inlineStr">
        <is>
          <t>B</t>
        </is>
      </c>
      <c r="J44" s="75" t="inlineStr">
        <is>
          <t>B</t>
        </is>
      </c>
      <c r="K44" s="75" t="inlineStr">
        <is>
          <t>B</t>
        </is>
      </c>
      <c r="L44" s="75" t="inlineStr">
        <is>
          <t>B</t>
        </is>
      </c>
      <c r="M44" s="80" t="inlineStr">
        <is>
          <t>CLINIC *</t>
        </is>
      </c>
      <c r="N44" s="80" t="inlineStr">
        <is>
          <t>ICU N</t>
        </is>
      </c>
      <c r="O44" s="75" t="inlineStr">
        <is>
          <t>ICU N</t>
        </is>
      </c>
      <c r="P44" s="75" t="inlineStr">
        <is>
          <t>CLINIC *</t>
        </is>
      </c>
      <c r="Q44" s="85" t="inlineStr">
        <is>
          <t>CLINIC *</t>
        </is>
      </c>
      <c r="R44" s="80" t="inlineStr">
        <is>
          <t>CLINIC *</t>
        </is>
      </c>
      <c r="S44" s="80" t="inlineStr">
        <is>
          <t>ICU E</t>
        </is>
      </c>
      <c r="T44" s="76" t="inlineStr">
        <is>
          <t>ICU E</t>
        </is>
      </c>
      <c r="U44" s="76" t="inlineStr">
        <is>
          <t>ED</t>
        </is>
      </c>
      <c r="V44" s="76" t="inlineStr">
        <is>
          <t>ED</t>
        </is>
      </c>
      <c r="W44" s="80" t="inlineStr">
        <is>
          <t>CLINIC *</t>
        </is>
      </c>
      <c r="X44" s="75" t="inlineStr">
        <is>
          <t>CARDIO</t>
        </is>
      </c>
      <c r="Y44" s="75" t="inlineStr">
        <is>
          <t>CARDIO</t>
        </is>
      </c>
      <c r="Z44" s="75" t="inlineStr">
        <is>
          <t>CARDIO</t>
        </is>
      </c>
      <c r="AA44" s="75" t="inlineStr">
        <is>
          <t>CARDIO</t>
        </is>
      </c>
      <c r="AB44" s="80" t="inlineStr">
        <is>
          <t>CLINIC *</t>
        </is>
      </c>
      <c r="AC44" s="89" t="inlineStr">
        <is>
          <t>NEURO</t>
        </is>
      </c>
      <c r="AD44" s="75" t="inlineStr">
        <is>
          <t>NEURO</t>
        </is>
      </c>
      <c r="AE44" s="75" t="inlineStr">
        <is>
          <t>NF</t>
        </is>
      </c>
      <c r="AF44" s="75" t="inlineStr">
        <is>
          <t>NF</t>
        </is>
      </c>
      <c r="AG44" s="75" t="inlineStr">
        <is>
          <t>NF</t>
        </is>
      </c>
      <c r="AH44" s="75" t="inlineStr">
        <is>
          <t>NF</t>
        </is>
      </c>
      <c r="AI44" s="80" t="inlineStr">
        <is>
          <t>CLINIC *</t>
        </is>
      </c>
      <c r="AJ44" s="75" t="inlineStr">
        <is>
          <t>ID</t>
        </is>
      </c>
      <c r="AK44" s="75" t="inlineStr">
        <is>
          <t>ID</t>
        </is>
      </c>
      <c r="AL44" s="75" t="inlineStr">
        <is>
          <t>ICU N</t>
        </is>
      </c>
      <c r="AM44" s="75" t="inlineStr">
        <is>
          <t>CLINIC</t>
        </is>
      </c>
      <c r="AN44" s="80" t="inlineStr">
        <is>
          <t>CLINIC</t>
        </is>
      </c>
      <c r="AO44" s="75" t="inlineStr">
        <is>
          <t>CLINIC</t>
        </is>
      </c>
      <c r="AP44" s="75" t="inlineStr">
        <is>
          <t>CLINIC</t>
        </is>
      </c>
      <c r="AQ44" s="75" t="inlineStr">
        <is>
          <t>B</t>
        </is>
      </c>
      <c r="AR44" s="75" t="inlineStr">
        <is>
          <t>B</t>
        </is>
      </c>
      <c r="AS44" s="80" t="inlineStr">
        <is>
          <t>B</t>
        </is>
      </c>
      <c r="AT44" s="75" t="inlineStr">
        <is>
          <t>B</t>
        </is>
      </c>
      <c r="AU44" s="75" t="inlineStr">
        <is>
          <t>ICU E</t>
        </is>
      </c>
      <c r="AV44" s="80" t="inlineStr">
        <is>
          <t>ICU E</t>
        </is>
      </c>
      <c r="AW44" s="75" t="inlineStr">
        <is>
          <t>ICU E</t>
        </is>
      </c>
      <c r="AX44" s="80" t="inlineStr">
        <is>
          <t>CLINIC *</t>
        </is>
      </c>
      <c r="AY44" s="78" t="inlineStr">
        <is>
          <t>SWING</t>
        </is>
      </c>
      <c r="AZ44" s="75" t="inlineStr">
        <is>
          <t>SWING</t>
        </is>
      </c>
      <c r="BA44" s="75" t="inlineStr">
        <is>
          <t>SWING</t>
        </is>
      </c>
      <c r="BB44" s="75" t="inlineStr">
        <is>
          <t>SWING</t>
        </is>
      </c>
      <c r="BC44" s="80" t="inlineStr">
        <is>
          <t>CLINIC *</t>
        </is>
      </c>
      <c r="BD44" s="63">
        <f>COUNTIF($D44:$BC44,"CARDIO")+COUNTIF($D44:$BC44,"CARDIO E")+COUNTIF($D44:$BC44,"CARDIO E *")+COUNTIF($D44:$BC44,"CARDIO-HCA")+COUNTIF($D44:$BC44,"CARDIO-HCA *")+COUNTIF($D44:$BC44,"CARDIO-RAM")+COUNTIF($D44:$BC44,"CARDIO-RAM *")</f>
        <v/>
      </c>
      <c r="BE44" s="63">
        <f>COUNTIF($D44:$BC44,"CLINIC")+COUNTIF($D44:$BC44,"CLINIC *")+COUNTIF($D44:$BC44,"URGENT CARE")+COUNTIF($D44:$BC44,"URGENT CARE *")</f>
        <v/>
      </c>
      <c r="BF44" s="63">
        <f>COUNTIF($D44:$BC44,"ED")</f>
        <v/>
      </c>
      <c r="BG44" s="63">
        <f>COUNTIF($D44:$BC44,"A")+COUNTIF($D44:$BC44,"B")+COUNTIF($D44:$BC44,"C")+COUNTIF($D44:$BC44,"D")+COUNTIF($D44:$BC44,"G")</f>
        <v/>
      </c>
      <c r="BH44" s="63">
        <f>COUNTIF($D44:$BC44,"ICU")</f>
        <v/>
      </c>
      <c r="BI44" s="63">
        <f>COUNTIF($D44:$BC44,"ICU E")</f>
        <v/>
      </c>
      <c r="BJ44" s="63">
        <f>COUNTIF($D44:$BC44,"ICU N")</f>
        <v/>
      </c>
      <c r="BK44" s="63">
        <f>COUNTIF($D44:$BC44,"ID")+COUNTIF($D44:$BC44,"ID *")</f>
        <v/>
      </c>
      <c r="BL44" s="63">
        <f>COUNTIF($D44:$BC44,"NEURO")+COUNTIF($D44:$BC44,"NEURO *")</f>
        <v/>
      </c>
      <c r="BM44" s="63">
        <f>COUNTIF($D44:$BC44,"NF")</f>
        <v/>
      </c>
      <c r="BN44" s="63">
        <f>COUNTIF($D44:$BC44,"SWING")</f>
        <v/>
      </c>
      <c r="BO44" s="63">
        <f>COUNTIF($D44:$BC44,"VACATION")</f>
        <v/>
      </c>
      <c r="BP44" s="23">
        <f>SUM(BD44:BO44)</f>
        <v/>
      </c>
      <c r="BQ44" s="63">
        <f>COUNTIF($D44:$BC44,"PALLIATIVE")+COUNTIF($D44:$BC44,"PALLIATIVE *")</f>
        <v/>
      </c>
      <c r="BR44" s="63">
        <f>COUNTIF($D44:$BC44,"GERIATRIC")+COUNTIF($D44:$BC44,"GERIATRIC 2")</f>
        <v/>
      </c>
      <c r="BS44" s="63">
        <f>COUNTIF($D44:$BC44,"GS")+COUNTIF($D44:$BC44,"GI")+COUNTIF($D44:$BC44,"GI *")</f>
        <v/>
      </c>
      <c r="BT44" s="63">
        <f>COUNTIF($D44:$BC44,"HEM/ONC")+COUNTIF($D44:$BC44,"HEM/ONC *")</f>
        <v/>
      </c>
      <c r="BU44" s="63">
        <f>COUNTIF($D44:$BC44,"PAIN MANAGEMENT")+COUNTIF($D44:$BC44,"PAIN MANAGEMENT *")</f>
        <v/>
      </c>
      <c r="BV44" s="63">
        <f>COUNTIF($D44:$BC44,"RHEUMA")+COUNTIF($D44:$BC44,"RHEUMA *")</f>
        <v/>
      </c>
      <c r="BW44" s="63">
        <f>COUNTIF($D44:$BC44,"ENDO")+COUNTIF($D44:$BC44,"ENDO *")</f>
        <v/>
      </c>
      <c r="BX44" s="63">
        <f>COUNTIF($D44:$BC44,"PLASTIC")+COUNTIF($D44:$BC44,"PLASTIC *")</f>
        <v/>
      </c>
      <c r="BY44" s="63">
        <f>COUNTIF($D44:$BC44,"PULM")+COUNTIF($D44:$BC44,"PULM *")</f>
        <v/>
      </c>
      <c r="BZ44" s="63">
        <f>COUNTIF($D44:$BC44,"SICU")+COUNTIF($D44:$BC44,"SICU *")</f>
        <v/>
      </c>
      <c r="CA44" s="63">
        <f>COUNTIF($D44:$BC44,"DERMATOLOGY")+COUNTIF($D44:$BC44,"DERMATOLOGY *")</f>
        <v/>
      </c>
      <c r="CB44" s="86">
        <f>COUNTIF($D44:$BC44,"NEPHRO")+COUNTIF($D44:$BC44,"NEPHRO *")</f>
        <v/>
      </c>
      <c r="CC44" s="59">
        <f>SUM(BQ44:CB44)</f>
        <v/>
      </c>
      <c r="CD44" s="57">
        <f>BP44+CC44</f>
        <v/>
      </c>
    </row>
    <row r="45" ht="39" customHeight="1">
      <c r="A45" s="163" t="n"/>
      <c r="B45" s="111" t="inlineStr">
        <is>
          <t>PGY-3</t>
        </is>
      </c>
      <c r="C45" s="92" t="inlineStr">
        <is>
          <t>A. Ortiz</t>
        </is>
      </c>
      <c r="D45" s="75" t="inlineStr">
        <is>
          <t>SWING</t>
        </is>
      </c>
      <c r="E45" s="80" t="inlineStr">
        <is>
          <t>SWING</t>
        </is>
      </c>
      <c r="F45" s="75" t="inlineStr">
        <is>
          <t>SWING</t>
        </is>
      </c>
      <c r="G45" s="75" t="inlineStr">
        <is>
          <t>SWING</t>
        </is>
      </c>
      <c r="H45" s="80" t="inlineStr">
        <is>
          <t>CLINIC</t>
        </is>
      </c>
      <c r="I45" s="75" t="inlineStr">
        <is>
          <t>CLINIC</t>
        </is>
      </c>
      <c r="J45" s="75" t="inlineStr">
        <is>
          <t>CLINIC</t>
        </is>
      </c>
      <c r="K45" s="96" t="inlineStr">
        <is>
          <t>CLINIC</t>
        </is>
      </c>
      <c r="L45" s="96" t="inlineStr">
        <is>
          <t>CLINIC</t>
        </is>
      </c>
      <c r="M45" s="80" t="inlineStr">
        <is>
          <t>CLINIC</t>
        </is>
      </c>
      <c r="N45" s="75" t="inlineStr">
        <is>
          <t>SWING</t>
        </is>
      </c>
      <c r="O45" s="75" t="inlineStr">
        <is>
          <t>SWING</t>
        </is>
      </c>
      <c r="P45" s="75" t="inlineStr">
        <is>
          <t>SWING</t>
        </is>
      </c>
      <c r="Q45" s="78" t="inlineStr">
        <is>
          <t>SWING</t>
        </is>
      </c>
      <c r="R45" s="80" t="inlineStr">
        <is>
          <t>CLINIC *</t>
        </is>
      </c>
      <c r="S45" s="76" t="inlineStr">
        <is>
          <t>CLINIC *</t>
        </is>
      </c>
      <c r="T45" s="76" t="inlineStr">
        <is>
          <t>SWING</t>
        </is>
      </c>
      <c r="U45" s="104" t="inlineStr">
        <is>
          <t>SWING</t>
        </is>
      </c>
      <c r="V45" s="104" t="inlineStr">
        <is>
          <t>SWING</t>
        </is>
      </c>
      <c r="W45" s="80" t="inlineStr">
        <is>
          <t>CLINIC *</t>
        </is>
      </c>
      <c r="X45" s="97" t="inlineStr">
        <is>
          <t>CLINIC *</t>
        </is>
      </c>
      <c r="Y45" s="97" t="inlineStr">
        <is>
          <t>CLINIC *</t>
        </is>
      </c>
      <c r="Z45" s="75" t="inlineStr">
        <is>
          <t>CLINIC *</t>
        </is>
      </c>
      <c r="AA45" s="75" t="inlineStr">
        <is>
          <t>CLINIC *</t>
        </is>
      </c>
      <c r="AB45" s="80" t="inlineStr">
        <is>
          <t>CLINIC *</t>
        </is>
      </c>
      <c r="AC45" s="80" t="inlineStr">
        <is>
          <t>CLINIC *</t>
        </is>
      </c>
      <c r="AD45" s="89" t="inlineStr">
        <is>
          <t>CLINIC *</t>
        </is>
      </c>
      <c r="AE45" s="75" t="inlineStr">
        <is>
          <t>CLINIC *</t>
        </is>
      </c>
      <c r="AF45" s="85" t="inlineStr">
        <is>
          <t>CLINIC *</t>
        </is>
      </c>
      <c r="AG45" s="75" t="inlineStr">
        <is>
          <t>CLINIC *</t>
        </is>
      </c>
      <c r="AH45" s="75" t="inlineStr">
        <is>
          <t>CLINIC *</t>
        </is>
      </c>
      <c r="AI45" s="80" t="inlineStr">
        <is>
          <t>CLINIC *</t>
        </is>
      </c>
      <c r="AJ45" s="97" t="inlineStr">
        <is>
          <t>CLINIC *</t>
        </is>
      </c>
      <c r="AK45" s="80" t="inlineStr">
        <is>
          <t>CLINIC *</t>
        </is>
      </c>
      <c r="AL45" s="85" t="inlineStr">
        <is>
          <t>CLINIC *</t>
        </is>
      </c>
      <c r="AM45" s="99" t="inlineStr">
        <is>
          <t>CLINIC *</t>
        </is>
      </c>
      <c r="AN45" s="85" t="inlineStr">
        <is>
          <t>CLINIC *</t>
        </is>
      </c>
      <c r="AO45" s="80" t="inlineStr">
        <is>
          <t>C</t>
        </is>
      </c>
      <c r="AP45" s="80" t="inlineStr">
        <is>
          <t>C</t>
        </is>
      </c>
      <c r="AQ45" s="75" t="inlineStr">
        <is>
          <t>C</t>
        </is>
      </c>
      <c r="AR45" s="75" t="inlineStr">
        <is>
          <t>C</t>
        </is>
      </c>
      <c r="AS45" s="80" t="inlineStr">
        <is>
          <t>VACATION</t>
        </is>
      </c>
      <c r="AT45" s="75" t="inlineStr">
        <is>
          <t>VACATION</t>
        </is>
      </c>
      <c r="AU45" s="85" t="inlineStr">
        <is>
          <t>VACATION</t>
        </is>
      </c>
      <c r="AV45" s="85" t="inlineStr">
        <is>
          <t>VACATION</t>
        </is>
      </c>
      <c r="AW45" s="75" t="inlineStr">
        <is>
          <t>CLINIC</t>
        </is>
      </c>
      <c r="AX45" s="75" t="inlineStr">
        <is>
          <t>CLINIC</t>
        </is>
      </c>
      <c r="AY45" s="85" t="inlineStr">
        <is>
          <t>NF</t>
        </is>
      </c>
      <c r="AZ45" s="85" t="inlineStr">
        <is>
          <t>NF</t>
        </is>
      </c>
      <c r="BA45" s="85" t="inlineStr">
        <is>
          <t>NF</t>
        </is>
      </c>
      <c r="BB45" s="85" t="inlineStr">
        <is>
          <t>NF</t>
        </is>
      </c>
      <c r="BC45" s="80" t="inlineStr">
        <is>
          <t>CLINIC *</t>
        </is>
      </c>
      <c r="BD45" s="63">
        <f>COUNTIF($D45:$BC45,"CARDIO")+COUNTIF($D45:$BC45,"CARDIO E")+COUNTIF($D45:$BC45,"CARDIO E *")+COUNTIF($D45:$BC45,"CARDIO-HCA")+COUNTIF($D45:$BC45,"CARDIO-HCA *")+COUNTIF($D45:$BC45,"CARDIO-RAM")+COUNTIF($D45:$BC45,"CARDIO-RAM *")</f>
        <v/>
      </c>
      <c r="BE45" s="63">
        <f>COUNTIF($D45:$BC45,"CLINIC")+COUNTIF($D45:$BC45,"CLINIC *")+COUNTIF($D45:$BC45,"URGENT CARE")+COUNTIF($D45:$BC45,"URGENT CARE *")</f>
        <v/>
      </c>
      <c r="BF45" s="63">
        <f>COUNTIF($D45:$BC45,"ED")</f>
        <v/>
      </c>
      <c r="BG45" s="63">
        <f>COUNTIF($D45:$BC45,"A")+COUNTIF($D45:$BC45,"B")+COUNTIF($D45:$BC45,"C")+COUNTIF($D45:$BC45,"D")+COUNTIF($D45:$BC45,"G")</f>
        <v/>
      </c>
      <c r="BH45" s="63">
        <f>COUNTIF($D45:$BC45,"ICU")</f>
        <v/>
      </c>
      <c r="BI45" s="63">
        <f>COUNTIF($D45:$BC45,"ICU E")</f>
        <v/>
      </c>
      <c r="BJ45" s="63">
        <f>COUNTIF($D45:$BC45,"ICU N")</f>
        <v/>
      </c>
      <c r="BK45" s="63">
        <f>COUNTIF($D45:$BC45,"ID")+COUNTIF($D45:$BC45,"ID *")</f>
        <v/>
      </c>
      <c r="BL45" s="63">
        <f>COUNTIF($D45:$BC45,"NEURO")+COUNTIF($D45:$BC45,"NEURO *")</f>
        <v/>
      </c>
      <c r="BM45" s="63">
        <f>COUNTIF($D45:$BC45,"NF")</f>
        <v/>
      </c>
      <c r="BN45" s="63">
        <f>COUNTIF($D45:$BC45,"SWING")</f>
        <v/>
      </c>
      <c r="BO45" s="63">
        <f>COUNTIF($D45:$BC45,"VACATION")</f>
        <v/>
      </c>
      <c r="BP45" s="23">
        <f>SUM(BD45:BO45)</f>
        <v/>
      </c>
      <c r="BQ45" s="63">
        <f>COUNTIF($D45:$BC45,"PALLIATIVE")+COUNTIF($D45:$BC45,"PALLIATIVE *")</f>
        <v/>
      </c>
      <c r="BR45" s="63">
        <f>COUNTIF($D45:$BC45,"GERIATRIC")+COUNTIF($D45:$BC45,"GERIATRIC 2")</f>
        <v/>
      </c>
      <c r="BS45" s="63">
        <f>COUNTIF($D45:$BC45,"GS")+COUNTIF($D45:$BC45,"GI")+COUNTIF($D45:$BC45,"GI *")</f>
        <v/>
      </c>
      <c r="BT45" s="63">
        <f>COUNTIF($D45:$BC45,"HEM/ONC")+COUNTIF($D45:$BC45,"HEM/ONC *")</f>
        <v/>
      </c>
      <c r="BU45" s="63">
        <f>COUNTIF($D45:$BC45,"PAIN MANAGEMENT")+COUNTIF($D45:$BC45,"PAIN MANAGEMENT *")</f>
        <v/>
      </c>
      <c r="BV45" s="63">
        <f>COUNTIF($D45:$BC45,"RHEUMA")+COUNTIF($D45:$BC45,"RHEUMA *")</f>
        <v/>
      </c>
      <c r="BW45" s="63">
        <f>COUNTIF($D45:$BC45,"ENDO")+COUNTIF($D45:$BC45,"ENDO *")</f>
        <v/>
      </c>
      <c r="BX45" s="63">
        <f>COUNTIF($D45:$BC45,"PLASTIC")+COUNTIF($D45:$BC45,"PLASTIC *")</f>
        <v/>
      </c>
      <c r="BY45" s="63">
        <f>COUNTIF($D45:$BC45,"PULM")+COUNTIF($D45:$BC45,"PULM *")</f>
        <v/>
      </c>
      <c r="BZ45" s="63">
        <f>COUNTIF($D45:$BC45,"SICU")+COUNTIF($D45:$BC45,"SICU *")</f>
        <v/>
      </c>
      <c r="CA45" s="63">
        <f>COUNTIF($D45:$BC45,"DERMATOLOGY")+COUNTIF($D45:$BC45,"DERMATOLOGY *")</f>
        <v/>
      </c>
      <c r="CB45" s="86">
        <f>COUNTIF($D45:$BC45,"NEPHRO")+COUNTIF($D45:$BC45,"NEPHRO *")</f>
        <v/>
      </c>
      <c r="CC45" s="59">
        <f>SUM(BQ45:CB45)</f>
        <v/>
      </c>
      <c r="CD45" s="57">
        <f>BP45+CC45</f>
        <v/>
      </c>
    </row>
    <row r="46" ht="39" customHeight="1">
      <c r="A46" s="166" t="n"/>
      <c r="B46" s="167" t="n"/>
      <c r="C46" s="92" t="inlineStr">
        <is>
          <t>A. Lopez</t>
        </is>
      </c>
      <c r="D46" s="75" t="inlineStr">
        <is>
          <t>A</t>
        </is>
      </c>
      <c r="E46" s="75" t="inlineStr">
        <is>
          <t>A</t>
        </is>
      </c>
      <c r="F46" s="75" t="inlineStr">
        <is>
          <t>A</t>
        </is>
      </c>
      <c r="G46" s="97" t="inlineStr">
        <is>
          <t>A</t>
        </is>
      </c>
      <c r="H46" s="80" t="inlineStr">
        <is>
          <t>CLINIC *</t>
        </is>
      </c>
      <c r="I46" s="80" t="inlineStr">
        <is>
          <t>CLINIC *</t>
        </is>
      </c>
      <c r="J46" s="75" t="inlineStr">
        <is>
          <t>CLINIC *</t>
        </is>
      </c>
      <c r="K46" s="75" t="inlineStr">
        <is>
          <t>CLINIC *</t>
        </is>
      </c>
      <c r="L46" s="75" t="inlineStr">
        <is>
          <t>CLINIC *</t>
        </is>
      </c>
      <c r="M46" s="80" t="inlineStr">
        <is>
          <t>CLINIC *</t>
        </is>
      </c>
      <c r="N46" s="75" t="inlineStr">
        <is>
          <t>A</t>
        </is>
      </c>
      <c r="O46" s="75" t="inlineStr">
        <is>
          <t>A</t>
        </is>
      </c>
      <c r="P46" s="78" t="inlineStr">
        <is>
          <t>A</t>
        </is>
      </c>
      <c r="Q46" s="78" t="inlineStr">
        <is>
          <t>A</t>
        </is>
      </c>
      <c r="R46" s="80" t="inlineStr">
        <is>
          <t>CLINIC</t>
        </is>
      </c>
      <c r="S46" s="75" t="inlineStr">
        <is>
          <t>CLINIC</t>
        </is>
      </c>
      <c r="T46" s="76" t="inlineStr">
        <is>
          <t>CLINIC</t>
        </is>
      </c>
      <c r="U46" s="96" t="inlineStr">
        <is>
          <t>CLINIC</t>
        </is>
      </c>
      <c r="V46" s="96" t="inlineStr">
        <is>
          <t>CLINIC</t>
        </is>
      </c>
      <c r="W46" s="80" t="inlineStr">
        <is>
          <t>CLINIC</t>
        </is>
      </c>
      <c r="X46" s="75" t="inlineStr">
        <is>
          <t>NF</t>
        </is>
      </c>
      <c r="Y46" s="75" t="inlineStr">
        <is>
          <t>NF</t>
        </is>
      </c>
      <c r="Z46" s="75" t="inlineStr">
        <is>
          <t>NF</t>
        </is>
      </c>
      <c r="AA46" s="75" t="inlineStr">
        <is>
          <t>NF</t>
        </is>
      </c>
      <c r="AB46" s="75" t="inlineStr">
        <is>
          <t>CLINIC *</t>
        </is>
      </c>
      <c r="AC46" s="80" t="inlineStr">
        <is>
          <t>VACATION</t>
        </is>
      </c>
      <c r="AD46" s="89" t="inlineStr">
        <is>
          <t>VACATION</t>
        </is>
      </c>
      <c r="AE46" s="96" t="inlineStr">
        <is>
          <t>VACATION</t>
        </is>
      </c>
      <c r="AF46" s="75" t="inlineStr">
        <is>
          <t>VACATION</t>
        </is>
      </c>
      <c r="AG46" s="76" t="inlineStr">
        <is>
          <t>C</t>
        </is>
      </c>
      <c r="AH46" s="85" t="inlineStr">
        <is>
          <t>CLINIC *</t>
        </is>
      </c>
      <c r="AI46" s="80" t="inlineStr">
        <is>
          <t>CLINIC *</t>
        </is>
      </c>
      <c r="AJ46" s="75" t="inlineStr">
        <is>
          <t>CLINIC *</t>
        </is>
      </c>
      <c r="AK46" s="75" t="inlineStr">
        <is>
          <t>CLINIC *</t>
        </is>
      </c>
      <c r="AL46" s="85" t="inlineStr">
        <is>
          <t>CLINIC *</t>
        </is>
      </c>
      <c r="AM46" s="75" t="inlineStr">
        <is>
          <t>CLINIC *</t>
        </is>
      </c>
      <c r="AN46" s="80" t="inlineStr">
        <is>
          <t>CLINIC *</t>
        </is>
      </c>
      <c r="AO46" s="75" t="inlineStr">
        <is>
          <t>CLINIC *</t>
        </is>
      </c>
      <c r="AP46" s="80" t="inlineStr">
        <is>
          <t>CLINIC *</t>
        </is>
      </c>
      <c r="AQ46" s="80" t="inlineStr">
        <is>
          <t>CLINIC *</t>
        </is>
      </c>
      <c r="AR46" s="75" t="inlineStr">
        <is>
          <t>CLINIC *</t>
        </is>
      </c>
      <c r="AS46" s="80" t="inlineStr">
        <is>
          <t>CLINIC *</t>
        </is>
      </c>
      <c r="AT46" s="97" t="inlineStr">
        <is>
          <t>CLINIC *</t>
        </is>
      </c>
      <c r="AU46" s="105" t="inlineStr">
        <is>
          <t>CLINIC *</t>
        </is>
      </c>
      <c r="AV46" s="80" t="inlineStr">
        <is>
          <t>CLINIC *</t>
        </is>
      </c>
      <c r="AW46" s="85" t="inlineStr">
        <is>
          <t>CLINIC *</t>
        </is>
      </c>
      <c r="AX46" s="80" t="inlineStr">
        <is>
          <t>CLINIC *</t>
        </is>
      </c>
      <c r="AY46" s="85" t="inlineStr">
        <is>
          <t>SWING</t>
        </is>
      </c>
      <c r="AZ46" s="85" t="inlineStr">
        <is>
          <t>SWING</t>
        </is>
      </c>
      <c r="BA46" s="75" t="inlineStr">
        <is>
          <t>SWING</t>
        </is>
      </c>
      <c r="BB46" s="75" t="inlineStr">
        <is>
          <t>SWING</t>
        </is>
      </c>
      <c r="BC46" s="80" t="inlineStr">
        <is>
          <t>CLINIC *</t>
        </is>
      </c>
      <c r="BD46" s="63">
        <f>COUNTIF($D46:$BC46,"CARDIO")+COUNTIF($D46:$BC46,"CARDIO E")+COUNTIF($D46:$BC46,"CARDIO E *")+COUNTIF($D46:$BC46,"CARDIO-HCA")+COUNTIF($D46:$BC46,"CARDIO-HCA *")+COUNTIF($D46:$BC46,"CARDIO-RAM")+COUNTIF($D46:$BC46,"CARDIO-RAM *")</f>
        <v/>
      </c>
      <c r="BE46" s="63">
        <f>COUNTIF($D46:$BC46,"CLINIC")+COUNTIF($D46:$BC46,"CLINIC *")+COUNTIF($D46:$BC46,"URGENT CARE")+COUNTIF($D46:$BC46,"URGENT CARE *")</f>
        <v/>
      </c>
      <c r="BF46" s="63">
        <f>COUNTIF($D46:$BC46,"ED")</f>
        <v/>
      </c>
      <c r="BG46" s="63">
        <f>COUNTIF($D46:$BC46,"A")+COUNTIF($D46:$BC46,"B")+COUNTIF($D46:$BC46,"C")+COUNTIF($D46:$BC46,"D")+COUNTIF($D46:$BC46,"G")</f>
        <v/>
      </c>
      <c r="BH46" s="63">
        <f>COUNTIF($D46:$BC46,"ICU")</f>
        <v/>
      </c>
      <c r="BI46" s="63">
        <f>COUNTIF($D46:$BC46,"ICU E")</f>
        <v/>
      </c>
      <c r="BJ46" s="63">
        <f>COUNTIF($D46:$BC46,"ICU N")</f>
        <v/>
      </c>
      <c r="BK46" s="63">
        <f>COUNTIF($D46:$BC46,"ID")+COUNTIF($D46:$BC46,"ID *")</f>
        <v/>
      </c>
      <c r="BL46" s="63">
        <f>COUNTIF($D46:$BC46,"NEURO")+COUNTIF($D46:$BC46,"NEURO *")</f>
        <v/>
      </c>
      <c r="BM46" s="63">
        <f>COUNTIF($D46:$BC46,"NF")</f>
        <v/>
      </c>
      <c r="BN46" s="63">
        <f>COUNTIF($D46:$BC46,"SWING")</f>
        <v/>
      </c>
      <c r="BO46" s="63">
        <f>COUNTIF($D46:$BC46,"VACATION")</f>
        <v/>
      </c>
      <c r="BP46" s="23">
        <f>SUM(BD46:BO46)</f>
        <v/>
      </c>
      <c r="BQ46" s="63">
        <f>COUNTIF($D46:$BC46,"PALLIATIVE")+COUNTIF($D46:$BC46,"PALLIATIVE *")</f>
        <v/>
      </c>
      <c r="BR46" s="63">
        <f>COUNTIF($D46:$BC46,"GERIATRIC")+COUNTIF($D46:$BC46,"GERIATRIC 2")</f>
        <v/>
      </c>
      <c r="BS46" s="63">
        <f>COUNTIF($D46:$BC46,"GS")+COUNTIF($D46:$BC46,"GI")+COUNTIF($D46:$BC46,"GI *")</f>
        <v/>
      </c>
      <c r="BT46" s="63">
        <f>COUNTIF($D46:$BC46,"HEM/ONC")+COUNTIF($D46:$BC46,"HEM/ONC *")</f>
        <v/>
      </c>
      <c r="BU46" s="63">
        <f>COUNTIF($D46:$BC46,"PAIN MANAGEMENT")+COUNTIF($D46:$BC46,"PAIN MANAGEMENT *")</f>
        <v/>
      </c>
      <c r="BV46" s="63">
        <f>COUNTIF($D46:$BC46,"RHEUMA")+COUNTIF($D46:$BC46,"RHEUMA *")</f>
        <v/>
      </c>
      <c r="BW46" s="63">
        <f>COUNTIF($D46:$BC46,"ENDO")+COUNTIF($D46:$BC46,"ENDO *")</f>
        <v/>
      </c>
      <c r="BX46" s="63">
        <f>COUNTIF($D46:$BC46,"PLASTIC")+COUNTIF($D46:$BC46,"PLASTIC *")</f>
        <v/>
      </c>
      <c r="BY46" s="63">
        <f>COUNTIF($D46:$BC46,"PULM")+COUNTIF($D46:$BC46,"PULM *")</f>
        <v/>
      </c>
      <c r="BZ46" s="63">
        <f>COUNTIF($D46:$BC46,"SICU")+COUNTIF($D46:$BC46,"SICU *")</f>
        <v/>
      </c>
      <c r="CA46" s="63">
        <f>COUNTIF($D46:$BC46,"DERMATOLOGY")+COUNTIF($D46:$BC46,"DERMATOLOGY *")</f>
        <v/>
      </c>
      <c r="CB46" s="86">
        <f>COUNTIF($D46:$BC46,"NEPHRO")+COUNTIF($D46:$BC46,"NEPHRO *")</f>
        <v/>
      </c>
      <c r="CC46" s="59">
        <f>SUM(BQ46:CB46)</f>
        <v/>
      </c>
      <c r="CD46" s="57">
        <f>BP46+CC46</f>
        <v/>
      </c>
    </row>
    <row r="47" ht="39" customHeight="1">
      <c r="A47" s="54" t="n"/>
      <c r="B47" s="54" t="n"/>
      <c r="C47" s="81" t="n"/>
      <c r="D47" s="82" t="n"/>
      <c r="E47" s="83" t="n"/>
      <c r="F47" s="82" t="n"/>
      <c r="G47" s="82" t="n"/>
      <c r="H47" s="82" t="n"/>
      <c r="I47" s="82" t="n"/>
      <c r="J47" s="82" t="n"/>
      <c r="K47" s="82" t="n"/>
      <c r="L47" s="82" t="n"/>
      <c r="M47" s="84" t="n"/>
      <c r="N47" s="84" t="n"/>
      <c r="O47" s="84" t="n"/>
      <c r="P47" s="84" t="n"/>
      <c r="Q47" s="82" t="n"/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4" t="n"/>
      <c r="AC47" s="84" t="n"/>
      <c r="AD47" s="84" t="n"/>
      <c r="AE47" s="84" t="n"/>
      <c r="AF47" s="82" t="n"/>
      <c r="AG47" s="82" t="n"/>
      <c r="AH47" s="82" t="n"/>
      <c r="AI47" s="82" t="n"/>
      <c r="AJ47" s="82" t="n"/>
      <c r="AK47" s="82" t="n"/>
      <c r="AL47" s="84" t="n"/>
      <c r="AM47" s="84" t="n"/>
      <c r="AN47" s="84" t="n"/>
      <c r="AO47" s="84" t="n"/>
      <c r="AP47" s="82" t="n"/>
      <c r="AQ47" s="84" t="n"/>
      <c r="AR47" s="84" t="n"/>
      <c r="AS47" s="84" t="n"/>
      <c r="AT47" s="84" t="n"/>
      <c r="AU47" s="82" t="n"/>
      <c r="AV47" s="84" t="n"/>
      <c r="AW47" s="84" t="n"/>
      <c r="AX47" s="84" t="n"/>
      <c r="AY47" s="84" t="n"/>
      <c r="AZ47" s="82" t="n"/>
      <c r="BA47" s="84" t="n"/>
      <c r="BB47" s="84" t="n"/>
      <c r="BC47" s="84" t="n"/>
      <c r="BD47" s="84" t="n"/>
      <c r="BE47" s="84" t="n"/>
      <c r="BF47" s="84" t="n"/>
      <c r="BG47" s="84" t="n"/>
      <c r="BH47" s="84" t="n"/>
      <c r="BI47" s="84" t="n"/>
      <c r="BJ47" s="84" t="n"/>
      <c r="BK47" s="84" t="n"/>
      <c r="BL47" s="84" t="n"/>
      <c r="BM47" s="84" t="n"/>
      <c r="BN47" s="84" t="n"/>
      <c r="BO47" s="84" t="n"/>
      <c r="BP47" s="84" t="n"/>
      <c r="BQ47" s="84" t="n"/>
      <c r="BR47" s="84" t="n"/>
      <c r="BS47" s="84" t="n"/>
      <c r="BT47" s="84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</row>
    <row r="48" ht="39" customHeight="1">
      <c r="A48" s="9" t="n"/>
      <c r="B48" s="9" t="n"/>
      <c r="C48" s="68" t="n"/>
      <c r="D48" s="3" t="inlineStr">
        <is>
          <t>07/01-07/06</t>
        </is>
      </c>
      <c r="E48" s="4" t="inlineStr">
        <is>
          <t>07/07-07/13</t>
        </is>
      </c>
      <c r="F48" s="5" t="inlineStr">
        <is>
          <t>07/14-07/20</t>
        </is>
      </c>
      <c r="G48" s="47" t="inlineStr">
        <is>
          <t>07/21-07/27</t>
        </is>
      </c>
      <c r="H48" s="3" t="inlineStr">
        <is>
          <t>07/28-08/03</t>
        </is>
      </c>
      <c r="I48" s="4" t="inlineStr">
        <is>
          <t>08/04-08/10</t>
        </is>
      </c>
      <c r="J48" s="5" t="inlineStr">
        <is>
          <t>08/11-08/17</t>
        </is>
      </c>
      <c r="K48" s="52" t="inlineStr">
        <is>
          <t>08/18-08/24</t>
        </is>
      </c>
      <c r="L48" s="3" t="inlineStr">
        <is>
          <t>08/25-8/31</t>
        </is>
      </c>
      <c r="M48" s="4" t="inlineStr">
        <is>
          <t>09/01-09/07</t>
        </is>
      </c>
      <c r="N48" s="5" t="inlineStr">
        <is>
          <t>09/08-09/14</t>
        </is>
      </c>
      <c r="O48" s="47" t="inlineStr">
        <is>
          <t>09/15-09/21</t>
        </is>
      </c>
      <c r="P48" s="3" t="inlineStr">
        <is>
          <t>09/22-09/28</t>
        </is>
      </c>
      <c r="Q48" s="4" t="inlineStr">
        <is>
          <t>09/29-10/05</t>
        </is>
      </c>
      <c r="R48" s="5" t="inlineStr">
        <is>
          <t>10/06-10/12</t>
        </is>
      </c>
      <c r="S48" s="47" t="inlineStr">
        <is>
          <t>10/13-10/19</t>
        </is>
      </c>
      <c r="T48" s="3" t="inlineStr">
        <is>
          <t>10/20-10/26</t>
        </is>
      </c>
      <c r="U48" s="53" t="inlineStr">
        <is>
          <t>10/27-11/02</t>
        </is>
      </c>
      <c r="V48" s="5" t="inlineStr">
        <is>
          <t>11/03-11/09</t>
        </is>
      </c>
      <c r="W48" s="47" t="inlineStr">
        <is>
          <t>11/10-11/16</t>
        </is>
      </c>
      <c r="X48" s="3" t="inlineStr">
        <is>
          <t>11/17-11/23</t>
        </is>
      </c>
      <c r="Y48" s="4" t="inlineStr">
        <is>
          <t>11/24-11/30</t>
        </is>
      </c>
      <c r="Z48" s="6" t="inlineStr">
        <is>
          <t>12/01-12/07</t>
        </is>
      </c>
      <c r="AA48" s="6" t="inlineStr">
        <is>
          <t>12/08-12/14</t>
        </is>
      </c>
      <c r="AB48" s="3" t="inlineStr">
        <is>
          <t>12/15-12/21</t>
        </is>
      </c>
      <c r="AC48" s="4" t="inlineStr">
        <is>
          <t>12/22-12/28</t>
        </is>
      </c>
      <c r="AD48" s="5" t="inlineStr">
        <is>
          <t>12/29-01/04</t>
        </is>
      </c>
      <c r="AE48" s="47" t="inlineStr">
        <is>
          <t>01/05-01/11</t>
        </is>
      </c>
      <c r="AF48" s="3" t="inlineStr">
        <is>
          <t>01/12-01/18</t>
        </is>
      </c>
      <c r="AG48" s="4" t="inlineStr">
        <is>
          <t>01/19-01/25</t>
        </is>
      </c>
      <c r="AH48" s="5" t="inlineStr">
        <is>
          <t>01/26-02/01</t>
        </is>
      </c>
      <c r="AI48" s="47" t="inlineStr">
        <is>
          <t>02/02-02/08</t>
        </is>
      </c>
      <c r="AJ48" s="3" t="inlineStr">
        <is>
          <t>02/09-02/15</t>
        </is>
      </c>
      <c r="AK48" s="4" t="inlineStr">
        <is>
          <t>02/16-02/22</t>
        </is>
      </c>
      <c r="AL48" s="5" t="inlineStr">
        <is>
          <t>02/23-03/01</t>
        </is>
      </c>
      <c r="AM48" s="47" t="inlineStr">
        <is>
          <t>03/02-03/08</t>
        </is>
      </c>
      <c r="AN48" s="3" t="inlineStr">
        <is>
          <t>03/09-03/15</t>
        </is>
      </c>
      <c r="AO48" s="4" t="inlineStr">
        <is>
          <t>03/16-03/22</t>
        </is>
      </c>
      <c r="AP48" s="5" t="inlineStr">
        <is>
          <t>03/23-03/29</t>
        </is>
      </c>
      <c r="AQ48" s="7" t="inlineStr">
        <is>
          <t>03/30-04/05</t>
        </is>
      </c>
      <c r="AR48" s="3" t="inlineStr">
        <is>
          <t>04/06-04/12</t>
        </is>
      </c>
      <c r="AS48" s="4" t="inlineStr">
        <is>
          <t>04/13-04/19</t>
        </is>
      </c>
      <c r="AT48" s="5" t="inlineStr">
        <is>
          <t>04/20-04/26</t>
        </is>
      </c>
      <c r="AU48" s="47" t="inlineStr">
        <is>
          <t>04/27-05/03</t>
        </is>
      </c>
      <c r="AV48" s="3" t="inlineStr">
        <is>
          <t>05/04-05/10</t>
        </is>
      </c>
      <c r="AW48" s="4" t="inlineStr">
        <is>
          <t>05/11-05/17</t>
        </is>
      </c>
      <c r="AX48" s="5" t="inlineStr">
        <is>
          <t>05/18-05/24</t>
        </is>
      </c>
      <c r="AY48" s="47" t="inlineStr">
        <is>
          <t>05/25-05/31</t>
        </is>
      </c>
      <c r="AZ48" s="3" t="inlineStr">
        <is>
          <t>06/01-06/07</t>
        </is>
      </c>
      <c r="BA48" s="4" t="inlineStr">
        <is>
          <t>06/08-06/14</t>
        </is>
      </c>
      <c r="BB48" s="51" t="inlineStr">
        <is>
          <t>06/15-06/21</t>
        </is>
      </c>
      <c r="BC48" s="50" t="inlineStr">
        <is>
          <t>06/22-06/30</t>
        </is>
      </c>
      <c r="BD48" s="63" t="n"/>
      <c r="BE48" s="63" t="n"/>
      <c r="BF48" s="63" t="n"/>
      <c r="BG48" s="63" t="n"/>
      <c r="BH48" s="63" t="n"/>
      <c r="BI48" s="63" t="n"/>
      <c r="BJ48" s="63" t="n"/>
      <c r="BK48" s="63" t="n"/>
      <c r="BL48" s="63" t="n"/>
      <c r="BM48" s="63" t="n"/>
      <c r="BN48" s="63" t="n"/>
      <c r="BO48" s="63" t="n"/>
      <c r="BP48" s="63" t="n"/>
      <c r="BQ48" s="63" t="n"/>
      <c r="BR48" s="63" t="n"/>
      <c r="BS48" s="63" t="n"/>
      <c r="BT48" s="63" t="n"/>
      <c r="BU48" s="63" t="n"/>
      <c r="BV48" s="63" t="n"/>
      <c r="BW48" s="63" t="n"/>
      <c r="BX48" s="63" t="n"/>
      <c r="BY48" s="63" t="n"/>
      <c r="BZ48" s="63" t="n"/>
      <c r="CA48" s="63" t="n"/>
      <c r="CB48" s="63" t="n"/>
      <c r="CC48" s="63" t="n"/>
      <c r="CD48" s="61" t="n"/>
    </row>
    <row r="49" ht="39" customHeight="1">
      <c r="A49" s="8" t="n"/>
      <c r="B49" s="169" t="inlineStr">
        <is>
          <t>TY</t>
        </is>
      </c>
      <c r="C49" s="94" t="inlineStr">
        <is>
          <t>J. Kourkoumelis</t>
        </is>
      </c>
      <c r="D49" s="101" t="inlineStr">
        <is>
          <t>B</t>
        </is>
      </c>
      <c r="E49" s="101" t="inlineStr">
        <is>
          <t>B</t>
        </is>
      </c>
      <c r="F49" s="80" t="inlineStr">
        <is>
          <t>B</t>
        </is>
      </c>
      <c r="G49" s="80" t="inlineStr">
        <is>
          <t>B</t>
        </is>
      </c>
      <c r="H49" s="75" t="inlineStr">
        <is>
          <t>B</t>
        </is>
      </c>
      <c r="I49" s="75" t="inlineStr">
        <is>
          <t>B</t>
        </is>
      </c>
      <c r="J49" s="75" t="inlineStr">
        <is>
          <t>B</t>
        </is>
      </c>
      <c r="K49" s="75" t="inlineStr">
        <is>
          <t>B</t>
        </is>
      </c>
      <c r="L49" s="75" t="inlineStr">
        <is>
          <t>B</t>
        </is>
      </c>
      <c r="M49" s="75" t="inlineStr">
        <is>
          <t>B</t>
        </is>
      </c>
      <c r="N49" s="75" t="inlineStr">
        <is>
          <t>B</t>
        </is>
      </c>
      <c r="O49" s="75" t="inlineStr">
        <is>
          <t>B</t>
        </is>
      </c>
      <c r="P49" s="76" t="inlineStr">
        <is>
          <t>NF</t>
        </is>
      </c>
      <c r="Q49" s="76" t="inlineStr">
        <is>
          <t>NF</t>
        </is>
      </c>
      <c r="R49" s="73" t="inlineStr">
        <is>
          <t>B</t>
        </is>
      </c>
      <c r="S49" s="73" t="inlineStr">
        <is>
          <t>B</t>
        </is>
      </c>
      <c r="T49" s="76" t="inlineStr">
        <is>
          <t>B</t>
        </is>
      </c>
      <c r="U49" s="76" t="inlineStr">
        <is>
          <t>B</t>
        </is>
      </c>
      <c r="V49" s="76" t="inlineStr">
        <is>
          <t>B</t>
        </is>
      </c>
      <c r="W49" s="76" t="inlineStr">
        <is>
          <t>ICU E</t>
        </is>
      </c>
      <c r="X49" s="75" t="inlineStr">
        <is>
          <t>ICU E</t>
        </is>
      </c>
      <c r="Y49" s="76" t="inlineStr">
        <is>
          <t>ICU E</t>
        </is>
      </c>
      <c r="Z49" s="76" t="inlineStr">
        <is>
          <t>ICU E</t>
        </is>
      </c>
      <c r="AA49" s="100" t="inlineStr">
        <is>
          <t>VACATION</t>
        </is>
      </c>
      <c r="AB49" s="76" t="inlineStr">
        <is>
          <t>VACATION</t>
        </is>
      </c>
      <c r="AC49" s="89" t="inlineStr">
        <is>
          <t>VACATION</t>
        </is>
      </c>
      <c r="AD49" s="76" t="inlineStr">
        <is>
          <t>VACATION</t>
        </is>
      </c>
      <c r="AE49" s="76" t="inlineStr">
        <is>
          <t>ED</t>
        </is>
      </c>
      <c r="AF49" s="76" t="inlineStr">
        <is>
          <t>ED</t>
        </is>
      </c>
      <c r="AG49" s="76" t="inlineStr">
        <is>
          <t>ICU E</t>
        </is>
      </c>
      <c r="AH49" s="76" t="inlineStr">
        <is>
          <t>ICU E</t>
        </is>
      </c>
      <c r="AI49" s="76" t="inlineStr">
        <is>
          <t>CLINIC *</t>
        </is>
      </c>
      <c r="AJ49" s="75" t="inlineStr">
        <is>
          <t>B</t>
        </is>
      </c>
      <c r="AK49" s="75" t="inlineStr">
        <is>
          <t>B</t>
        </is>
      </c>
      <c r="AL49" s="76" t="inlineStr">
        <is>
          <t>B</t>
        </is>
      </c>
      <c r="AM49" s="76" t="inlineStr">
        <is>
          <t>B</t>
        </is>
      </c>
      <c r="AN49" s="100" t="inlineStr">
        <is>
          <t>B</t>
        </is>
      </c>
      <c r="AO49" s="75" t="inlineStr">
        <is>
          <t>ICU</t>
        </is>
      </c>
      <c r="AP49" s="73" t="inlineStr">
        <is>
          <t>ICU</t>
        </is>
      </c>
      <c r="AQ49" s="80" t="inlineStr">
        <is>
          <t>ICU</t>
        </is>
      </c>
      <c r="AR49" s="80" t="inlineStr">
        <is>
          <t>ICU</t>
        </is>
      </c>
      <c r="AS49" s="75" t="inlineStr">
        <is>
          <t>ID</t>
        </is>
      </c>
      <c r="AT49" s="76" t="inlineStr">
        <is>
          <t>ID</t>
        </is>
      </c>
      <c r="AU49" s="76" t="inlineStr">
        <is>
          <t>A</t>
        </is>
      </c>
      <c r="AV49" s="76" t="inlineStr">
        <is>
          <t>A</t>
        </is>
      </c>
      <c r="AW49" s="76" t="inlineStr">
        <is>
          <t>A</t>
        </is>
      </c>
      <c r="AX49" s="76" t="inlineStr">
        <is>
          <t>A</t>
        </is>
      </c>
      <c r="AY49" s="76" t="inlineStr">
        <is>
          <t>ICU N</t>
        </is>
      </c>
      <c r="AZ49" s="85" t="inlineStr">
        <is>
          <t>ICU N</t>
        </is>
      </c>
      <c r="BA49" s="85" t="inlineStr">
        <is>
          <t>CLINIC</t>
        </is>
      </c>
      <c r="BB49" s="85" t="inlineStr">
        <is>
          <t>CLINIC</t>
        </is>
      </c>
      <c r="BC49" s="85" t="inlineStr">
        <is>
          <t>CLINIC</t>
        </is>
      </c>
      <c r="BD49" s="63">
        <f>COUNTIF($D49:$BC49,"CARDIO")+COUNTIF($D49:$BC49,"CARDIO E")+COUNTIF($D49:$BC49,"CARDIO E *")*COUNTIF($D49:$BC49,"CARDIO-HCA")+COUNTIF($D49:$BC49,"CARDIO-HCA*")+COUNTIF($D49:$BC49,"CARDIO-RAM")+COUNTIF($D49:$BC49,"CARDIO-RAM *")</f>
        <v/>
      </c>
      <c r="BE49" s="63">
        <f>COUNTIF($D49:$BC49,"CLINIC")+COUNTIF($D49:$BC49,"CLINIC*")+COUNTIF($D49:$BC49,"INR CLINIC")+COUNTIF($D49:$BC49,"INR CLINIC *")+COUNTIF($D49:$BC49,"URGENT CARE")+COUNTIF($D49:$BC49,"URGENT CARE *")</f>
        <v/>
      </c>
      <c r="BF49" s="63">
        <f>COUNTIF($D49:$BC49,"ED")</f>
        <v/>
      </c>
      <c r="BG49" s="63">
        <f>COUNTIF($D49:$BC49,"A")+COUNTIF($D49:$BC49,"B")+COUNTIF($D49:$BC49,"C")+COUNTIF($D49:$BC49,"D")+COUNTIF($D49:$BC49,"G")</f>
        <v/>
      </c>
      <c r="BH49" s="63">
        <f>COUNTIF($D49:$BC49,"ICU")</f>
        <v/>
      </c>
      <c r="BI49" s="63">
        <f>COUNTIF($D49:$BC49,"ICU E")</f>
        <v/>
      </c>
      <c r="BJ49" s="63">
        <f>COUNTIF($D49:$BC49,"ICU N")</f>
        <v/>
      </c>
      <c r="BK49" s="63">
        <f>COUNTIF($D49:$BC49,"ID")+COUNTIF($D49:$BC49,"ID *")</f>
        <v/>
      </c>
      <c r="BL49" s="63">
        <f>COUNTIF($D49:$BC49,"NEURO")+COUNTIF($D49:$BC49,"NEURO *")</f>
        <v/>
      </c>
      <c r="BM49" s="63">
        <f>COUNTIF($D49:$BC49,"NF")</f>
        <v/>
      </c>
      <c r="BN49" s="63">
        <f>COUNTIF($D49:$BC49,"SWING")</f>
        <v/>
      </c>
      <c r="BO49" s="63">
        <f>COUNTIF($D49:$BC49,"VACATION")</f>
        <v/>
      </c>
      <c r="BP49" s="23">
        <f>SUM(BD49:BO49)</f>
        <v/>
      </c>
      <c r="BQ49" s="63">
        <f>COUNTIF($D49:$BC49,"ANESTHESIA")</f>
        <v/>
      </c>
      <c r="BR49" s="63">
        <f>COUNTIF($D49:$BC49,"GERIATRIC")+COUNTIF($D49:$BC49,"GERIATRIC 2")</f>
        <v/>
      </c>
      <c r="BS49" s="63">
        <f>COUNTIF($D49:$BC49,"GS")</f>
        <v/>
      </c>
      <c r="BT49" s="63">
        <f>COUNTIF($D49:$BC49,"HEM/ONC")+COUNTIF($D49:$BC49,"HEM/ONC *")</f>
        <v/>
      </c>
      <c r="BU49" s="63">
        <f>COUNTIF($D49:$BC49,"IR RADIOLOGY")+COUNTIF($D49:$BC49,"IR RADIOLOGY *")</f>
        <v/>
      </c>
      <c r="BV49" s="63">
        <f>COUNTIF($D49:$BC49,"NEPHRO")+COUNTIF($D49:$BC49,"NEPHRO *")</f>
        <v/>
      </c>
      <c r="BW49" s="63">
        <f>COUNTIF($D49:$BC49,"PALLIATIVE")+COUNTIF($D49:$BC49,"PALLIATIVE *")</f>
        <v/>
      </c>
      <c r="BX49" s="63">
        <f>COUNTIF($D49:$BC49,"PLASTIC")+COUNTIF($D49:$BC49,"PLASTIC *")</f>
        <v/>
      </c>
      <c r="BY49" s="63">
        <f>COUNTIF($D49:$BC49,"PULM")</f>
        <v/>
      </c>
      <c r="BZ49" s="63">
        <f>COUNTIF($D49:$BC49,"SICU")+COUNTIF($D49:$BC49,"SICU *")</f>
        <v/>
      </c>
      <c r="CA49" s="63">
        <f>COUNTIF($D49:$BC49,"DERMATOLOGY")+COUNTIF($D49:$BC49,"DERMATOLOGY *")</f>
        <v/>
      </c>
      <c r="CB49" s="86">
        <f>COUNTIF($D49:$BC49,"NEPHRO")+COUNTIF($D49:$BC49,"NEPHRO *")</f>
        <v/>
      </c>
      <c r="CC49" s="59">
        <f>SUM(BQ49:CB49)</f>
        <v/>
      </c>
      <c r="CD49" s="62">
        <f>BP49+CC49</f>
        <v/>
      </c>
    </row>
    <row r="50" ht="39" customHeight="1">
      <c r="A50" s="8" t="n"/>
      <c r="B50" s="159" t="n"/>
      <c r="C50" s="94" t="inlineStr">
        <is>
          <t>F. Mendez</t>
        </is>
      </c>
      <c r="D50" s="101" t="inlineStr">
        <is>
          <t>A</t>
        </is>
      </c>
      <c r="E50" s="101" t="inlineStr">
        <is>
          <t>A</t>
        </is>
      </c>
      <c r="F50" s="100" t="inlineStr">
        <is>
          <t>A</t>
        </is>
      </c>
      <c r="G50" s="100" t="inlineStr">
        <is>
          <t>A</t>
        </is>
      </c>
      <c r="H50" s="73" t="inlineStr">
        <is>
          <t>A</t>
        </is>
      </c>
      <c r="I50" s="75" t="inlineStr">
        <is>
          <t>A</t>
        </is>
      </c>
      <c r="J50" s="80" t="inlineStr">
        <is>
          <t>A</t>
        </is>
      </c>
      <c r="K50" s="80" t="inlineStr">
        <is>
          <t>A</t>
        </is>
      </c>
      <c r="L50" s="75" t="inlineStr">
        <is>
          <t>ICU E</t>
        </is>
      </c>
      <c r="M50" s="75" t="inlineStr">
        <is>
          <t>ICU E</t>
        </is>
      </c>
      <c r="N50" s="75" t="inlineStr">
        <is>
          <t>ICU E</t>
        </is>
      </c>
      <c r="O50" s="75" t="inlineStr">
        <is>
          <t>D</t>
        </is>
      </c>
      <c r="P50" s="76" t="inlineStr">
        <is>
          <t>D</t>
        </is>
      </c>
      <c r="Q50" s="75" t="inlineStr">
        <is>
          <t>D</t>
        </is>
      </c>
      <c r="R50" s="75" t="inlineStr">
        <is>
          <t>ICU</t>
        </is>
      </c>
      <c r="S50" s="75" t="inlineStr">
        <is>
          <t>ICU</t>
        </is>
      </c>
      <c r="T50" s="76" t="inlineStr">
        <is>
          <t>VACATION</t>
        </is>
      </c>
      <c r="U50" s="76" t="inlineStr">
        <is>
          <t>CLINIC *</t>
        </is>
      </c>
      <c r="V50" s="75" t="inlineStr">
        <is>
          <t>CLINIC *</t>
        </is>
      </c>
      <c r="W50" s="75" t="inlineStr">
        <is>
          <t>VACATION</t>
        </is>
      </c>
      <c r="X50" s="76" t="inlineStr">
        <is>
          <t>VACATION</t>
        </is>
      </c>
      <c r="Y50" s="76" t="inlineStr">
        <is>
          <t>VACATION</t>
        </is>
      </c>
      <c r="Z50" s="76" t="inlineStr">
        <is>
          <t>A</t>
        </is>
      </c>
      <c r="AA50" s="76" t="inlineStr">
        <is>
          <t>A</t>
        </is>
      </c>
      <c r="AB50" s="76" t="inlineStr">
        <is>
          <t>A</t>
        </is>
      </c>
      <c r="AC50" s="89" t="inlineStr">
        <is>
          <t>A</t>
        </is>
      </c>
      <c r="AD50" s="76" t="inlineStr">
        <is>
          <t>A</t>
        </is>
      </c>
      <c r="AE50" s="76" t="inlineStr">
        <is>
          <t>A</t>
        </is>
      </c>
      <c r="AF50" s="76" t="inlineStr">
        <is>
          <t>A</t>
        </is>
      </c>
      <c r="AG50" s="76" t="inlineStr">
        <is>
          <t>A</t>
        </is>
      </c>
      <c r="AH50" s="76" t="inlineStr">
        <is>
          <t>A</t>
        </is>
      </c>
      <c r="AI50" s="76" t="inlineStr">
        <is>
          <t>A</t>
        </is>
      </c>
      <c r="AJ50" s="76" t="inlineStr">
        <is>
          <t>A</t>
        </is>
      </c>
      <c r="AK50" s="76" t="inlineStr">
        <is>
          <t>A</t>
        </is>
      </c>
      <c r="AL50" s="76" t="inlineStr">
        <is>
          <t>A</t>
        </is>
      </c>
      <c r="AM50" s="76" t="inlineStr">
        <is>
          <t>A</t>
        </is>
      </c>
      <c r="AN50" s="80" t="inlineStr">
        <is>
          <t>NF</t>
        </is>
      </c>
      <c r="AO50" s="80" t="inlineStr">
        <is>
          <t>NF</t>
        </is>
      </c>
      <c r="AP50" s="76" t="inlineStr">
        <is>
          <t>CLINIC *</t>
        </is>
      </c>
      <c r="AQ50" s="76" t="inlineStr">
        <is>
          <t>CLINIC *</t>
        </is>
      </c>
      <c r="AR50" s="75" t="inlineStr">
        <is>
          <t>ICU N</t>
        </is>
      </c>
      <c r="AS50" s="76" t="inlineStr">
        <is>
          <t>ICU N</t>
        </is>
      </c>
      <c r="AT50" s="73" t="inlineStr">
        <is>
          <t>ICU N</t>
        </is>
      </c>
      <c r="AU50" s="73" t="inlineStr">
        <is>
          <t>ICU N</t>
        </is>
      </c>
      <c r="AV50" s="76" t="inlineStr">
        <is>
          <t>ED</t>
        </is>
      </c>
      <c r="AW50" s="76" t="inlineStr">
        <is>
          <t>ED</t>
        </is>
      </c>
      <c r="AX50" s="76" t="inlineStr">
        <is>
          <t>NF</t>
        </is>
      </c>
      <c r="AY50" s="76" t="inlineStr">
        <is>
          <t>NF</t>
        </is>
      </c>
      <c r="AZ50" s="85" t="inlineStr">
        <is>
          <t>ID</t>
        </is>
      </c>
      <c r="BA50" s="85" t="inlineStr">
        <is>
          <t>ID</t>
        </is>
      </c>
      <c r="BB50" s="85" t="inlineStr">
        <is>
          <t>ID</t>
        </is>
      </c>
      <c r="BC50" s="85" t="inlineStr">
        <is>
          <t>ID</t>
        </is>
      </c>
      <c r="BD50" s="63">
        <f>COUNTIF($D50:$BC50,"CARDIO")+COUNTIF($D50:$BC50,"CARDIO E")+COUNTIF($D50:$BC50,"CARDIO E *")*COUNTIF($D50:$BC50,"CARDIO-HCA")+COUNTIF($D50:$BC50,"CARDIO-HCA*")+COUNTIF($D50:$BC50,"CARDIO-RAM")+COUNTIF($D50:$BC50,"CARDIO-RAM *")</f>
        <v/>
      </c>
      <c r="BE50" s="63">
        <f>COUNTIF($D50:$BC50,"CLINIC")+COUNTIF($D50:$BC50,"CLINIC*")+COUNTIF($D50:$BC50,"INR CLINIC")+COUNTIF($D50:$BC50,"INR CLINIC *")+COUNTIF($D50:$BC50,"URGENT CARE")+COUNTIF($D50:$BC50,"URGENT CARE *")</f>
        <v/>
      </c>
      <c r="BF50" s="63">
        <f>COUNTIF($D50:$BC50,"ED")</f>
        <v/>
      </c>
      <c r="BG50" s="63">
        <f>COUNTIF($D50:$BC50,"A")+COUNTIF($D50:$BC50,"B")+COUNTIF($D50:$BC50,"C")+COUNTIF($D50:$BC50,"D")+COUNTIF($D50:$BC50,"G")</f>
        <v/>
      </c>
      <c r="BH50" s="63">
        <f>COUNTIF($D50:$BC50,"ICU")</f>
        <v/>
      </c>
      <c r="BI50" s="63">
        <f>COUNTIF($D50:$BC50,"ICU E")</f>
        <v/>
      </c>
      <c r="BJ50" s="63">
        <f>COUNTIF($D50:$BC50,"ICU N")</f>
        <v/>
      </c>
      <c r="BK50" s="63">
        <f>COUNTIF($D50:$BC50,"ID")+COUNTIF($D50:$BC50,"ID *")</f>
        <v/>
      </c>
      <c r="BL50" s="63">
        <f>COUNTIF($D50:$BC50,"NEURO")+COUNTIF($D50:$BC50,"NEURO *")</f>
        <v/>
      </c>
      <c r="BM50" s="63">
        <f>COUNTIF($D50:$BC50,"NF")</f>
        <v/>
      </c>
      <c r="BN50" s="63">
        <f>COUNTIF($D50:$BC50,"SWING")</f>
        <v/>
      </c>
      <c r="BO50" s="63">
        <f>COUNTIF($D50:$BC50,"VACATION")</f>
        <v/>
      </c>
      <c r="BP50" s="23">
        <f>SUM(BD50:BO50)</f>
        <v/>
      </c>
      <c r="BQ50" s="63">
        <f>COUNTIF($D50:$BC50,"ANESTHESIA")</f>
        <v/>
      </c>
      <c r="BR50" s="63">
        <f>COUNTIF($D50:$BC50,"GERIATRIC")+COUNTIF($D50:$BC50,"GERIATRIC 2")</f>
        <v/>
      </c>
      <c r="BS50" s="63">
        <f>COUNTIF($D50:$BC50,"GS")</f>
        <v/>
      </c>
      <c r="BT50" s="63">
        <f>COUNTIF($D50:$BC50,"HEM/ONC")+COUNTIF($D50:$BC50,"HEM/ONC *")</f>
        <v/>
      </c>
      <c r="BU50" s="63">
        <f>COUNTIF($D50:$BC50,"IR RADIOLOGY")+COUNTIF($D50:$BC50,"IR RADIOLOGY *")</f>
        <v/>
      </c>
      <c r="BV50" s="63">
        <f>COUNTIF($D50:$BC50,"NEPHRO")+COUNTIF($D50:$BC50,"NEPHRO *")</f>
        <v/>
      </c>
      <c r="BW50" s="63">
        <f>COUNTIF($D50:$BC50,"PALLIATIVE")+COUNTIF($D50:$BC50,"PALLIATIVE *")</f>
        <v/>
      </c>
      <c r="BX50" s="63">
        <f>COUNTIF($D50:$BC50,"PLASTIC")+COUNTIF($D50:$BC50,"PLASTIC *")</f>
        <v/>
      </c>
      <c r="BY50" s="63">
        <f>COUNTIF($D50:$BC50,"PULM")</f>
        <v/>
      </c>
      <c r="BZ50" s="63">
        <f>COUNTIF($D50:$BC50,"SICU")+COUNTIF($D50:$BC50,"SICU *")</f>
        <v/>
      </c>
      <c r="CA50" s="63">
        <f>COUNTIF($D50:$BC50,"DERMATOLOGY")+COUNTIF($D50:$BC50,"DERMATOLOGY *")</f>
        <v/>
      </c>
      <c r="CB50" s="86">
        <f>COUNTIF($D50:$BC50,"NEPHRO")+COUNTIF($D50:$BC50,"NEPHRO *")</f>
        <v/>
      </c>
      <c r="CC50" s="59">
        <f>SUM(BQ50:CB50)</f>
        <v/>
      </c>
      <c r="CD50" s="62">
        <f>BP50+CC50</f>
        <v/>
      </c>
    </row>
    <row r="51" ht="39" customHeight="1">
      <c r="A51" s="8" t="n"/>
      <c r="B51" s="169" t="inlineStr">
        <is>
          <t>TY</t>
        </is>
      </c>
      <c r="C51" s="94" t="inlineStr">
        <is>
          <t>B. To</t>
        </is>
      </c>
      <c r="D51" s="73" t="inlineStr">
        <is>
          <t>ED</t>
        </is>
      </c>
      <c r="E51" s="73" t="inlineStr">
        <is>
          <t>ED</t>
        </is>
      </c>
      <c r="F51" s="73" t="inlineStr">
        <is>
          <t>ICU N</t>
        </is>
      </c>
      <c r="G51" s="73" t="inlineStr">
        <is>
          <t>ICU N</t>
        </is>
      </c>
      <c r="H51" s="103" t="inlineStr">
        <is>
          <t>C</t>
        </is>
      </c>
      <c r="I51" s="75" t="inlineStr">
        <is>
          <t>C</t>
        </is>
      </c>
      <c r="J51" s="80" t="inlineStr">
        <is>
          <t>ICU</t>
        </is>
      </c>
      <c r="K51" s="80" t="inlineStr">
        <is>
          <t>ICU</t>
        </is>
      </c>
      <c r="L51" s="73" t="inlineStr">
        <is>
          <t>A</t>
        </is>
      </c>
      <c r="M51" s="73" t="inlineStr">
        <is>
          <t>A</t>
        </is>
      </c>
      <c r="N51" s="75" t="inlineStr">
        <is>
          <t>A</t>
        </is>
      </c>
      <c r="O51" s="75" t="inlineStr">
        <is>
          <t>A</t>
        </is>
      </c>
      <c r="P51" s="80" t="inlineStr">
        <is>
          <t>A</t>
        </is>
      </c>
      <c r="Q51" s="80" t="inlineStr">
        <is>
          <t>A</t>
        </is>
      </c>
      <c r="R51" s="76" t="inlineStr">
        <is>
          <t>A</t>
        </is>
      </c>
      <c r="S51" s="76" t="inlineStr">
        <is>
          <t>A</t>
        </is>
      </c>
      <c r="T51" s="75" t="inlineStr">
        <is>
          <t>VACATION</t>
        </is>
      </c>
      <c r="U51" s="75" t="inlineStr">
        <is>
          <t>VACATION</t>
        </is>
      </c>
      <c r="V51" s="76" t="inlineStr">
        <is>
          <t>VACATION</t>
        </is>
      </c>
      <c r="W51" s="75" t="inlineStr">
        <is>
          <t>VACATION</t>
        </is>
      </c>
      <c r="X51" s="75" t="inlineStr">
        <is>
          <t>C</t>
        </is>
      </c>
      <c r="Y51" s="76" t="inlineStr">
        <is>
          <t>C</t>
        </is>
      </c>
      <c r="Z51" s="75" t="inlineStr">
        <is>
          <t>C</t>
        </is>
      </c>
      <c r="AA51" s="76" t="inlineStr">
        <is>
          <t>C</t>
        </is>
      </c>
      <c r="AB51" s="76" t="inlineStr">
        <is>
          <t>C</t>
        </is>
      </c>
      <c r="AC51" s="89" t="inlineStr">
        <is>
          <t>C</t>
        </is>
      </c>
      <c r="AD51" s="76" t="inlineStr">
        <is>
          <t>C</t>
        </is>
      </c>
      <c r="AE51" s="76" t="inlineStr">
        <is>
          <t>C</t>
        </is>
      </c>
      <c r="AF51" s="76" t="inlineStr">
        <is>
          <t>C</t>
        </is>
      </c>
      <c r="AG51" s="76" t="inlineStr">
        <is>
          <t>CLINIC</t>
        </is>
      </c>
      <c r="AH51" s="76" t="inlineStr">
        <is>
          <t>CLINIC</t>
        </is>
      </c>
      <c r="AI51" s="76" t="inlineStr">
        <is>
          <t>CLINIC</t>
        </is>
      </c>
      <c r="AJ51" s="76" t="inlineStr">
        <is>
          <t>CLINIC</t>
        </is>
      </c>
      <c r="AK51" s="75" t="inlineStr">
        <is>
          <t>ICU E</t>
        </is>
      </c>
      <c r="AL51" s="75" t="inlineStr">
        <is>
          <t>ICU E</t>
        </is>
      </c>
      <c r="AM51" s="76" t="inlineStr">
        <is>
          <t>ICU E</t>
        </is>
      </c>
      <c r="AN51" s="76" t="inlineStr">
        <is>
          <t>ICU E</t>
        </is>
      </c>
      <c r="AO51" s="76" t="inlineStr">
        <is>
          <t>A</t>
        </is>
      </c>
      <c r="AP51" s="76" t="inlineStr">
        <is>
          <t>A</t>
        </is>
      </c>
      <c r="AQ51" s="80" t="inlineStr">
        <is>
          <t>A</t>
        </is>
      </c>
      <c r="AR51" s="80" t="inlineStr">
        <is>
          <t>A</t>
        </is>
      </c>
      <c r="AS51" s="76" t="inlineStr">
        <is>
          <t>A</t>
        </is>
      </c>
      <c r="AT51" s="76" t="inlineStr">
        <is>
          <t>A</t>
        </is>
      </c>
      <c r="AU51" s="76" t="inlineStr">
        <is>
          <t>A</t>
        </is>
      </c>
      <c r="AV51" s="76" t="inlineStr">
        <is>
          <t>ID</t>
        </is>
      </c>
      <c r="AW51" s="76" t="inlineStr">
        <is>
          <t>D</t>
        </is>
      </c>
      <c r="AX51" s="103" t="inlineStr">
        <is>
          <t>D</t>
        </is>
      </c>
      <c r="AY51" s="103" t="inlineStr">
        <is>
          <t>ID</t>
        </is>
      </c>
      <c r="AZ51" s="85" t="inlineStr">
        <is>
          <t>B</t>
        </is>
      </c>
      <c r="BA51" s="85" t="inlineStr">
        <is>
          <t>B</t>
        </is>
      </c>
      <c r="BB51" s="85" t="inlineStr">
        <is>
          <t>B</t>
        </is>
      </c>
      <c r="BC51" s="85" t="inlineStr">
        <is>
          <t>B</t>
        </is>
      </c>
      <c r="BD51" s="63">
        <f>COUNTIF($D51:$BC51,"CARDIO")+COUNTIF($D51:$BC51,"CARDIO E")+COUNTIF($D51:$BC51,"CARDIO E *")*COUNTIF($D51:$BC51,"CARDIO-HCA")+COUNTIF($D51:$BC51,"CARDIO-HCA*")+COUNTIF($D51:$BC51,"CARDIO-RAM")+COUNTIF($D51:$BC51,"CARDIO-RAM *")</f>
        <v/>
      </c>
      <c r="BE51" s="63">
        <f>COUNTIF($D51:$BC51,"CLINIC")+COUNTIF($D51:$BC51,"CLINIC*")+COUNTIF($D51:$BC51,"INR CLINIC")+COUNTIF($D51:$BC51,"INR CLINIC *")+COUNTIF($D51:$BC51,"URGENT CARE")+COUNTIF($D51:$BC51,"URGENT CARE *")</f>
        <v/>
      </c>
      <c r="BF51" s="63">
        <f>COUNTIF($D51:$BC51,"ED")</f>
        <v/>
      </c>
      <c r="BG51" s="63">
        <f>COUNTIF($D51:$BC51,"A")+COUNTIF($D51:$BC51,"B")+COUNTIF($D51:$BC51,"C")+COUNTIF($D51:$BC51,"D")+COUNTIF($D51:$BC51,"G")</f>
        <v/>
      </c>
      <c r="BH51" s="63">
        <f>COUNTIF($D51:$BC51,"ICU")</f>
        <v/>
      </c>
      <c r="BI51" s="63">
        <f>COUNTIF($D51:$BC51,"ICU E")</f>
        <v/>
      </c>
      <c r="BJ51" s="63">
        <f>COUNTIF($D51:$BC51,"ICU N")</f>
        <v/>
      </c>
      <c r="BK51" s="63">
        <f>COUNTIF($D51:$BC51,"ID")+COUNTIF($D51:$BC51,"ID *")</f>
        <v/>
      </c>
      <c r="BL51" s="63">
        <f>COUNTIF($D51:$BC51,"NEURO")+COUNTIF($D51:$BC51,"NEURO *")</f>
        <v/>
      </c>
      <c r="BM51" s="63">
        <f>COUNTIF($D51:$BC51,"NF")</f>
        <v/>
      </c>
      <c r="BN51" s="63">
        <f>COUNTIF($D51:$BC51,"SWING")</f>
        <v/>
      </c>
      <c r="BO51" s="63">
        <f>COUNTIF($D51:$BC51,"VACATION")</f>
        <v/>
      </c>
      <c r="BP51" s="23">
        <f>SUM(BD51:BO51)</f>
        <v/>
      </c>
      <c r="BQ51" s="63">
        <f>COUNTIF($D51:$BC51,"ANESTHESIA")</f>
        <v/>
      </c>
      <c r="BR51" s="63">
        <f>COUNTIF($D51:$BC51,"GERIATRIC")+COUNTIF($D51:$BC51,"GERIATRIC 2")</f>
        <v/>
      </c>
      <c r="BS51" s="63">
        <f>COUNTIF($D51:$BC51,"GS")</f>
        <v/>
      </c>
      <c r="BT51" s="63">
        <f>COUNTIF($D51:$BC51,"HEM/ONC")+COUNTIF($D51:$BC51,"HEM/ONC *")</f>
        <v/>
      </c>
      <c r="BU51" s="63">
        <f>COUNTIF($D51:$BC51,"IR RADIOLOGY")+COUNTIF($D51:$BC51,"IR RADIOLOGY *")</f>
        <v/>
      </c>
      <c r="BV51" s="63">
        <f>COUNTIF($D51:$BC51,"NEPHRO")+COUNTIF($D51:$BC51,"NEPHRO *")</f>
        <v/>
      </c>
      <c r="BW51" s="63">
        <f>COUNTIF($D51:$BC51,"PALLIATIVE")+COUNTIF($D51:$BC51,"PALLIATIVE *")</f>
        <v/>
      </c>
      <c r="BX51" s="63">
        <f>COUNTIF($D51:$BC51,"PLASTIC")+COUNTIF($D51:$BC51,"PLASTIC *")</f>
        <v/>
      </c>
      <c r="BY51" s="63">
        <f>COUNTIF($D51:$BC51,"PULM")</f>
        <v/>
      </c>
      <c r="BZ51" s="63">
        <f>COUNTIF($D51:$BC51,"SICU")+COUNTIF($D51:$BC51,"SICU *")</f>
        <v/>
      </c>
      <c r="CA51" s="63">
        <f>COUNTIF($D51:$BC51,"DERMATOLOGY")+COUNTIF($D51:$BC51,"DERMATOLOGY *")</f>
        <v/>
      </c>
      <c r="CB51" s="86">
        <f>COUNTIF($D51:$BC51,"NEPHRO")+COUNTIF($D51:$BC51,"NEPHRO *")</f>
        <v/>
      </c>
      <c r="CC51" s="59">
        <f>SUM(BQ51:CB51)</f>
        <v/>
      </c>
      <c r="CD51" s="62">
        <f>BP51+CC51</f>
        <v/>
      </c>
    </row>
    <row r="52" ht="39" customHeight="1">
      <c r="A52" s="8" t="n"/>
      <c r="B52" s="159" t="n"/>
      <c r="C52" s="69" t="inlineStr">
        <is>
          <t>O. Conde</t>
        </is>
      </c>
      <c r="D52" s="73" t="inlineStr">
        <is>
          <t>NF</t>
        </is>
      </c>
      <c r="E52" s="73" t="inlineStr">
        <is>
          <t>NF</t>
        </is>
      </c>
      <c r="F52" s="73" t="inlineStr">
        <is>
          <t>NF</t>
        </is>
      </c>
      <c r="G52" s="73" t="inlineStr">
        <is>
          <t>VACATION</t>
        </is>
      </c>
      <c r="H52" s="80" t="inlineStr">
        <is>
          <t>VACATION</t>
        </is>
      </c>
      <c r="I52" s="80" t="inlineStr">
        <is>
          <t>VACATION</t>
        </is>
      </c>
      <c r="J52" s="75" t="inlineStr">
        <is>
          <t>D</t>
        </is>
      </c>
      <c r="K52" s="101" t="inlineStr">
        <is>
          <t>D</t>
        </is>
      </c>
      <c r="L52" s="73" t="inlineStr">
        <is>
          <t>D</t>
        </is>
      </c>
      <c r="M52" s="73" t="inlineStr">
        <is>
          <t>D</t>
        </is>
      </c>
      <c r="N52" s="73" t="inlineStr">
        <is>
          <t>VACATION</t>
        </is>
      </c>
      <c r="O52" s="73" t="inlineStr">
        <is>
          <t>ICU</t>
        </is>
      </c>
      <c r="P52" s="75" t="inlineStr">
        <is>
          <t>C</t>
        </is>
      </c>
      <c r="Q52" s="75" t="inlineStr">
        <is>
          <t>C</t>
        </is>
      </c>
      <c r="R52" s="75" t="inlineStr">
        <is>
          <t>C</t>
        </is>
      </c>
      <c r="S52" s="75" t="inlineStr">
        <is>
          <t>C</t>
        </is>
      </c>
      <c r="T52" s="76" t="inlineStr">
        <is>
          <t>C</t>
        </is>
      </c>
      <c r="U52" s="76" t="inlineStr">
        <is>
          <t>C</t>
        </is>
      </c>
      <c r="V52" s="76" t="inlineStr">
        <is>
          <t>C</t>
        </is>
      </c>
      <c r="W52" s="76" t="inlineStr">
        <is>
          <t>ICU N</t>
        </is>
      </c>
      <c r="X52" s="76" t="inlineStr">
        <is>
          <t>ICU N</t>
        </is>
      </c>
      <c r="Y52" s="76" t="inlineStr">
        <is>
          <t>ICU N</t>
        </is>
      </c>
      <c r="Z52" s="76" t="inlineStr">
        <is>
          <t>ICU N</t>
        </is>
      </c>
      <c r="AA52" s="76" t="inlineStr">
        <is>
          <t>ID</t>
        </is>
      </c>
      <c r="AB52" s="75" t="inlineStr">
        <is>
          <t>ID</t>
        </is>
      </c>
      <c r="AC52" s="89" t="inlineStr">
        <is>
          <t>C</t>
        </is>
      </c>
      <c r="AD52" s="76" t="inlineStr">
        <is>
          <t>C</t>
        </is>
      </c>
      <c r="AE52" s="76" t="inlineStr">
        <is>
          <t>C</t>
        </is>
      </c>
      <c r="AF52" s="76" t="inlineStr">
        <is>
          <t>C</t>
        </is>
      </c>
      <c r="AG52" s="76" t="inlineStr">
        <is>
          <t>C</t>
        </is>
      </c>
      <c r="AH52" s="76" t="inlineStr">
        <is>
          <t>C</t>
        </is>
      </c>
      <c r="AI52" s="76" t="inlineStr">
        <is>
          <t>CLINIC *</t>
        </is>
      </c>
      <c r="AJ52" s="76" t="inlineStr">
        <is>
          <t>CLINIC *</t>
        </is>
      </c>
      <c r="AK52" s="76" t="inlineStr">
        <is>
          <t>CLINIC *</t>
        </is>
      </c>
      <c r="AL52" s="76" t="inlineStr">
        <is>
          <t>CLINIC *</t>
        </is>
      </c>
      <c r="AM52" s="76" t="inlineStr">
        <is>
          <t>CLINIC *</t>
        </is>
      </c>
      <c r="AN52" s="75" t="inlineStr">
        <is>
          <t>ICU E</t>
        </is>
      </c>
      <c r="AO52" s="75" t="inlineStr">
        <is>
          <t>ICU E</t>
        </is>
      </c>
      <c r="AP52" s="76" t="inlineStr">
        <is>
          <t>ED</t>
        </is>
      </c>
      <c r="AQ52" s="76" t="inlineStr">
        <is>
          <t>ED</t>
        </is>
      </c>
      <c r="AR52" s="103" t="inlineStr">
        <is>
          <t>B</t>
        </is>
      </c>
      <c r="AS52" s="76" t="inlineStr">
        <is>
          <t>B</t>
        </is>
      </c>
      <c r="AT52" s="76" t="inlineStr">
        <is>
          <t>B</t>
        </is>
      </c>
      <c r="AU52" s="76" t="inlineStr">
        <is>
          <t>D</t>
        </is>
      </c>
      <c r="AV52" s="102" t="inlineStr">
        <is>
          <t>D</t>
        </is>
      </c>
      <c r="AW52" s="76" t="inlineStr">
        <is>
          <t>D</t>
        </is>
      </c>
      <c r="AX52" s="102" t="inlineStr">
        <is>
          <t>D</t>
        </is>
      </c>
      <c r="AY52" s="102" t="inlineStr">
        <is>
          <t>D</t>
        </is>
      </c>
      <c r="AZ52" s="80" t="inlineStr">
        <is>
          <t>D</t>
        </is>
      </c>
      <c r="BA52" s="80" t="inlineStr">
        <is>
          <t>D</t>
        </is>
      </c>
      <c r="BB52" s="75" t="inlineStr">
        <is>
          <t>D</t>
        </is>
      </c>
      <c r="BC52" s="75" t="inlineStr">
        <is>
          <t>ICU</t>
        </is>
      </c>
      <c r="BD52" s="63">
        <f>COUNTIF($D52:$BC52,"CARDIO")+COUNTIF($D52:$BC52,"CARDIO E")+COUNTIF($D52:$BC52,"CARDIO E *")*COUNTIF($D52:$BC52,"CARDIO-HCA")+COUNTIF($D52:$BC52,"CARDIO-HCA*")+COUNTIF($D52:$BC52,"CARDIO-RAM")+COUNTIF($D52:$BC52,"CARDIO-RAM *")</f>
        <v/>
      </c>
      <c r="BE52" s="63">
        <f>COUNTIF($D52:$BC52,"CLINIC")+COUNTIF($D52:$BC52,"CLINIC*")+COUNTIF($D52:$BC52,"INR CLINIC")+COUNTIF($D52:$BC52,"INR CLINIC *")+COUNTIF($D52:$BC52,"URGENT CARE")+COUNTIF($D52:$BC52,"URGENT CARE *")</f>
        <v/>
      </c>
      <c r="BF52" s="63">
        <f>COUNTIF($D52:$BC52,"ED")</f>
        <v/>
      </c>
      <c r="BG52" s="63">
        <f>COUNTIF($D52:$BC52,"A")+COUNTIF($D52:$BC52,"B")+COUNTIF($D52:$BC52,"C")+COUNTIF($D52:$BC52,"D")+COUNTIF($D52:$BC52,"G")</f>
        <v/>
      </c>
      <c r="BH52" s="63">
        <f>COUNTIF($D52:$BC52,"ICU")</f>
        <v/>
      </c>
      <c r="BI52" s="63">
        <f>COUNTIF($D52:$BC52,"ICU E")</f>
        <v/>
      </c>
      <c r="BJ52" s="63">
        <f>COUNTIF($D52:$BC52,"ICU N")</f>
        <v/>
      </c>
      <c r="BK52" s="63">
        <f>COUNTIF($D52:$BC52,"ID")+COUNTIF($D52:$BC52,"ID *")</f>
        <v/>
      </c>
      <c r="BL52" s="63">
        <f>COUNTIF($D52:$BC52,"NEURO")+COUNTIF($D52:$BC52,"NEURO *")</f>
        <v/>
      </c>
      <c r="BM52" s="63">
        <f>COUNTIF($D52:$BC52,"NF")</f>
        <v/>
      </c>
      <c r="BN52" s="63">
        <f>COUNTIF($D52:$BC52,"SWING")</f>
        <v/>
      </c>
      <c r="BO52" s="63">
        <f>COUNTIF($D52:$BC52,"VACATION")</f>
        <v/>
      </c>
      <c r="BP52" s="23">
        <f>SUM(BD52:BO52)</f>
        <v/>
      </c>
      <c r="BQ52" s="63">
        <f>COUNTIF($D52:$BC52,"ANESTHESIA")</f>
        <v/>
      </c>
      <c r="BR52" s="63">
        <f>COUNTIF($D52:$BC52,"GERIATRIC")+COUNTIF($D52:$BC52,"GERIATRIC 2")</f>
        <v/>
      </c>
      <c r="BS52" s="63">
        <f>COUNTIF($D52:$BC52,"GS")</f>
        <v/>
      </c>
      <c r="BT52" s="63">
        <f>COUNTIF($D52:$BC52,"HEM/ONC")+COUNTIF($D52:$BC52,"HEM/ONC *")</f>
        <v/>
      </c>
      <c r="BU52" s="63">
        <f>COUNTIF($D52:$BC52,"IR RADIOLOGY")+COUNTIF($D52:$BC52,"IR RADIOLOGY *")</f>
        <v/>
      </c>
      <c r="BV52" s="63">
        <f>COUNTIF($D52:$BC52,"NEPHRO")+COUNTIF($D52:$BC52,"NEPHRO *")</f>
        <v/>
      </c>
      <c r="BW52" s="63">
        <f>COUNTIF($D52:$BC52,"PALLIATIVE")+COUNTIF($D52:$BC52,"PALLIATIVE *")</f>
        <v/>
      </c>
      <c r="BX52" s="63">
        <f>COUNTIF($D52:$BC52,"PLASTIC")+COUNTIF($D52:$BC52,"PLASTIC *")</f>
        <v/>
      </c>
      <c r="BY52" s="63">
        <f>COUNTIF($D52:$BC52,"PULM")</f>
        <v/>
      </c>
      <c r="BZ52" s="63">
        <f>COUNTIF($D52:$BC52,"SICU")+COUNTIF($D52:$BC52,"SICU *")</f>
        <v/>
      </c>
      <c r="CA52" s="63">
        <f>COUNTIF($D52:$BC52,"DERMATOLOGY")+COUNTIF($D52:$BC52,"DERMATOLOGY *")</f>
        <v/>
      </c>
      <c r="CB52" s="86">
        <f>COUNTIF($D52:$BC52,"NEPHRO")+COUNTIF($D52:$BC52,"NEPHRO *")</f>
        <v/>
      </c>
      <c r="CC52" s="59">
        <f>SUM(BQ52:CB52)</f>
        <v/>
      </c>
      <c r="CD52" s="62">
        <f>BP52+CC52</f>
        <v/>
      </c>
    </row>
    <row r="53" ht="39" customHeight="1">
      <c r="A53" s="8" t="n"/>
      <c r="B53" s="169" t="inlineStr">
        <is>
          <t>TY</t>
        </is>
      </c>
      <c r="C53" s="69" t="inlineStr">
        <is>
          <t>A. Dereje</t>
        </is>
      </c>
      <c r="D53" s="75" t="inlineStr">
        <is>
          <t>VACATION</t>
        </is>
      </c>
      <c r="E53" s="75" t="inlineStr">
        <is>
          <t>VACATION</t>
        </is>
      </c>
      <c r="F53" s="75" t="inlineStr">
        <is>
          <t>D</t>
        </is>
      </c>
      <c r="G53" s="75" t="inlineStr">
        <is>
          <t>D</t>
        </is>
      </c>
      <c r="H53" s="80" t="inlineStr">
        <is>
          <t>D</t>
        </is>
      </c>
      <c r="I53" s="80" t="inlineStr">
        <is>
          <t>D</t>
        </is>
      </c>
      <c r="J53" s="80" t="inlineStr">
        <is>
          <t>ID</t>
        </is>
      </c>
      <c r="K53" s="75" t="inlineStr">
        <is>
          <t>ID</t>
        </is>
      </c>
      <c r="L53" s="73" t="inlineStr">
        <is>
          <t>ID</t>
        </is>
      </c>
      <c r="M53" s="75" t="inlineStr">
        <is>
          <t>C</t>
        </is>
      </c>
      <c r="N53" s="75" t="inlineStr">
        <is>
          <t>C</t>
        </is>
      </c>
      <c r="O53" s="75" t="inlineStr">
        <is>
          <t>C</t>
        </is>
      </c>
      <c r="P53" s="76" t="inlineStr">
        <is>
          <t>C</t>
        </is>
      </c>
      <c r="Q53" s="75" t="inlineStr">
        <is>
          <t>C</t>
        </is>
      </c>
      <c r="R53" s="75" t="inlineStr">
        <is>
          <t>C</t>
        </is>
      </c>
      <c r="S53" s="75" t="inlineStr">
        <is>
          <t>C</t>
        </is>
      </c>
      <c r="T53" s="76" t="inlineStr">
        <is>
          <t>C</t>
        </is>
      </c>
      <c r="U53" s="76" t="inlineStr">
        <is>
          <t>ICU</t>
        </is>
      </c>
      <c r="V53" s="76" t="inlineStr">
        <is>
          <t>ICU</t>
        </is>
      </c>
      <c r="W53" s="76" t="inlineStr">
        <is>
          <t>ED</t>
        </is>
      </c>
      <c r="X53" s="76" t="inlineStr">
        <is>
          <t>ED</t>
        </is>
      </c>
      <c r="Y53" s="76" t="inlineStr">
        <is>
          <t>VACATION</t>
        </is>
      </c>
      <c r="Z53" s="76" t="inlineStr">
        <is>
          <t>VACATION</t>
        </is>
      </c>
      <c r="AA53" s="76" t="inlineStr">
        <is>
          <t>CLINIC *</t>
        </is>
      </c>
      <c r="AB53" s="100" t="inlineStr">
        <is>
          <t>CLINIC *</t>
        </is>
      </c>
      <c r="AC53" s="89" t="inlineStr">
        <is>
          <t>ICU</t>
        </is>
      </c>
      <c r="AD53" s="75" t="inlineStr">
        <is>
          <t>ICU</t>
        </is>
      </c>
      <c r="AE53" s="76" t="inlineStr">
        <is>
          <t>NF</t>
        </is>
      </c>
      <c r="AF53" s="80" t="inlineStr">
        <is>
          <t>D</t>
        </is>
      </c>
      <c r="AG53" s="76" t="inlineStr">
        <is>
          <t>D</t>
        </is>
      </c>
      <c r="AH53" s="76" t="inlineStr">
        <is>
          <t>D</t>
        </is>
      </c>
      <c r="AI53" s="76" t="inlineStr">
        <is>
          <t>D</t>
        </is>
      </c>
      <c r="AJ53" s="76" t="inlineStr">
        <is>
          <t>D</t>
        </is>
      </c>
      <c r="AK53" s="76" t="inlineStr">
        <is>
          <t>D</t>
        </is>
      </c>
      <c r="AL53" s="76" t="inlineStr">
        <is>
          <t>D</t>
        </is>
      </c>
      <c r="AM53" s="76" t="inlineStr">
        <is>
          <t>D</t>
        </is>
      </c>
      <c r="AN53" s="103" t="inlineStr">
        <is>
          <t>CLINIC *</t>
        </is>
      </c>
      <c r="AO53" s="103" t="inlineStr">
        <is>
          <t>CLINIC *</t>
        </is>
      </c>
      <c r="AP53" s="75" t="inlineStr">
        <is>
          <t>C</t>
        </is>
      </c>
      <c r="AQ53" s="75" t="inlineStr">
        <is>
          <t>C</t>
        </is>
      </c>
      <c r="AR53" s="76" t="inlineStr">
        <is>
          <t>C</t>
        </is>
      </c>
      <c r="AS53" s="76" t="inlineStr">
        <is>
          <t>C</t>
        </is>
      </c>
      <c r="AT53" s="76" t="inlineStr">
        <is>
          <t>C</t>
        </is>
      </c>
      <c r="AU53" s="76" t="inlineStr">
        <is>
          <t>ICU</t>
        </is>
      </c>
      <c r="AV53" s="102" t="inlineStr">
        <is>
          <t>ICU</t>
        </is>
      </c>
      <c r="AW53" s="75" t="inlineStr">
        <is>
          <t>ICU</t>
        </is>
      </c>
      <c r="AX53" s="76" t="inlineStr">
        <is>
          <t>ICU</t>
        </is>
      </c>
      <c r="AY53" s="76" t="inlineStr">
        <is>
          <t>A</t>
        </is>
      </c>
      <c r="AZ53" s="80" t="inlineStr">
        <is>
          <t>A</t>
        </is>
      </c>
      <c r="BA53" s="80" t="inlineStr">
        <is>
          <t>A</t>
        </is>
      </c>
      <c r="BB53" s="75" t="inlineStr">
        <is>
          <t>A</t>
        </is>
      </c>
      <c r="BC53" s="75" t="inlineStr">
        <is>
          <t>A</t>
        </is>
      </c>
      <c r="BD53" s="63">
        <f>COUNTIF($D53:$BC53,"CARDIO")+COUNTIF($D53:$BC53,"CARDIO E")+COUNTIF($D53:$BC53,"CARDIO E *")*COUNTIF($D53:$BC53,"CARDIO-HCA")+COUNTIF($D53:$BC53,"CARDIO-HCA*")+COUNTIF($D53:$BC53,"CARDIO-RAM")+COUNTIF($D53:$BC53,"CARDIO-RAM *")</f>
        <v/>
      </c>
      <c r="BE53" s="63">
        <f>COUNTIF($D53:$BC53,"CLINIC")+COUNTIF($D53:$BC53,"CLINIC*")+COUNTIF($D53:$BC53,"INR CLINIC")+COUNTIF($D53:$BC53,"INR CLINIC *")+COUNTIF($D53:$BC53,"URGENT CARE")+COUNTIF($D53:$BC53,"URGENT CARE *")</f>
        <v/>
      </c>
      <c r="BF53" s="63">
        <f>COUNTIF($D53:$BC53,"ED")</f>
        <v/>
      </c>
      <c r="BG53" s="63">
        <f>COUNTIF($D53:$BC53,"A")+COUNTIF($D53:$BC53,"B")+COUNTIF($D53:$BC53,"C")+COUNTIF($D53:$BC53,"D")+COUNTIF($D53:$BC53,"G")</f>
        <v/>
      </c>
      <c r="BH53" s="63">
        <f>COUNTIF($D53:$BC53,"ICU")</f>
        <v/>
      </c>
      <c r="BI53" s="63">
        <f>COUNTIF($D53:$BC53,"ICU E")</f>
        <v/>
      </c>
      <c r="BJ53" s="63">
        <f>COUNTIF($D53:$BC53,"ICU N")</f>
        <v/>
      </c>
      <c r="BK53" s="63">
        <f>COUNTIF($D53:$BC53,"ID")+COUNTIF($D53:$BC53,"ID *")</f>
        <v/>
      </c>
      <c r="BL53" s="63">
        <f>COUNTIF($D53:$BC53,"NEURO")+COUNTIF($D53:$BC53,"NEURO *")</f>
        <v/>
      </c>
      <c r="BM53" s="63">
        <f>COUNTIF($D53:$BC53,"NF")</f>
        <v/>
      </c>
      <c r="BN53" s="63">
        <f>COUNTIF($D53:$BC53,"SWING")</f>
        <v/>
      </c>
      <c r="BO53" s="63">
        <f>COUNTIF($D53:$BC53,"VACATION")</f>
        <v/>
      </c>
      <c r="BP53" s="23">
        <f>SUM(BD53:BO53)</f>
        <v/>
      </c>
      <c r="BQ53" s="63">
        <f>COUNTIF($D53:$BC53,"ANESTHESIA")</f>
        <v/>
      </c>
      <c r="BR53" s="63">
        <f>COUNTIF($D53:$BC53,"GERIATRIC")+COUNTIF($D53:$BC53,"GERIATRIC 2")</f>
        <v/>
      </c>
      <c r="BS53" s="63">
        <f>COUNTIF($D53:$BC53,"GS")</f>
        <v/>
      </c>
      <c r="BT53" s="63">
        <f>COUNTIF($D53:$BC53,"HEM/ONC")+COUNTIF($D53:$BC53,"HEM/ONC *")</f>
        <v/>
      </c>
      <c r="BU53" s="63">
        <f>COUNTIF($D53:$BC53,"IR RADIOLOGY")+COUNTIF($D53:$BC53,"IR RADIOLOGY *")</f>
        <v/>
      </c>
      <c r="BV53" s="63">
        <f>COUNTIF($D53:$BC53,"NEPHRO")+COUNTIF($D53:$BC53,"NEPHRO *")</f>
        <v/>
      </c>
      <c r="BW53" s="63">
        <f>COUNTIF($D53:$BC53,"PALLIATIVE")+COUNTIF($D53:$BC53,"PALLIATIVE *")</f>
        <v/>
      </c>
      <c r="BX53" s="63">
        <f>COUNTIF($D53:$BC53,"PLASTIC")+COUNTIF($D53:$BC53,"PLASTIC *")</f>
        <v/>
      </c>
      <c r="BY53" s="63">
        <f>COUNTIF($D53:$BC53,"PULM")</f>
        <v/>
      </c>
      <c r="BZ53" s="63">
        <f>COUNTIF($D53:$BC53,"SICU")+COUNTIF($D53:$BC53,"SICU *")</f>
        <v/>
      </c>
      <c r="CA53" s="63">
        <f>COUNTIF($D53:$BC53,"DERMATOLOGY")+COUNTIF($D53:$BC53,"DERMATOLOGY *")</f>
        <v/>
      </c>
      <c r="CB53" s="86">
        <f>COUNTIF($D53:$BC53,"NEPHRO")+COUNTIF($D53:$BC53,"NEPHRO *")</f>
        <v/>
      </c>
      <c r="CC53" s="59">
        <f>SUM(BQ53:CB53)</f>
        <v/>
      </c>
      <c r="CD53" s="62">
        <f>BP53+CC53</f>
        <v/>
      </c>
    </row>
    <row r="54" ht="39" customHeight="1">
      <c r="A54" s="8" t="n"/>
      <c r="B54" s="159" t="n"/>
      <c r="C54" s="69" t="inlineStr">
        <is>
          <t>T. Araujo</t>
        </is>
      </c>
      <c r="D54" s="73" t="inlineStr">
        <is>
          <t>ED</t>
        </is>
      </c>
      <c r="E54" s="75" t="inlineStr">
        <is>
          <t>ED</t>
        </is>
      </c>
      <c r="F54" s="75" t="inlineStr">
        <is>
          <t>ICU E</t>
        </is>
      </c>
      <c r="G54" s="75" t="inlineStr">
        <is>
          <t>ICU E</t>
        </is>
      </c>
      <c r="H54" s="75" t="inlineStr">
        <is>
          <t>ICU E</t>
        </is>
      </c>
      <c r="I54" s="75" t="inlineStr">
        <is>
          <t>B</t>
        </is>
      </c>
      <c r="J54" s="75" t="inlineStr">
        <is>
          <t>B</t>
        </is>
      </c>
      <c r="K54" s="75" t="inlineStr">
        <is>
          <t>B</t>
        </is>
      </c>
      <c r="L54" s="75" t="inlineStr">
        <is>
          <t>B</t>
        </is>
      </c>
      <c r="M54" s="75" t="inlineStr">
        <is>
          <t>B</t>
        </is>
      </c>
      <c r="N54" s="75" t="inlineStr">
        <is>
          <t>VACATION</t>
        </is>
      </c>
      <c r="O54" s="75" t="inlineStr">
        <is>
          <t>ICU N</t>
        </is>
      </c>
      <c r="P54" s="75" t="inlineStr">
        <is>
          <t>ICU N</t>
        </is>
      </c>
      <c r="Q54" s="75" t="inlineStr">
        <is>
          <t>ICU N</t>
        </is>
      </c>
      <c r="R54" s="75" t="inlineStr">
        <is>
          <t>NF</t>
        </is>
      </c>
      <c r="S54" s="76" t="inlineStr">
        <is>
          <t>CLINIC *</t>
        </is>
      </c>
      <c r="T54" s="76" t="inlineStr">
        <is>
          <t>CLINIC *</t>
        </is>
      </c>
      <c r="U54" s="76" t="inlineStr">
        <is>
          <t>CLINIC *</t>
        </is>
      </c>
      <c r="V54" s="76" t="inlineStr">
        <is>
          <t>A</t>
        </is>
      </c>
      <c r="W54" s="76" t="inlineStr">
        <is>
          <t>A</t>
        </is>
      </c>
      <c r="X54" s="76" t="inlineStr">
        <is>
          <t>NF</t>
        </is>
      </c>
      <c r="Y54" s="76" t="inlineStr">
        <is>
          <t>NF</t>
        </is>
      </c>
      <c r="Z54" s="76" t="inlineStr">
        <is>
          <t>NF</t>
        </is>
      </c>
      <c r="AA54" s="76" t="inlineStr">
        <is>
          <t>ICU E</t>
        </is>
      </c>
      <c r="AB54" s="76" t="inlineStr">
        <is>
          <t>VACATION</t>
        </is>
      </c>
      <c r="AC54" s="89" t="inlineStr">
        <is>
          <t>VACATION</t>
        </is>
      </c>
      <c r="AD54" s="76" t="inlineStr">
        <is>
          <t>VACATION</t>
        </is>
      </c>
      <c r="AE54" s="76" t="inlineStr">
        <is>
          <t>ID</t>
        </is>
      </c>
      <c r="AF54" s="76" t="inlineStr">
        <is>
          <t>ID</t>
        </is>
      </c>
      <c r="AG54" s="75" t="inlineStr">
        <is>
          <t>ID</t>
        </is>
      </c>
      <c r="AH54" s="75" t="inlineStr">
        <is>
          <t>ICU E</t>
        </is>
      </c>
      <c r="AI54" s="75" t="inlineStr">
        <is>
          <t>ICU E</t>
        </is>
      </c>
      <c r="AJ54" s="76" t="inlineStr">
        <is>
          <t>ICU E</t>
        </is>
      </c>
      <c r="AK54" s="76" t="inlineStr">
        <is>
          <t>C</t>
        </is>
      </c>
      <c r="AL54" s="75" t="inlineStr">
        <is>
          <t>C</t>
        </is>
      </c>
      <c r="AM54" s="75" t="inlineStr">
        <is>
          <t>C</t>
        </is>
      </c>
      <c r="AN54" s="76" t="inlineStr">
        <is>
          <t>C</t>
        </is>
      </c>
      <c r="AO54" s="76" t="inlineStr">
        <is>
          <t>CLINIC</t>
        </is>
      </c>
      <c r="AP54" s="76" t="inlineStr">
        <is>
          <t>CLINIC</t>
        </is>
      </c>
      <c r="AQ54" s="76" t="inlineStr">
        <is>
          <t>C</t>
        </is>
      </c>
      <c r="AR54" s="76" t="inlineStr">
        <is>
          <t>C</t>
        </is>
      </c>
      <c r="AS54" s="76" t="inlineStr">
        <is>
          <t>C</t>
        </is>
      </c>
      <c r="AT54" s="76" t="inlineStr">
        <is>
          <t>C</t>
        </is>
      </c>
      <c r="AU54" s="76" t="inlineStr">
        <is>
          <t>C</t>
        </is>
      </c>
      <c r="AV54" s="76" t="inlineStr">
        <is>
          <t>C</t>
        </is>
      </c>
      <c r="AW54" s="76" t="inlineStr">
        <is>
          <t>C</t>
        </is>
      </c>
      <c r="AX54" s="76" t="inlineStr">
        <is>
          <t>ID</t>
        </is>
      </c>
      <c r="AY54" s="76" t="inlineStr">
        <is>
          <t>ID</t>
        </is>
      </c>
      <c r="AZ54" s="76" t="inlineStr">
        <is>
          <t>ID</t>
        </is>
      </c>
      <c r="BA54" s="76" t="inlineStr">
        <is>
          <t>ID</t>
        </is>
      </c>
      <c r="BB54" s="76" t="inlineStr">
        <is>
          <t>ID</t>
        </is>
      </c>
      <c r="BC54" s="76" t="inlineStr">
        <is>
          <t>ID</t>
        </is>
      </c>
      <c r="BD54" s="63">
        <f>COUNTIF($D54:$BC54,"CARDIO")+COUNTIF($D54:$BC54,"CARDIO E")+COUNTIF($D54:$BC54,"CARDIO E *")*COUNTIF($D54:$BC54,"CARDIO-HCA")+COUNTIF($D54:$BC54,"CARDIO-HCA*")+COUNTIF($D54:$BC54,"CARDIO-RAM")+COUNTIF($D54:$BC54,"CARDIO-RAM *")</f>
        <v/>
      </c>
      <c r="BE54" s="63">
        <f>COUNTIF($D54:$BC54,"CLINIC")+COUNTIF($D54:$BC54,"CLINIC*")+COUNTIF($D54:$BC54,"INR CLINIC")+COUNTIF($D54:$BC54,"INR CLINIC *")+COUNTIF($D54:$BC54,"URGENT CARE")+COUNTIF($D54:$BC54,"URGENT CARE *")</f>
        <v/>
      </c>
      <c r="BF54" s="63">
        <f>COUNTIF($D54:$BC54,"ED")</f>
        <v/>
      </c>
      <c r="BG54" s="63">
        <f>COUNTIF($D54:$BC54,"A")+COUNTIF($D54:$BC54,"B")+COUNTIF($D54:$BC54,"C")+COUNTIF($D54:$BC54,"D")+COUNTIF($D54:$BC54,"G")</f>
        <v/>
      </c>
      <c r="BH54" s="63">
        <f>COUNTIF($D54:$BC54,"ICU")</f>
        <v/>
      </c>
      <c r="BI54" s="63">
        <f>COUNTIF($D54:$BC54,"ICU E")</f>
        <v/>
      </c>
      <c r="BJ54" s="63">
        <f>COUNTIF($D54:$BC54,"ICU N")</f>
        <v/>
      </c>
      <c r="BK54" s="63">
        <f>COUNTIF($D54:$BC54,"ID")+COUNTIF($D54:$BC54,"ID *")</f>
        <v/>
      </c>
      <c r="BL54" s="63">
        <f>COUNTIF($D54:$BC54,"NEURO")+COUNTIF($D54:$BC54,"NEURO *")</f>
        <v/>
      </c>
      <c r="BM54" s="63">
        <f>COUNTIF($D54:$BC54,"NF")</f>
        <v/>
      </c>
      <c r="BN54" s="63">
        <f>COUNTIF($D54:$BC54,"SWING")</f>
        <v/>
      </c>
      <c r="BO54" s="63">
        <f>COUNTIF($D54:$BC54,"VACATION")</f>
        <v/>
      </c>
      <c r="BP54" s="23">
        <f>SUM(BD54:BO54)</f>
        <v/>
      </c>
      <c r="BQ54" s="63">
        <f>COUNTIF($D54:$BC54,"ANESTHESIA")</f>
        <v/>
      </c>
      <c r="BR54" s="63">
        <f>COUNTIF($D54:$BC54,"GERIATRIC")+COUNTIF($D54:$BC54,"GERIATRIC 2")</f>
        <v/>
      </c>
      <c r="BS54" s="63">
        <f>COUNTIF($D54:$BC54,"GS")</f>
        <v/>
      </c>
      <c r="BT54" s="63">
        <f>COUNTIF($D54:$BC54,"HEM/ONC")+COUNTIF($D54:$BC54,"HEM/ONC *")</f>
        <v/>
      </c>
      <c r="BU54" s="63">
        <f>COUNTIF($D54:$BC54,"IR RADIOLOGY")+COUNTIF($D54:$BC54,"IR RADIOLOGY *")</f>
        <v/>
      </c>
      <c r="BV54" s="63">
        <f>COUNTIF($D54:$BC54,"NEPHRO")+COUNTIF($D54:$BC54,"NEPHRO *")</f>
        <v/>
      </c>
      <c r="BW54" s="63">
        <f>COUNTIF($D54:$BC54,"PALLIATIVE")+COUNTIF($D54:$BC54,"PALLIATIVE *")</f>
        <v/>
      </c>
      <c r="BX54" s="63">
        <f>COUNTIF($D54:$BC54,"PLASTIC")+COUNTIF($D54:$BC54,"PLASTIC *")</f>
        <v/>
      </c>
      <c r="BY54" s="63">
        <f>COUNTIF($D54:$BC54,"PULM")</f>
        <v/>
      </c>
      <c r="BZ54" s="63">
        <f>COUNTIF($D54:$BC54,"SICU")+COUNTIF($D54:$BC54,"SICU *")</f>
        <v/>
      </c>
      <c r="CA54" s="63">
        <f>COUNTIF($D54:$BC54,"DERMATOLOGY")+COUNTIF($D54:$BC54,"DERMATOLOGY *")</f>
        <v/>
      </c>
      <c r="CB54" s="86">
        <f>COUNTIF($D54:$BC54,"NEPHRO")+COUNTIF($D54:$BC54,"NEPHRO *")</f>
        <v/>
      </c>
      <c r="CC54" s="59">
        <f>SUM(BQ54:CB54)</f>
        <v/>
      </c>
      <c r="CD54" s="62">
        <f>BP54+CC54</f>
        <v/>
      </c>
    </row>
    <row r="55" ht="39" customHeight="1">
      <c r="A55" s="8" t="n"/>
      <c r="B55" s="169" t="inlineStr">
        <is>
          <t>TY</t>
        </is>
      </c>
      <c r="C55" s="69" t="inlineStr">
        <is>
          <t>C. Pandya</t>
        </is>
      </c>
      <c r="D55" s="73" t="inlineStr">
        <is>
          <t>VACATION</t>
        </is>
      </c>
      <c r="E55" s="75" t="inlineStr">
        <is>
          <t>ICU</t>
        </is>
      </c>
      <c r="F55" s="80" t="inlineStr">
        <is>
          <t>ICU</t>
        </is>
      </c>
      <c r="G55" s="80" t="inlineStr">
        <is>
          <t>C</t>
        </is>
      </c>
      <c r="H55" s="75" t="inlineStr">
        <is>
          <t>C</t>
        </is>
      </c>
      <c r="I55" s="75" t="inlineStr">
        <is>
          <t>C</t>
        </is>
      </c>
      <c r="J55" s="75" t="inlineStr">
        <is>
          <t>C</t>
        </is>
      </c>
      <c r="K55" s="75" t="inlineStr">
        <is>
          <t>C</t>
        </is>
      </c>
      <c r="L55" s="75" t="inlineStr">
        <is>
          <t>ID</t>
        </is>
      </c>
      <c r="M55" s="75" t="inlineStr">
        <is>
          <t>ID</t>
        </is>
      </c>
      <c r="N55" s="75" t="inlineStr">
        <is>
          <t>ID</t>
        </is>
      </c>
      <c r="O55" s="75" t="inlineStr">
        <is>
          <t>B</t>
        </is>
      </c>
      <c r="P55" s="76" t="inlineStr">
        <is>
          <t>B</t>
        </is>
      </c>
      <c r="Q55" s="76" t="inlineStr">
        <is>
          <t>B</t>
        </is>
      </c>
      <c r="R55" s="76" t="inlineStr">
        <is>
          <t>ICU E</t>
        </is>
      </c>
      <c r="S55" s="76" t="inlineStr">
        <is>
          <t>ICU E</t>
        </is>
      </c>
      <c r="T55" s="76" t="inlineStr">
        <is>
          <t>ICU E</t>
        </is>
      </c>
      <c r="U55" s="76" t="inlineStr">
        <is>
          <t>ICU E</t>
        </is>
      </c>
      <c r="V55" s="76" t="inlineStr">
        <is>
          <t>D</t>
        </is>
      </c>
      <c r="W55" s="76" t="inlineStr">
        <is>
          <t>D</t>
        </is>
      </c>
      <c r="X55" s="76" t="inlineStr">
        <is>
          <t>CLINIC *</t>
        </is>
      </c>
      <c r="Y55" s="76" t="inlineStr">
        <is>
          <t>CLINIC *</t>
        </is>
      </c>
      <c r="Z55" s="75" t="inlineStr">
        <is>
          <t>ICU E</t>
        </is>
      </c>
      <c r="AA55" s="75" t="inlineStr">
        <is>
          <t>ICU E</t>
        </is>
      </c>
      <c r="AB55" s="76" t="inlineStr">
        <is>
          <t>ICU E</t>
        </is>
      </c>
      <c r="AC55" s="75" t="inlineStr">
        <is>
          <t>VACATION</t>
        </is>
      </c>
      <c r="AD55" s="89" t="inlineStr">
        <is>
          <t>VACATION</t>
        </is>
      </c>
      <c r="AE55" s="76" t="inlineStr">
        <is>
          <t>VACATION</t>
        </is>
      </c>
      <c r="AF55" s="76" t="inlineStr">
        <is>
          <t>A</t>
        </is>
      </c>
      <c r="AG55" s="76" t="inlineStr">
        <is>
          <t>A</t>
        </is>
      </c>
      <c r="AH55" s="76" t="inlineStr">
        <is>
          <t>A</t>
        </is>
      </c>
      <c r="AI55" s="75" t="inlineStr">
        <is>
          <t>A</t>
        </is>
      </c>
      <c r="AJ55" s="75" t="inlineStr">
        <is>
          <t>A</t>
        </is>
      </c>
      <c r="AK55" s="76" t="inlineStr">
        <is>
          <t>A</t>
        </is>
      </c>
      <c r="AL55" s="76" t="inlineStr">
        <is>
          <t>A</t>
        </is>
      </c>
      <c r="AM55" s="75" t="inlineStr">
        <is>
          <t>ED</t>
        </is>
      </c>
      <c r="AN55" s="75" t="inlineStr">
        <is>
          <t>ED</t>
        </is>
      </c>
      <c r="AO55" s="76" t="inlineStr">
        <is>
          <t>NF</t>
        </is>
      </c>
      <c r="AP55" s="76" t="inlineStr">
        <is>
          <t>NF</t>
        </is>
      </c>
      <c r="AQ55" s="76" t="inlineStr">
        <is>
          <t>ICU</t>
        </is>
      </c>
      <c r="AR55" s="76" t="inlineStr">
        <is>
          <t>ICU</t>
        </is>
      </c>
      <c r="AS55" s="76" t="inlineStr">
        <is>
          <t>ICU</t>
        </is>
      </c>
      <c r="AT55" s="75" t="inlineStr">
        <is>
          <t>CLINIC</t>
        </is>
      </c>
      <c r="AU55" s="76" t="inlineStr">
        <is>
          <t>CLINIC</t>
        </is>
      </c>
      <c r="AV55" s="76" t="inlineStr">
        <is>
          <t>ICU N</t>
        </is>
      </c>
      <c r="AW55" s="76" t="inlineStr">
        <is>
          <t>ICU N</t>
        </is>
      </c>
      <c r="AX55" s="76" t="inlineStr">
        <is>
          <t>ICU N</t>
        </is>
      </c>
      <c r="AY55" s="76" t="inlineStr">
        <is>
          <t>ICU N</t>
        </is>
      </c>
      <c r="AZ55" s="76" t="inlineStr">
        <is>
          <t>A</t>
        </is>
      </c>
      <c r="BA55" s="76" t="inlineStr">
        <is>
          <t>A</t>
        </is>
      </c>
      <c r="BB55" s="76" t="inlineStr">
        <is>
          <t>A</t>
        </is>
      </c>
      <c r="BC55" s="76" t="inlineStr">
        <is>
          <t>A</t>
        </is>
      </c>
      <c r="BD55" s="63">
        <f>COUNTIF($D55:$BC55,"CARDIO")+COUNTIF($D55:$BC55,"CARDIO E")+COUNTIF($D55:$BC55,"CARDIO E *")*COUNTIF($D55:$BC55,"CARDIO-HCA")+COUNTIF($D55:$BC55,"CARDIO-HCA*")+COUNTIF($D55:$BC55,"CARDIO-RAM")+COUNTIF($D55:$BC55,"CARDIO-RAM *")</f>
        <v/>
      </c>
      <c r="BE55" s="63">
        <f>COUNTIF($D55:$BC55,"CLINIC")+COUNTIF($D55:$BC55,"CLINIC*")+COUNTIF($D55:$BC55,"INR CLINIC")+COUNTIF($D55:$BC55,"INR CLINIC *")+COUNTIF($D55:$BC55,"URGENT CARE")+COUNTIF($D55:$BC55,"URGENT CARE *")</f>
        <v/>
      </c>
      <c r="BF55" s="63">
        <f>COUNTIF($D55:$BC55,"ED")</f>
        <v/>
      </c>
      <c r="BG55" s="63">
        <f>COUNTIF($D55:$BC55,"A")+COUNTIF($D55:$BC55,"B")+COUNTIF($D55:$BC55,"C")+COUNTIF($D55:$BC55,"D")+COUNTIF($D55:$BC55,"G")</f>
        <v/>
      </c>
      <c r="BH55" s="63">
        <f>COUNTIF($D55:$BC55,"ICU")</f>
        <v/>
      </c>
      <c r="BI55" s="63">
        <f>COUNTIF($D55:$BC55,"ICU E")</f>
        <v/>
      </c>
      <c r="BJ55" s="63">
        <f>COUNTIF($D55:$BC55,"ICU N")</f>
        <v/>
      </c>
      <c r="BK55" s="63">
        <f>COUNTIF($D55:$BC55,"ID")+COUNTIF($D55:$BC55,"ID *")</f>
        <v/>
      </c>
      <c r="BL55" s="63">
        <f>COUNTIF($D55:$BC55,"NEURO")+COUNTIF($D55:$BC55,"NEURO *")</f>
        <v/>
      </c>
      <c r="BM55" s="63">
        <f>COUNTIF($D55:$BC55,"NF")</f>
        <v/>
      </c>
      <c r="BN55" s="63">
        <f>COUNTIF($D55:$BC55,"SWING")</f>
        <v/>
      </c>
      <c r="BO55" s="63">
        <f>COUNTIF($D55:$BC55,"VACATION")</f>
        <v/>
      </c>
      <c r="BP55" s="23">
        <f>SUM(BD55:BO55)</f>
        <v/>
      </c>
      <c r="BQ55" s="63">
        <f>COUNTIF($D55:$BC55,"ANESTHESIA")</f>
        <v/>
      </c>
      <c r="BR55" s="63">
        <f>COUNTIF($D55:$BC55,"GERIATRIC")+COUNTIF($D55:$BC55,"GERIATRIC 2")</f>
        <v/>
      </c>
      <c r="BS55" s="63">
        <f>COUNTIF($D55:$BC55,"GS")</f>
        <v/>
      </c>
      <c r="BT55" s="63">
        <f>COUNTIF($D55:$BC55,"HEM/ONC")+COUNTIF($D55:$BC55,"HEM/ONC *")</f>
        <v/>
      </c>
      <c r="BU55" s="63">
        <f>COUNTIF($D55:$BC55,"IR RADIOLOGY")+COUNTIF($D55:$BC55,"IR RADIOLOGY *")</f>
        <v/>
      </c>
      <c r="BV55" s="63">
        <f>COUNTIF($D55:$BC55,"NEPHRO")+COUNTIF($D55:$BC55,"NEPHRO *")</f>
        <v/>
      </c>
      <c r="BW55" s="63">
        <f>COUNTIF($D55:$BC55,"PALLIATIVE")+COUNTIF($D55:$BC55,"PALLIATIVE *")</f>
        <v/>
      </c>
      <c r="BX55" s="63">
        <f>COUNTIF($D55:$BC55,"PLASTIC")+COUNTIF($D55:$BC55,"PLASTIC *")</f>
        <v/>
      </c>
      <c r="BY55" s="63">
        <f>COUNTIF($D55:$BC55,"PULM")</f>
        <v/>
      </c>
      <c r="BZ55" s="63">
        <f>COUNTIF($D55:$BC55,"SICU")+COUNTIF($D55:$BC55,"SICU *")</f>
        <v/>
      </c>
      <c r="CA55" s="63">
        <f>COUNTIF($D55:$BC55,"DERMATOLOGY")+COUNTIF($D55:$BC55,"DERMATOLOGY *")</f>
        <v/>
      </c>
      <c r="CB55" s="86">
        <f>COUNTIF($D55:$BC55,"NEPHRO")+COUNTIF($D55:$BC55,"NEPHRO *")</f>
        <v/>
      </c>
      <c r="CC55" s="59">
        <f>SUM(BQ55:CB55)</f>
        <v/>
      </c>
      <c r="CD55" s="62">
        <f>BP55+CC55</f>
        <v/>
      </c>
    </row>
    <row r="56" ht="39" customHeight="1">
      <c r="A56" s="8" t="n"/>
      <c r="B56" s="159" t="n"/>
      <c r="C56" s="69" t="inlineStr">
        <is>
          <t>D. Rente</t>
        </is>
      </c>
      <c r="D56" s="75" t="inlineStr">
        <is>
          <t>ICU</t>
        </is>
      </c>
      <c r="E56" s="75" t="inlineStr">
        <is>
          <t>ED</t>
        </is>
      </c>
      <c r="F56" s="75" t="inlineStr">
        <is>
          <t>ED</t>
        </is>
      </c>
      <c r="G56" s="75" t="inlineStr">
        <is>
          <t>ED</t>
        </is>
      </c>
      <c r="H56" s="75" t="inlineStr">
        <is>
          <t>ICU N</t>
        </is>
      </c>
      <c r="I56" s="75" t="inlineStr">
        <is>
          <t>ICU N</t>
        </is>
      </c>
      <c r="J56" s="73" t="inlineStr">
        <is>
          <t>A</t>
        </is>
      </c>
      <c r="K56" s="73" t="inlineStr">
        <is>
          <t>A</t>
        </is>
      </c>
      <c r="L56" s="75" t="inlineStr">
        <is>
          <t>A</t>
        </is>
      </c>
      <c r="M56" s="75" t="inlineStr">
        <is>
          <t>A</t>
        </is>
      </c>
      <c r="N56" s="75" t="inlineStr">
        <is>
          <t>A</t>
        </is>
      </c>
      <c r="O56" s="75" t="inlineStr">
        <is>
          <t>A</t>
        </is>
      </c>
      <c r="P56" s="75" t="inlineStr">
        <is>
          <t>A</t>
        </is>
      </c>
      <c r="Q56" s="76" t="inlineStr">
        <is>
          <t>A</t>
        </is>
      </c>
      <c r="R56" s="76" t="inlineStr">
        <is>
          <t>A</t>
        </is>
      </c>
      <c r="S56" s="76" t="inlineStr">
        <is>
          <t>A</t>
        </is>
      </c>
      <c r="T56" s="75" t="inlineStr">
        <is>
          <t>ICU E</t>
        </is>
      </c>
      <c r="U56" s="75" t="inlineStr">
        <is>
          <t>ICU E</t>
        </is>
      </c>
      <c r="V56" s="76" t="inlineStr">
        <is>
          <t>ICU E</t>
        </is>
      </c>
      <c r="W56" s="76" t="inlineStr">
        <is>
          <t>B</t>
        </is>
      </c>
      <c r="X56" s="76" t="inlineStr">
        <is>
          <t>B</t>
        </is>
      </c>
      <c r="Y56" s="76" t="inlineStr">
        <is>
          <t>B</t>
        </is>
      </c>
      <c r="Z56" s="76" t="inlineStr">
        <is>
          <t>B</t>
        </is>
      </c>
      <c r="AA56" s="75" t="inlineStr">
        <is>
          <t>D</t>
        </is>
      </c>
      <c r="AB56" s="76" t="inlineStr">
        <is>
          <t>ID</t>
        </is>
      </c>
      <c r="AC56" s="89" t="inlineStr">
        <is>
          <t>ID</t>
        </is>
      </c>
      <c r="AD56" s="76" t="inlineStr">
        <is>
          <t>ICU N</t>
        </is>
      </c>
      <c r="AE56" s="76" t="inlineStr">
        <is>
          <t>B</t>
        </is>
      </c>
      <c r="AF56" s="76" t="inlineStr">
        <is>
          <t>B</t>
        </is>
      </c>
      <c r="AG56" s="76" t="inlineStr">
        <is>
          <t>B</t>
        </is>
      </c>
      <c r="AH56" s="76" t="inlineStr">
        <is>
          <t>B</t>
        </is>
      </c>
      <c r="AI56" s="76" t="inlineStr">
        <is>
          <t>VACATION</t>
        </is>
      </c>
      <c r="AJ56" s="76" t="inlineStr">
        <is>
          <t>VACATION</t>
        </is>
      </c>
      <c r="AK56" s="76" t="inlineStr">
        <is>
          <t>VACATION</t>
        </is>
      </c>
      <c r="AL56" s="76" t="inlineStr">
        <is>
          <t>VACATION</t>
        </is>
      </c>
      <c r="AM56" s="76" t="inlineStr">
        <is>
          <t>B</t>
        </is>
      </c>
      <c r="AN56" s="76" t="inlineStr">
        <is>
          <t>B</t>
        </is>
      </c>
      <c r="AO56" s="76" t="inlineStr">
        <is>
          <t>B</t>
        </is>
      </c>
      <c r="AP56" s="76" t="inlineStr">
        <is>
          <t>B</t>
        </is>
      </c>
      <c r="AQ56" s="76" t="inlineStr">
        <is>
          <t>B</t>
        </is>
      </c>
      <c r="AR56" s="75" t="inlineStr">
        <is>
          <t>B</t>
        </is>
      </c>
      <c r="AS56" s="75" t="inlineStr">
        <is>
          <t>B</t>
        </is>
      </c>
      <c r="AT56" s="75" t="inlineStr">
        <is>
          <t>B</t>
        </is>
      </c>
      <c r="AU56" s="76" t="inlineStr">
        <is>
          <t>B</t>
        </is>
      </c>
      <c r="AV56" s="76" t="inlineStr">
        <is>
          <t>B</t>
        </is>
      </c>
      <c r="AW56" s="76" t="inlineStr">
        <is>
          <t>B</t>
        </is>
      </c>
      <c r="AX56" s="76" t="inlineStr">
        <is>
          <t>ICU</t>
        </is>
      </c>
      <c r="AY56" s="76" t="inlineStr">
        <is>
          <t>CLINIC *</t>
        </is>
      </c>
      <c r="AZ56" s="76" t="inlineStr">
        <is>
          <t>CLINIC *</t>
        </is>
      </c>
      <c r="BA56" s="76" t="inlineStr">
        <is>
          <t>CLINIC *</t>
        </is>
      </c>
      <c r="BB56" s="76" t="inlineStr">
        <is>
          <t>CLINIC *</t>
        </is>
      </c>
      <c r="BC56" s="76" t="inlineStr">
        <is>
          <t>CLINIC *</t>
        </is>
      </c>
      <c r="BD56" s="63">
        <f>COUNTIF($D56:$BC56,"CARDIO")+COUNTIF($D56:$BC56,"CARDIO E")+COUNTIF($D56:$BC56,"CARDIO E *")*COUNTIF($D56:$BC56,"CARDIO-HCA")+COUNTIF($D56:$BC56,"CARDIO-HCA*")+COUNTIF($D56:$BC56,"CARDIO-RAM")+COUNTIF($D56:$BC56,"CARDIO-RAM *")</f>
        <v/>
      </c>
      <c r="BE56" s="63">
        <f>COUNTIF($D56:$BC56,"CLINIC")+COUNTIF($D56:$BC56,"CLINIC*")+COUNTIF($D56:$BC56,"INR CLINIC")+COUNTIF($D56:$BC56,"INR CLINIC *")+COUNTIF($D56:$BC56,"URGENT CARE")+COUNTIF($D56:$BC56,"URGENT CARE *")</f>
        <v/>
      </c>
      <c r="BF56" s="63">
        <f>COUNTIF($D56:$BC56,"ED")</f>
        <v/>
      </c>
      <c r="BG56" s="63">
        <f>COUNTIF($D56:$BC56,"A")+COUNTIF($D56:$BC56,"B")+COUNTIF($D56:$BC56,"C")+COUNTIF($D56:$BC56,"D")+COUNTIF($D56:$BC56,"G")</f>
        <v/>
      </c>
      <c r="BH56" s="63">
        <f>COUNTIF($D56:$BC56,"ICU")</f>
        <v/>
      </c>
      <c r="BI56" s="63">
        <f>COUNTIF($D56:$BC56,"ICU E")</f>
        <v/>
      </c>
      <c r="BJ56" s="63">
        <f>COUNTIF($D56:$BC56,"ICU N")</f>
        <v/>
      </c>
      <c r="BK56" s="63">
        <f>COUNTIF($D56:$BC56,"ID")+COUNTIF($D56:$BC56,"ID *")</f>
        <v/>
      </c>
      <c r="BL56" s="63">
        <f>COUNTIF($D56:$BC56,"NEURO")+COUNTIF($D56:$BC56,"NEURO *")</f>
        <v/>
      </c>
      <c r="BM56" s="63">
        <f>COUNTIF($D56:$BC56,"NF")</f>
        <v/>
      </c>
      <c r="BN56" s="63">
        <f>COUNTIF($D56:$BC56,"SWING")</f>
        <v/>
      </c>
      <c r="BO56" s="63">
        <f>COUNTIF($D56:$BC56,"VACATION")</f>
        <v/>
      </c>
      <c r="BP56" s="23">
        <f>SUM(BD56:BO56)</f>
        <v/>
      </c>
      <c r="BQ56" s="63">
        <f>COUNTIF($D56:$BC56,"ANESTHESIA")</f>
        <v/>
      </c>
      <c r="BR56" s="63">
        <f>COUNTIF($D56:$BC56,"GERIATRIC")+COUNTIF($D56:$BC56,"GERIATRIC 2")</f>
        <v/>
      </c>
      <c r="BS56" s="63">
        <f>COUNTIF($D56:$BC56,"GS")</f>
        <v/>
      </c>
      <c r="BT56" s="63">
        <f>COUNTIF($D56:$BC56,"HEM/ONC")+COUNTIF($D56:$BC56,"HEM/ONC *")</f>
        <v/>
      </c>
      <c r="BU56" s="63">
        <f>COUNTIF($D56:$BC56,"IR RADIOLOGY")+COUNTIF($D56:$BC56,"IR RADIOLOGY *")</f>
        <v/>
      </c>
      <c r="BV56" s="63">
        <f>COUNTIF($D56:$BC56,"NEPHRO")+COUNTIF($D56:$BC56,"NEPHRO *")</f>
        <v/>
      </c>
      <c r="BW56" s="63">
        <f>COUNTIF($D56:$BC56,"PALLIATIVE")+COUNTIF($D56:$BC56,"PALLIATIVE *")</f>
        <v/>
      </c>
      <c r="BX56" s="63">
        <f>COUNTIF($D56:$BC56,"PLASTIC")+COUNTIF($D56:$BC56,"PLASTIC *")</f>
        <v/>
      </c>
      <c r="BY56" s="63">
        <f>COUNTIF($D56:$BC56,"PULM")</f>
        <v/>
      </c>
      <c r="BZ56" s="63">
        <f>COUNTIF($D56:$BC56,"SICU")+COUNTIF($D56:$BC56,"SICU *")</f>
        <v/>
      </c>
      <c r="CA56" s="63">
        <f>COUNTIF($D56:$BC56,"DERMATOLOGY")+COUNTIF($D56:$BC56,"DERMATOLOGY *")</f>
        <v/>
      </c>
      <c r="CB56" s="86">
        <f>COUNTIF($D56:$BC56,"NEPHRO")+COUNTIF($D56:$BC56,"NEPHRO *")</f>
        <v/>
      </c>
      <c r="CC56" s="59">
        <f>SUM(BQ56:CB56)</f>
        <v/>
      </c>
      <c r="CD56" s="62">
        <f>BP56+CC56</f>
        <v/>
      </c>
    </row>
    <row r="57" ht="39" customHeight="1">
      <c r="A57" s="8" t="n"/>
      <c r="B57" s="169" t="inlineStr">
        <is>
          <t>TY</t>
        </is>
      </c>
      <c r="C57" s="69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3" t="n"/>
      <c r="M57" s="73" t="n"/>
      <c r="N57" s="73" t="n"/>
      <c r="O57" s="73" t="n"/>
      <c r="P57" s="73" t="n"/>
      <c r="Q57" s="75" t="n"/>
      <c r="R57" s="75" t="n"/>
      <c r="S57" s="75" t="n"/>
      <c r="T57" s="76" t="n"/>
      <c r="U57" s="76" t="n"/>
      <c r="V57" s="76" t="n"/>
      <c r="W57" s="76" t="n"/>
      <c r="X57" s="76" t="n"/>
      <c r="Y57" s="76" t="n"/>
      <c r="Z57" s="76" t="n"/>
      <c r="AA57" s="76" t="n"/>
      <c r="AB57" s="76" t="n"/>
      <c r="AC57" s="76" t="n"/>
      <c r="AD57" s="76" t="n"/>
      <c r="AE57" s="76" t="n"/>
      <c r="AF57" s="76" t="n"/>
      <c r="AG57" s="76" t="n"/>
      <c r="AH57" s="76" t="n"/>
      <c r="AI57" s="76" t="n"/>
      <c r="AJ57" s="76" t="n"/>
      <c r="AK57" s="76" t="n"/>
      <c r="AL57" s="76" t="n"/>
      <c r="AM57" s="76" t="n"/>
      <c r="AN57" s="76" t="n"/>
      <c r="AO57" s="76" t="n"/>
      <c r="AP57" s="76" t="n"/>
      <c r="AQ57" s="76" t="n"/>
      <c r="AR57" s="76" t="n"/>
      <c r="AS57" s="76" t="n"/>
      <c r="AT57" s="76" t="n"/>
      <c r="AU57" s="76" t="n"/>
      <c r="AV57" s="76" t="n"/>
      <c r="AW57" s="76" t="n"/>
      <c r="AX57" s="76" t="n"/>
      <c r="AY57" s="76" t="n"/>
      <c r="AZ57" s="76" t="n"/>
      <c r="BA57" s="76" t="n"/>
      <c r="BB57" s="76" t="n"/>
      <c r="BC57" s="76" t="n"/>
      <c r="BD57" s="63">
        <f>COUNTIF($D57:$BC57,"CARDIO")+COUNTIF($D57:$BC57,"CARDIO E")+COUNTIF($D57:$BC57,"CARDIO E *")*COUNTIF($D57:$BC57,"CARDIO-HCA")+COUNTIF($D57:$BC57,"CARDIO-HCA*")+COUNTIF($D57:$BC57,"CARDIO-RAM")+COUNTIF($D57:$BC57,"CARDIO-RAM *")</f>
        <v/>
      </c>
      <c r="BE57" s="63">
        <f>COUNTIF($D57:$BC57,"CLINIC")+COUNTIF($D57:$BC57,"CLINIC*")+COUNTIF($D57:$BC57,"INR CLINIC")+COUNTIF($D57:$BC57,"INR CLINIC *")+COUNTIF($D57:$BC57,"URGENT CARE")+COUNTIF($D57:$BC57,"URGENT CARE *")</f>
        <v/>
      </c>
      <c r="BF57" s="63">
        <f>COUNTIF($D57:$BC57,"ED")</f>
        <v/>
      </c>
      <c r="BG57" s="63">
        <f>COUNTIF($D57:$BC57,"A")+COUNTIF($D57:$BC57,"B")+COUNTIF($D57:$BC57,"C")+COUNTIF($D57:$BC57,"D")+COUNTIF($D57:$BC57,"G")</f>
        <v/>
      </c>
      <c r="BH57" s="63">
        <f>COUNTIF($D57:$BC57,"ICU")</f>
        <v/>
      </c>
      <c r="BI57" s="63">
        <f>COUNTIF($D57:$BC57,"ICU E")</f>
        <v/>
      </c>
      <c r="BJ57" s="63">
        <f>COUNTIF($D57:$BC57,"ICU N")</f>
        <v/>
      </c>
      <c r="BK57" s="63">
        <f>COUNTIF($D57:$BC57,"ID")+COUNTIF($D57:$BC57,"ID *")</f>
        <v/>
      </c>
      <c r="BL57" s="63">
        <f>COUNTIF($D57:$BC57,"NEURO")+COUNTIF($D57:$BC57,"NEURO *")</f>
        <v/>
      </c>
      <c r="BM57" s="63">
        <f>COUNTIF($D57:$BC57,"NF")</f>
        <v/>
      </c>
      <c r="BN57" s="63">
        <f>COUNTIF($D57:$BC57,"SWING")</f>
        <v/>
      </c>
      <c r="BO57" s="63">
        <f>COUNTIF($D57:$BC57,"VACATION")</f>
        <v/>
      </c>
      <c r="BP57" s="23">
        <f>SUM(BD57:BO57)</f>
        <v/>
      </c>
      <c r="BQ57" s="63">
        <f>COUNTIF($D57:$BC57,"ANESTHESIA")</f>
        <v/>
      </c>
      <c r="BR57" s="63">
        <f>COUNTIF($D57:$BC57,"GERIATRIC")+COUNTIF($D57:$BC57,"GERIATRIC 2")</f>
        <v/>
      </c>
      <c r="BS57" s="63">
        <f>COUNTIF($D57:$BC57,"GS")</f>
        <v/>
      </c>
      <c r="BT57" s="63">
        <f>COUNTIF($D57:$BC57,"HEM/ONC")+COUNTIF($D57:$BC57,"HEM/ONC *")</f>
        <v/>
      </c>
      <c r="BU57" s="63">
        <f>COUNTIF($D57:$BC57,"IR RADIOLOGY")+COUNTIF($D57:$BC57,"IR RADIOLOGY *")</f>
        <v/>
      </c>
      <c r="BV57" s="63">
        <f>COUNTIF($D57:$BC57,"NEPHRO")+COUNTIF($D57:$BC57,"NEPHRO *")</f>
        <v/>
      </c>
      <c r="BW57" s="63">
        <f>COUNTIF($D57:$BC57,"PALLIATIVE")+COUNTIF($D57:$BC57,"PALLIATIVE *")</f>
        <v/>
      </c>
      <c r="BX57" s="63">
        <f>COUNTIF($D57:$BC57,"PLASTIC")+COUNTIF($D57:$BC57,"PLASTIC *")</f>
        <v/>
      </c>
      <c r="BY57" s="63">
        <f>COUNTIF($D57:$BC57,"PULM")</f>
        <v/>
      </c>
      <c r="BZ57" s="63">
        <f>COUNTIF($D57:$BC57,"SICU")+COUNTIF($D57:$BC57,"SICU *")</f>
        <v/>
      </c>
      <c r="CA57" s="63">
        <f>COUNTIF($D57:$BC57,"DERMATOLOGY")+COUNTIF($D57:$BC57,"DERMATOLOGY *")</f>
        <v/>
      </c>
      <c r="CB57" s="86">
        <f>COUNTIF($D57:$BC57,"NEPHRO")+COUNTIF($D57:$BC57,"NEPHRO *")</f>
        <v/>
      </c>
      <c r="CC57" s="59">
        <f>SUM(BQ57:CB57)</f>
        <v/>
      </c>
      <c r="CD57" s="62">
        <f>BP57+CC57</f>
        <v/>
      </c>
    </row>
    <row r="58" ht="39" customHeight="1">
      <c r="A58" s="8" t="n"/>
      <c r="B58" s="159" t="n"/>
      <c r="C58" s="69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6" t="n"/>
      <c r="AA58" s="76" t="n"/>
      <c r="AB58" s="76" t="n"/>
      <c r="AC58" s="76" t="n"/>
      <c r="AD58" s="76" t="n"/>
      <c r="AE58" s="76" t="n"/>
      <c r="AF58" s="76" t="n"/>
      <c r="AG58" s="76" t="n"/>
      <c r="AH58" s="76" t="n"/>
      <c r="AI58" s="76" t="n"/>
      <c r="AJ58" s="76" t="n"/>
      <c r="AK58" s="76" t="n"/>
      <c r="AL58" s="76" t="n"/>
      <c r="AM58" s="76" t="n"/>
      <c r="AN58" s="76" t="n"/>
      <c r="AO58" s="76" t="n"/>
      <c r="AP58" s="76" t="n"/>
      <c r="AQ58" s="76" t="n"/>
      <c r="AR58" s="76" t="n"/>
      <c r="AS58" s="76" t="n"/>
      <c r="AT58" s="76" t="n"/>
      <c r="AU58" s="76" t="n"/>
      <c r="AV58" s="76" t="n"/>
      <c r="AW58" s="76" t="n"/>
      <c r="AX58" s="76" t="n"/>
      <c r="AY58" s="76" t="n"/>
      <c r="AZ58" s="76" t="n"/>
      <c r="BA58" s="76" t="n"/>
      <c r="BB58" s="76" t="n"/>
      <c r="BC58" s="76" t="n"/>
      <c r="BD58" s="63">
        <f>COUNTIF($D58:$BC58,"CARDIO")+COUNTIF($D58:$BC58,"CARDIO E")+COUNTIF($D58:$BC58,"CARDIO E *")*COUNTIF($D58:$BC58,"CARDIO-HCA")+COUNTIF($D58:$BC58,"CARDIO-HCA*")+COUNTIF($D58:$BC58,"CARDIO-RAM")+COUNTIF($D58:$BC58,"CARDIO-RAM *")</f>
        <v/>
      </c>
      <c r="BE58" s="63">
        <f>COUNTIF($D58:$BC58,"CLINIC")+COUNTIF($D58:$BC58,"CLINIC*")+COUNTIF($D58:$BC58,"INR CLINIC")+COUNTIF($D58:$BC58,"INR CLINIC *")+COUNTIF($D58:$BC58,"URGENT CARE")+COUNTIF($D58:$BC58,"URGENT CARE *")</f>
        <v/>
      </c>
      <c r="BF58" s="63">
        <f>COUNTIF($D58:$BC58,"ED")</f>
        <v/>
      </c>
      <c r="BG58" s="63">
        <f>COUNTIF($D58:$BC58,"A")+COUNTIF($D58:$BC58,"B")+COUNTIF($D58:$BC58,"C")+COUNTIF($D58:$BC58,"D")+COUNTIF($D58:$BC58,"G")</f>
        <v/>
      </c>
      <c r="BH58" s="63">
        <f>COUNTIF($D58:$BC58,"ICU")</f>
        <v/>
      </c>
      <c r="BI58" s="63">
        <f>COUNTIF($D58:$BC58,"ICU E")</f>
        <v/>
      </c>
      <c r="BJ58" s="63">
        <f>COUNTIF($D58:$BC58,"ICU N")</f>
        <v/>
      </c>
      <c r="BK58" s="63">
        <f>COUNTIF($D58:$BC58,"ID")+COUNTIF($D58:$BC58,"ID *")</f>
        <v/>
      </c>
      <c r="BL58" s="63">
        <f>COUNTIF($D58:$BC58,"NEURO")+COUNTIF($D58:$BC58,"NEURO *")</f>
        <v/>
      </c>
      <c r="BM58" s="63">
        <f>COUNTIF($D58:$BC58,"NF")</f>
        <v/>
      </c>
      <c r="BN58" s="63">
        <f>COUNTIF($D58:$BC58,"SWING")</f>
        <v/>
      </c>
      <c r="BO58" s="63">
        <f>COUNTIF($D58:$BC58,"VACATION")</f>
        <v/>
      </c>
      <c r="BP58" s="23">
        <f>SUM(BD58:BO58)</f>
        <v/>
      </c>
      <c r="BQ58" s="63">
        <f>COUNTIF($D58:$BC58,"ANESTHESIA")</f>
        <v/>
      </c>
      <c r="BR58" s="63">
        <f>COUNTIF($D58:$BC58,"GERIATRIC")+COUNTIF($D58:$BC58,"GERIATRIC 2")</f>
        <v/>
      </c>
      <c r="BS58" s="63">
        <f>COUNTIF($D58:$BC58,"GS")</f>
        <v/>
      </c>
      <c r="BT58" s="63">
        <f>COUNTIF($D58:$BC58,"HEM/ONC")+COUNTIF($D58:$BC58,"HEM/ONC *")</f>
        <v/>
      </c>
      <c r="BU58" s="63">
        <f>COUNTIF($D58:$BC58,"IR RADIOLOGY")+COUNTIF($D58:$BC58,"IR RADIOLOGY *")</f>
        <v/>
      </c>
      <c r="BV58" s="63">
        <f>COUNTIF($D58:$BC58,"NEPHRO")+COUNTIF($D58:$BC58,"NEPHRO *")</f>
        <v/>
      </c>
      <c r="BW58" s="63">
        <f>COUNTIF($D58:$BC58,"PALLIATIVE")+COUNTIF($D58:$BC58,"PALLIATIVE *")</f>
        <v/>
      </c>
      <c r="BX58" s="63">
        <f>COUNTIF($D58:$BC58,"PLASTIC")+COUNTIF($D58:$BC58,"PLASTIC *")</f>
        <v/>
      </c>
      <c r="BY58" s="63">
        <f>COUNTIF($D58:$BC58,"PULM")</f>
        <v/>
      </c>
      <c r="BZ58" s="63">
        <f>COUNTIF($D58:$BC58,"SICU")+COUNTIF($D58:$BC58,"SICU *")</f>
        <v/>
      </c>
      <c r="CA58" s="63">
        <f>COUNTIF($D58:$BC58,"DERMATOLOGY")+COUNTIF($D58:$BC58,"DERMATOLOGY *")</f>
        <v/>
      </c>
      <c r="CB58" s="86">
        <f>COUNTIF($D58:$BC58,"NEPHRO")+COUNTIF($D58:$BC58,"NEPHRO *")</f>
        <v/>
      </c>
      <c r="CC58" s="59">
        <f>SUM(BQ58:CB58)</f>
        <v/>
      </c>
      <c r="CD58" s="62">
        <f>BP58+CC58</f>
        <v/>
      </c>
    </row>
    <row r="59" ht="39" customHeight="1">
      <c r="A59" s="8" t="n"/>
      <c r="B59" s="169" t="inlineStr">
        <is>
          <t>TY</t>
        </is>
      </c>
      <c r="C59" s="69" t="n"/>
      <c r="D59" s="75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3" t="n"/>
      <c r="O59" s="73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  <c r="AA59" s="76" t="n"/>
      <c r="AB59" s="76" t="n"/>
      <c r="AC59" s="76" t="n"/>
      <c r="AD59" s="76" t="n"/>
      <c r="AE59" s="76" t="n"/>
      <c r="AF59" s="76" t="n"/>
      <c r="AG59" s="76" t="n"/>
      <c r="AH59" s="76" t="n"/>
      <c r="AI59" s="76" t="n"/>
      <c r="AJ59" s="76" t="n"/>
      <c r="AK59" s="76" t="n"/>
      <c r="AL59" s="76" t="n"/>
      <c r="AM59" s="76" t="n"/>
      <c r="AN59" s="75" t="n"/>
      <c r="AO59" s="75" t="n"/>
      <c r="AP59" s="75" t="n"/>
      <c r="AQ59" s="75" t="n"/>
      <c r="AR59" s="76" t="n"/>
      <c r="AS59" s="76" t="n"/>
      <c r="AT59" s="76" t="n"/>
      <c r="AU59" s="76" t="n"/>
      <c r="AV59" s="76" t="n"/>
      <c r="AW59" s="76" t="n"/>
      <c r="AX59" s="76" t="n"/>
      <c r="AY59" s="76" t="n"/>
      <c r="AZ59" s="76" t="n"/>
      <c r="BA59" s="76" t="n"/>
      <c r="BB59" s="76" t="n"/>
      <c r="BC59" s="76" t="n"/>
      <c r="BD59" s="63">
        <f>COUNTIF($D59:$BC59,"CARDIO")+COUNTIF($D59:$BC59,"CARDIO E")+COUNTIF($D59:$BC59,"CARDIO E *")*COUNTIF($D59:$BC59,"CARDIO-HCA")+COUNTIF($D59:$BC59,"CARDIO-HCA*")+COUNTIF($D59:$BC59,"CARDIO-RAM")+COUNTIF($D59:$BC59,"CARDIO-RAM *")</f>
        <v/>
      </c>
      <c r="BE59" s="63">
        <f>COUNTIF($D59:$BC59,"CLINIC")+COUNTIF($D59:$BC59,"CLINIC*")+COUNTIF($D59:$BC59,"INR CLINIC")+COUNTIF($D59:$BC59,"INR CLINIC *")+COUNTIF($D59:$BC59,"URGENT CARE")+COUNTIF($D59:$BC59,"URGENT CARE *")</f>
        <v/>
      </c>
      <c r="BF59" s="63">
        <f>COUNTIF($D59:$BC59,"ED")</f>
        <v/>
      </c>
      <c r="BG59" s="63">
        <f>COUNTIF($D59:$BC59,"A")+COUNTIF($D59:$BC59,"B")+COUNTIF($D59:$BC59,"C")+COUNTIF($D59:$BC59,"D")+COUNTIF($D59:$BC59,"G")</f>
        <v/>
      </c>
      <c r="BH59" s="63">
        <f>COUNTIF($D59:$BC59,"ICU")</f>
        <v/>
      </c>
      <c r="BI59" s="63">
        <f>COUNTIF($D59:$BC59,"ICU E")</f>
        <v/>
      </c>
      <c r="BJ59" s="63">
        <f>COUNTIF($D59:$BC59,"ICU N")</f>
        <v/>
      </c>
      <c r="BK59" s="63">
        <f>COUNTIF($D59:$BC59,"ID")+COUNTIF($D59:$BC59,"ID *")</f>
        <v/>
      </c>
      <c r="BL59" s="63">
        <f>COUNTIF($D59:$BC59,"NEURO")+COUNTIF($D59:$BC59,"NEURO *")</f>
        <v/>
      </c>
      <c r="BM59" s="63">
        <f>COUNTIF($D59:$BC59,"NF")</f>
        <v/>
      </c>
      <c r="BN59" s="63">
        <f>COUNTIF($D59:$BC59,"SWING")</f>
        <v/>
      </c>
      <c r="BO59" s="63">
        <f>COUNTIF($D59:$BC59,"VACATION")</f>
        <v/>
      </c>
      <c r="BP59" s="23">
        <f>SUM(BD59:BO59)</f>
        <v/>
      </c>
      <c r="BQ59" s="63">
        <f>COUNTIF($D59:$BC59,"ANESTHESIA")</f>
        <v/>
      </c>
      <c r="BR59" s="63">
        <f>COUNTIF($D59:$BC59,"GERIATRIC")+COUNTIF($D59:$BC59,"GERIATRIC 2")</f>
        <v/>
      </c>
      <c r="BS59" s="63">
        <f>COUNTIF($D59:$BC59,"GS")</f>
        <v/>
      </c>
      <c r="BT59" s="63">
        <f>COUNTIF($D59:$BC59,"HEM/ONC")+COUNTIF($D59:$BC59,"HEM/ONC *")</f>
        <v/>
      </c>
      <c r="BU59" s="63">
        <f>COUNTIF($D59:$BC59,"IR RADIOLOGY")+COUNTIF($D59:$BC59,"IR RADIOLOGY *")</f>
        <v/>
      </c>
      <c r="BV59" s="63">
        <f>COUNTIF($D59:$BC59,"NEPHRO")+COUNTIF($D59:$BC59,"NEPHRO *")</f>
        <v/>
      </c>
      <c r="BW59" s="63">
        <f>COUNTIF($D59:$BC59,"PALLIATIVE")+COUNTIF($D59:$BC59,"PALLIATIVE *")</f>
        <v/>
      </c>
      <c r="BX59" s="63">
        <f>COUNTIF($D59:$BC59,"PLASTIC")+COUNTIF($D59:$BC59,"PLASTIC *")</f>
        <v/>
      </c>
      <c r="BY59" s="63">
        <f>COUNTIF($D59:$BC59,"PULM")</f>
        <v/>
      </c>
      <c r="BZ59" s="63">
        <f>COUNTIF($D59:$BC59,"SICU")+COUNTIF($D59:$BC59,"SICU *")</f>
        <v/>
      </c>
      <c r="CA59" s="63">
        <f>COUNTIF($D59:$BC59,"DERMATOLOGY")+COUNTIF($D59:$BC59,"DERMATOLOGY *")</f>
        <v/>
      </c>
      <c r="CB59" s="86">
        <f>COUNTIF($D59:$BC59,"NEPHRO")+COUNTIF($D59:$BC59,"NEPHRO *")</f>
        <v/>
      </c>
      <c r="CC59" s="59">
        <f>SUM(BQ59:CB59)</f>
        <v/>
      </c>
      <c r="CD59" s="62">
        <f>BP59+CC59</f>
        <v/>
      </c>
    </row>
    <row r="60" ht="39" customHeight="1">
      <c r="A60" s="12" t="n"/>
      <c r="B60" s="159" t="n"/>
      <c r="C60" s="69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6" t="n"/>
      <c r="Q60" s="76" t="n"/>
      <c r="R60" s="76" t="n"/>
      <c r="S60" s="76" t="n"/>
      <c r="T60" s="73" t="n"/>
      <c r="U60" s="75" t="n"/>
      <c r="V60" s="75" t="n"/>
      <c r="W60" s="75" t="n"/>
      <c r="X60" s="76" t="n"/>
      <c r="Y60" s="76" t="n"/>
      <c r="Z60" s="76" t="n"/>
      <c r="AA60" s="76" t="n"/>
      <c r="AB60" s="76" t="n"/>
      <c r="AC60" s="76" t="n"/>
      <c r="AD60" s="76" t="n"/>
      <c r="AE60" s="76" t="n"/>
      <c r="AF60" s="76" t="n"/>
      <c r="AG60" s="76" t="n"/>
      <c r="AH60" s="76" t="n"/>
      <c r="AI60" s="76" t="n"/>
      <c r="AJ60" s="76" t="n"/>
      <c r="AK60" s="76" t="n"/>
      <c r="AL60" s="76" t="n"/>
      <c r="AM60" s="76" t="n"/>
      <c r="AN60" s="76" t="n"/>
      <c r="AO60" s="75" t="n"/>
      <c r="AP60" s="76" t="n"/>
      <c r="AQ60" s="76" t="n"/>
      <c r="AR60" s="76" t="n"/>
      <c r="AS60" s="76" t="n"/>
      <c r="AT60" s="76" t="n"/>
      <c r="AU60" s="76" t="n"/>
      <c r="AV60" s="76" t="n"/>
      <c r="AW60" s="76" t="n"/>
      <c r="AX60" s="76" t="n"/>
      <c r="AY60" s="76" t="n"/>
      <c r="AZ60" s="76" t="n"/>
      <c r="BA60" s="76" t="n"/>
      <c r="BB60" s="76" t="n"/>
      <c r="BC60" s="76" t="n"/>
      <c r="BD60" s="63">
        <f>COUNTIF($D60:$BC60,"CARDIO")+COUNTIF($D60:$BC60,"CARDIO E")+COUNTIF($D60:$BC60,"CARDIO E *")*COUNTIF($D60:$BC60,"CARDIO-HCA")+COUNTIF($D60:$BC60,"CARDIO-HCA*")+COUNTIF($D60:$BC60,"CARDIO-RAM")+COUNTIF($D60:$BC60,"CARDIO-RAM *")</f>
        <v/>
      </c>
      <c r="BE60" s="63">
        <f>COUNTIF($D60:$BC60,"CLINIC")+COUNTIF($D60:$BC60,"CLINIC*")+COUNTIF($D60:$BC60,"INR CLINIC")+COUNTIF($D60:$BC60,"INR CLINIC *")+COUNTIF($D60:$BC60,"URGENT CARE")+COUNTIF($D60:$BC60,"URGENT CARE *")</f>
        <v/>
      </c>
      <c r="BF60" s="63">
        <f>COUNTIF($D60:$BC60,"ED")</f>
        <v/>
      </c>
      <c r="BG60" s="63">
        <f>COUNTIF($D60:$BC60,"A")+COUNTIF($D60:$BC60,"B")+COUNTIF($D60:$BC60,"C")+COUNTIF($D60:$BC60,"D")+COUNTIF($D60:$BC60,"G")</f>
        <v/>
      </c>
      <c r="BH60" s="63">
        <f>COUNTIF($D60:$BC60,"ICU")</f>
        <v/>
      </c>
      <c r="BI60" s="63">
        <f>COUNTIF($D60:$BC60,"ICU E")</f>
        <v/>
      </c>
      <c r="BJ60" s="63">
        <f>COUNTIF($D60:$BC60,"ICU N")</f>
        <v/>
      </c>
      <c r="BK60" s="63">
        <f>COUNTIF($D60:$BC60,"ID")+COUNTIF($D60:$BC60,"ID *")</f>
        <v/>
      </c>
      <c r="BL60" s="63">
        <f>COUNTIF($D60:$BC60,"NEURO")+COUNTIF($D60:$BC60,"NEURO *")</f>
        <v/>
      </c>
      <c r="BM60" s="63">
        <f>COUNTIF($D60:$BC60,"NF")</f>
        <v/>
      </c>
      <c r="BN60" s="63">
        <f>COUNTIF($D60:$BC60,"SWING")</f>
        <v/>
      </c>
      <c r="BO60" s="63">
        <f>COUNTIF($D60:$BC60,"VACATION")</f>
        <v/>
      </c>
      <c r="BP60" s="23">
        <f>SUM(BD60:BO60)</f>
        <v/>
      </c>
      <c r="BQ60" s="63">
        <f>COUNTIF($D60:$BC60,"ANESTHESIA")</f>
        <v/>
      </c>
      <c r="BR60" s="63">
        <f>COUNTIF($D60:$BC60,"GERIATRIC")+COUNTIF($D60:$BC60,"GERIATRIC 2")</f>
        <v/>
      </c>
      <c r="BS60" s="63">
        <f>COUNTIF($D60:$BC60,"GS")</f>
        <v/>
      </c>
      <c r="BT60" s="63">
        <f>COUNTIF($D60:$BC60,"HEM/ONC")+COUNTIF($D60:$BC60,"HEM/ONC *")</f>
        <v/>
      </c>
      <c r="BU60" s="63">
        <f>COUNTIF($D60:$BC60,"IR RADIOLOGY")+COUNTIF($D60:$BC60,"IR RADIOLOGY *")</f>
        <v/>
      </c>
      <c r="BV60" s="63">
        <f>COUNTIF($D60:$BC60,"NEPHRO")+COUNTIF($D60:$BC60,"NEPHRO *")</f>
        <v/>
      </c>
      <c r="BW60" s="63">
        <f>COUNTIF($D60:$BC60,"PALLIATIVE")+COUNTIF($D60:$BC60,"PALLIATIVE *")</f>
        <v/>
      </c>
      <c r="BX60" s="63">
        <f>COUNTIF($D60:$BC60,"PLASTIC")+COUNTIF($D60:$BC60,"PLASTIC *")</f>
        <v/>
      </c>
      <c r="BY60" s="63">
        <f>COUNTIF($D60:$BC60,"PULM")</f>
        <v/>
      </c>
      <c r="BZ60" s="63">
        <f>COUNTIF($D60:$BC60,"SICU")+COUNTIF($D60:$BC60,"SICU *")</f>
        <v/>
      </c>
      <c r="CA60" s="63">
        <f>COUNTIF($D60:$BC60,"DERMATOLOGY")+COUNTIF($D60:$BC60,"DERMATOLOGY *")</f>
        <v/>
      </c>
      <c r="CB60" s="86">
        <f>COUNTIF($D60:$BC60,"NEPHRO")+COUNTIF($D60:$BC60,"NEPHRO *")</f>
        <v/>
      </c>
      <c r="CC60" s="59">
        <f>SUM(BQ60:CB60)</f>
        <v/>
      </c>
      <c r="CD60" s="62">
        <f>BP60+CC60</f>
        <v/>
      </c>
    </row>
    <row r="61" ht="39" customHeight="1">
      <c r="A61" s="8" t="n"/>
      <c r="B61" s="13" t="n"/>
      <c r="C61" s="69" t="n"/>
      <c r="D61" s="75" t="n"/>
      <c r="E61" s="75" t="n"/>
      <c r="F61" s="75" t="n"/>
      <c r="G61" s="75" t="n"/>
      <c r="H61" s="75" t="n"/>
      <c r="I61" s="75" t="n"/>
      <c r="J61" s="75" t="n"/>
      <c r="K61" s="73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6" t="n"/>
      <c r="U61" s="76" t="n"/>
      <c r="V61" s="76" t="n"/>
      <c r="W61" s="76" t="n"/>
      <c r="X61" s="76" t="n"/>
      <c r="Y61" s="76" t="n"/>
      <c r="Z61" s="76" t="n"/>
      <c r="AA61" s="76" t="n"/>
      <c r="AB61" s="76" t="n"/>
      <c r="AC61" s="76" t="n"/>
      <c r="AD61" s="76" t="n"/>
      <c r="AE61" s="76" t="n"/>
      <c r="AF61" s="75" t="n"/>
      <c r="AG61" s="75" t="n"/>
      <c r="AH61" s="76" t="n"/>
      <c r="AI61" s="76" t="n"/>
      <c r="AJ61" s="76" t="n"/>
      <c r="AK61" s="76" t="n"/>
      <c r="AL61" s="76" t="n"/>
      <c r="AM61" s="76" t="n"/>
      <c r="AN61" s="76" t="n"/>
      <c r="AO61" s="76" t="n"/>
      <c r="AP61" s="75" t="n"/>
      <c r="AQ61" s="76" t="n"/>
      <c r="AR61" s="76" t="n"/>
      <c r="AS61" s="76" t="n"/>
      <c r="AT61" s="76" t="n"/>
      <c r="AU61" s="76" t="n"/>
      <c r="AV61" s="75" t="n"/>
      <c r="AW61" s="75" t="n"/>
      <c r="AX61" s="75" t="n"/>
      <c r="AY61" s="76" t="n"/>
      <c r="AZ61" s="76" t="n"/>
      <c r="BA61" s="76" t="n"/>
      <c r="BB61" s="76" t="n"/>
      <c r="BC61" s="76" t="n"/>
      <c r="BD61" s="63">
        <f>COUNTIF($D61:$BC61,"CARDIO")+COUNTIF($D61:$BC61,"CARDIO E")+COUNTIF($D61:$BC61,"CARDIO E *")*COUNTIF($D61:$BC61,"CARDIO-HCA")+COUNTIF($D61:$BC61,"CARDIO-HCA*")+COUNTIF($D61:$BC61,"CARDIO-RAM")+COUNTIF($D61:$BC61,"CARDIO-RAM *")</f>
        <v/>
      </c>
      <c r="BE61" s="63">
        <f>COUNTIF($D61:$BC61,"CLINIC")+COUNTIF($D61:$BC61,"CLINIC*")+COUNTIF($D61:$BC61,"INR CLINIC")+COUNTIF($D61:$BC61,"INR CLINIC *")+COUNTIF($D61:$BC61,"URGENT CARE")+COUNTIF($D61:$BC61,"URGENT CARE *")</f>
        <v/>
      </c>
      <c r="BF61" s="63">
        <f>COUNTIF($D61:$BC61,"ED")</f>
        <v/>
      </c>
      <c r="BG61" s="63">
        <f>COUNTIF($D61:$BC61,"A")+COUNTIF($D61:$BC61,"B")+COUNTIF($D61:$BC61,"C")+COUNTIF($D61:$BC61,"D")+COUNTIF($D61:$BC61,"G")</f>
        <v/>
      </c>
      <c r="BH61" s="63">
        <f>COUNTIF($D61:$BC61,"ICU")</f>
        <v/>
      </c>
      <c r="BI61" s="63">
        <f>COUNTIF($D61:$BC61,"ICU E")</f>
        <v/>
      </c>
      <c r="BJ61" s="63">
        <f>COUNTIF($D61:$BC61,"ICU N")</f>
        <v/>
      </c>
      <c r="BK61" s="63">
        <f>COUNTIF($D61:$BC61,"ID")+COUNTIF($D61:$BC61,"ID *")</f>
        <v/>
      </c>
      <c r="BL61" s="63">
        <f>COUNTIF($D61:$BC61,"NEURO")+COUNTIF($D61:$BC61,"NEURO *")</f>
        <v/>
      </c>
      <c r="BM61" s="63">
        <f>COUNTIF($D61:$BC61,"NF")</f>
        <v/>
      </c>
      <c r="BN61" s="63">
        <f>COUNTIF($D61:$BC61,"SWING")</f>
        <v/>
      </c>
      <c r="BO61" s="63">
        <f>COUNTIF($D61:$BC61,"VACATION")</f>
        <v/>
      </c>
      <c r="BP61" s="23">
        <f>SUM(BD61:BO61)</f>
        <v/>
      </c>
      <c r="BQ61" s="63">
        <f>COUNTIF($D61:$BC61,"ANESTHESIA")</f>
        <v/>
      </c>
      <c r="BR61" s="63">
        <f>COUNTIF($D61:$BC61,"GERIATRIC")+COUNTIF($D61:$BC61,"GERIATRIC 2")</f>
        <v/>
      </c>
      <c r="BS61" s="63">
        <f>COUNTIF($D61:$BC61,"GS")</f>
        <v/>
      </c>
      <c r="BT61" s="63">
        <f>COUNTIF($D61:$BC61,"HEM/ONC")+COUNTIF($D61:$BC61,"HEM/ONC *")</f>
        <v/>
      </c>
      <c r="BU61" s="63">
        <f>COUNTIF($D61:$BC61,"IR RADIOLOGY")+COUNTIF($D61:$BC61,"IR RADIOLOGY *")</f>
        <v/>
      </c>
      <c r="BV61" s="63">
        <f>COUNTIF($D61:$BC61,"NEPHRO")+COUNTIF($D61:$BC61,"NEPHRO *")</f>
        <v/>
      </c>
      <c r="BW61" s="63">
        <f>COUNTIF($D61:$BC61,"PALLIATIVE")+COUNTIF($D61:$BC61,"PALLIATIVE *")</f>
        <v/>
      </c>
      <c r="BX61" s="63">
        <f>COUNTIF($D61:$BC61,"PLASTIC")+COUNTIF($D61:$BC61,"PLASTIC *")</f>
        <v/>
      </c>
      <c r="BY61" s="63">
        <f>COUNTIF($D61:$BC61,"PULM")</f>
        <v/>
      </c>
      <c r="BZ61" s="63">
        <f>COUNTIF($D61:$BC61,"SICU")+COUNTIF($D61:$BC61,"SICU *")</f>
        <v/>
      </c>
      <c r="CA61" s="63">
        <f>COUNTIF($D61:$BC61,"DERMATOLOGY")+COUNTIF($D61:$BC61,"DERMATOLOGY *")</f>
        <v/>
      </c>
      <c r="CB61" s="86">
        <f>COUNTIF($D61:$BC61,"NEPHRO")+COUNTIF($D61:$BC61,"NEPHRO *")</f>
        <v/>
      </c>
      <c r="CC61" s="59">
        <f>SUM(BQ61:CB61)</f>
        <v/>
      </c>
      <c r="CD61" s="62">
        <f>BP61+CC61</f>
        <v/>
      </c>
    </row>
    <row r="62" ht="39" customHeight="1">
      <c r="A62" s="14" t="n"/>
      <c r="B62" s="87" t="n"/>
      <c r="C62" s="15" t="n"/>
      <c r="D62" s="16" t="n"/>
      <c r="E62" s="10" t="n"/>
      <c r="F62" s="17" t="n"/>
      <c r="G62" s="17" t="n"/>
      <c r="H62" s="18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</row>
    <row r="63" ht="39" customHeight="1">
      <c r="A63" s="8" t="n"/>
      <c r="B63" s="8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19" t="n"/>
      <c r="BA63" s="19" t="n"/>
      <c r="BB63" s="19" t="n"/>
      <c r="BC63" s="19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</row>
    <row r="64" ht="39" customHeight="1">
      <c r="A64" s="8" t="n"/>
      <c r="B64" s="8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9" t="n"/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19" t="n"/>
      <c r="BA64" s="19" t="n"/>
      <c r="BB64" s="19" t="n"/>
      <c r="BC64" s="19" t="n"/>
      <c r="BD64" s="20" t="n"/>
      <c r="BE64" s="20" t="n"/>
      <c r="BF64" s="20" t="n"/>
      <c r="BG64" s="20" t="n"/>
      <c r="BH64" s="20" t="n"/>
      <c r="BI64" s="20" t="n"/>
      <c r="BJ64" s="20" t="n"/>
      <c r="BK64" s="20" t="n"/>
      <c r="BL64" s="20" t="n"/>
      <c r="BM64" s="20" t="n"/>
      <c r="BN64" s="20" t="n"/>
      <c r="BO64" s="20" t="n"/>
      <c r="BP64" s="20" t="n"/>
      <c r="BQ64" s="20" t="n"/>
      <c r="BR64" s="20" t="n"/>
      <c r="BS64" s="20" t="n"/>
      <c r="BT64" s="20" t="n"/>
      <c r="BU64" s="20" t="n"/>
      <c r="BV64" s="20" t="n"/>
      <c r="BW64" s="20" t="n"/>
      <c r="BX64" s="20" t="n"/>
      <c r="BY64" s="20" t="n"/>
      <c r="BZ64" s="20" t="n"/>
      <c r="CA64" s="20" t="n"/>
      <c r="CB64" s="20" t="n"/>
      <c r="CC64" s="20" t="n"/>
    </row>
    <row r="65" ht="39" customHeight="1">
      <c r="A65" s="8" t="n"/>
      <c r="B65" s="8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9" t="n"/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19" t="n"/>
      <c r="BA65" s="19" t="n"/>
      <c r="BB65" s="19" t="n"/>
      <c r="BC65" s="19" t="n"/>
      <c r="BD65" s="20" t="n"/>
      <c r="BE65" s="20" t="n"/>
      <c r="BF65" s="20" t="n"/>
      <c r="BG65" s="20" t="n"/>
      <c r="BH65" s="20" t="n"/>
      <c r="BI65" s="20" t="n"/>
      <c r="BJ65" s="20" t="n"/>
      <c r="BK65" s="20" t="n"/>
      <c r="BL65" s="20" t="n"/>
      <c r="BM65" s="20" t="n"/>
      <c r="BN65" s="20" t="n"/>
      <c r="BO65" s="20" t="n"/>
      <c r="BP65" s="20" t="n"/>
      <c r="BQ65" s="20" t="n"/>
      <c r="BR65" s="20" t="n"/>
      <c r="BS65" s="20" t="n"/>
      <c r="BT65" s="20" t="n"/>
      <c r="BU65" s="20" t="n"/>
      <c r="BV65" s="20" t="n"/>
      <c r="BW65" s="20" t="n"/>
      <c r="BX65" s="20" t="n"/>
      <c r="BY65" s="20" t="n"/>
      <c r="BZ65" s="20" t="n"/>
      <c r="CA65" s="20" t="n"/>
      <c r="CB65" s="20" t="n"/>
      <c r="CC65" s="20" t="n"/>
    </row>
    <row r="66" ht="39" customHeight="1">
      <c r="A66" s="8" t="n"/>
      <c r="B66" s="8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19" t="n"/>
      <c r="BA66" s="19" t="n"/>
      <c r="BB66" s="19" t="n"/>
      <c r="BC66" s="19" t="n"/>
      <c r="BD66" s="20" t="n"/>
      <c r="BE66" s="20" t="n"/>
      <c r="BF66" s="20" t="n"/>
      <c r="BG66" s="20" t="n"/>
      <c r="BH66" s="20" t="n"/>
      <c r="BI66" s="20" t="n"/>
      <c r="BJ66" s="20" t="n"/>
      <c r="BK66" s="20" t="n"/>
      <c r="BL66" s="20" t="n"/>
      <c r="BM66" s="20" t="n"/>
      <c r="BN66" s="20" t="n"/>
      <c r="BO66" s="20" t="n"/>
      <c r="BP66" s="20" t="n"/>
      <c r="BQ66" s="20" t="n"/>
      <c r="BR66" s="20" t="n"/>
      <c r="BS66" s="20" t="n"/>
      <c r="BT66" s="20" t="n"/>
      <c r="BU66" s="20" t="n"/>
      <c r="BV66" s="20" t="n"/>
      <c r="BW66" s="20" t="n"/>
      <c r="BX66" s="20" t="n"/>
      <c r="BY66" s="20" t="n"/>
      <c r="BZ66" s="20" t="n"/>
      <c r="CA66" s="20" t="n"/>
      <c r="CB66" s="20" t="n"/>
      <c r="CC66" s="20" t="n"/>
    </row>
    <row r="67" ht="39" customHeight="1">
      <c r="A67" s="8" t="n"/>
      <c r="B67" s="8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20" t="n"/>
      <c r="BE67" s="20" t="n"/>
      <c r="BF67" s="20" t="n"/>
      <c r="BG67" s="20" t="n"/>
      <c r="BH67" s="20" t="n"/>
      <c r="BI67" s="20" t="n"/>
      <c r="BJ67" s="20" t="n"/>
      <c r="BK67" s="20" t="n"/>
      <c r="BL67" s="20" t="n"/>
      <c r="BM67" s="20" t="n"/>
      <c r="BN67" s="20" t="n"/>
      <c r="BO67" s="20" t="n"/>
      <c r="BP67" s="20" t="n"/>
      <c r="BQ67" s="20" t="n"/>
      <c r="BR67" s="20" t="n"/>
      <c r="BS67" s="20" t="n"/>
      <c r="BT67" s="20" t="n"/>
      <c r="BU67" s="20" t="n"/>
      <c r="BV67" s="20" t="n"/>
      <c r="BW67" s="20" t="n"/>
      <c r="BX67" s="20" t="n"/>
      <c r="BY67" s="20" t="n"/>
      <c r="BZ67" s="20" t="n"/>
      <c r="CA67" s="20" t="n"/>
      <c r="CB67" s="20" t="n"/>
      <c r="CC67" s="20" t="n"/>
    </row>
    <row r="68" ht="39" customHeight="1">
      <c r="A68" s="8" t="n"/>
      <c r="B68" s="8" t="n"/>
      <c r="C68" s="19" t="n"/>
      <c r="D68" s="19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11" t="n"/>
      <c r="AS68" s="8" t="n"/>
      <c r="AT68" s="8" t="n"/>
      <c r="AU68" s="8" t="n"/>
      <c r="AV68" s="8" t="n"/>
      <c r="AW68" s="8" t="n"/>
      <c r="AX68" s="8" t="n"/>
      <c r="AY68" s="11" t="n"/>
      <c r="AZ68" s="8" t="n"/>
      <c r="BA68" s="8" t="n"/>
      <c r="BB68" s="8" t="n"/>
      <c r="BC68" s="8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  <c r="BM68" s="20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20" t="n"/>
      <c r="BX68" s="20" t="n"/>
      <c r="BY68" s="20" t="n"/>
      <c r="BZ68" s="20" t="n"/>
      <c r="CA68" s="20" t="n"/>
      <c r="CB68" s="20" t="n"/>
      <c r="CC68" s="20" t="n"/>
    </row>
    <row r="69" ht="39" customHeight="1">
      <c r="A69" s="8" t="n"/>
      <c r="B69" s="8" t="n"/>
      <c r="C69" s="19" t="n"/>
      <c r="D69" s="19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11" t="n"/>
      <c r="AS69" s="8" t="n"/>
      <c r="AT69" s="8" t="n"/>
      <c r="AU69" s="8" t="n"/>
      <c r="AV69" s="8" t="n"/>
      <c r="AW69" s="8" t="n"/>
      <c r="AX69" s="8" t="n"/>
      <c r="AY69" s="11" t="n"/>
      <c r="AZ69" s="8" t="n"/>
      <c r="BA69" s="8" t="n"/>
      <c r="BB69" s="8" t="n"/>
      <c r="BC69" s="8" t="n"/>
      <c r="BD69" s="20" t="n"/>
      <c r="BE69" s="20" t="n"/>
      <c r="BF69" s="20" t="n"/>
      <c r="BG69" s="20" t="n"/>
      <c r="BH69" s="20" t="n"/>
      <c r="BI69" s="20" t="n"/>
      <c r="BJ69" s="20" t="n"/>
      <c r="BK69" s="20" t="n"/>
      <c r="BL69" s="20" t="n"/>
      <c r="BM69" s="20" t="n"/>
      <c r="BN69" s="20" t="n"/>
      <c r="BO69" s="20" t="n"/>
      <c r="BP69" s="20" t="n"/>
      <c r="BQ69" s="20" t="n"/>
      <c r="BR69" s="20" t="n"/>
      <c r="BS69" s="20" t="n"/>
      <c r="BT69" s="20" t="n"/>
      <c r="BU69" s="20" t="n"/>
      <c r="BV69" s="20" t="n"/>
      <c r="BW69" s="20" t="n"/>
      <c r="BX69" s="20" t="n"/>
      <c r="BY69" s="20" t="n"/>
      <c r="BZ69" s="20" t="n"/>
      <c r="CA69" s="20" t="n"/>
      <c r="CB69" s="20" t="n"/>
      <c r="CC69" s="20" t="n"/>
    </row>
    <row r="70" ht="39" customHeight="1">
      <c r="A70" s="8" t="n"/>
      <c r="B70" s="8" t="n"/>
      <c r="C70" s="19" t="n"/>
      <c r="D70" s="19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11" t="n"/>
      <c r="AS70" s="8" t="n"/>
      <c r="AT70" s="8" t="n"/>
      <c r="AU70" s="8" t="n"/>
      <c r="AV70" s="8" t="n"/>
      <c r="AW70" s="8" t="n"/>
      <c r="AX70" s="8" t="n"/>
      <c r="AY70" s="11" t="n"/>
      <c r="AZ70" s="8" t="n"/>
      <c r="BA70" s="8" t="n"/>
      <c r="BB70" s="8" t="n"/>
      <c r="BC70" s="8" t="n"/>
      <c r="BD70" s="20" t="n"/>
      <c r="BE70" s="20" t="n"/>
      <c r="BF70" s="20" t="n"/>
      <c r="BG70" s="20" t="n"/>
      <c r="BH70" s="20" t="n"/>
      <c r="BI70" s="20" t="n"/>
      <c r="BJ70" s="20" t="n"/>
      <c r="BK70" s="20" t="n"/>
      <c r="BL70" s="20" t="n"/>
      <c r="BM70" s="20" t="n"/>
      <c r="BN70" s="20" t="n"/>
      <c r="BO70" s="20" t="n"/>
      <c r="BP70" s="20" t="n"/>
      <c r="BQ70" s="20" t="n"/>
      <c r="BR70" s="20" t="n"/>
      <c r="BS70" s="20" t="n"/>
      <c r="BT70" s="20" t="n"/>
      <c r="BU70" s="20" t="n"/>
      <c r="BV70" s="20" t="n"/>
      <c r="BW70" s="20" t="n"/>
      <c r="BX70" s="20" t="n"/>
      <c r="BY70" s="20" t="n"/>
      <c r="BZ70" s="20" t="n"/>
      <c r="CA70" s="20" t="n"/>
      <c r="CB70" s="20" t="n"/>
      <c r="CC70" s="20" t="n"/>
    </row>
    <row r="71" ht="39" customHeight="1">
      <c r="A71" s="8" t="n"/>
      <c r="B71" s="8" t="n"/>
      <c r="C71" s="19" t="n"/>
      <c r="D71" s="19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11" t="n"/>
      <c r="AS71" s="8" t="n"/>
      <c r="AT71" s="8" t="n"/>
      <c r="AU71" s="8" t="n"/>
      <c r="AV71" s="8" t="n"/>
      <c r="AW71" s="8" t="n"/>
      <c r="AX71" s="8" t="n"/>
      <c r="AY71" s="11" t="n"/>
      <c r="AZ71" s="8" t="n"/>
      <c r="BA71" s="8" t="n"/>
      <c r="BB71" s="8" t="n"/>
      <c r="BC71" s="8" t="n"/>
      <c r="BD71" s="20" t="n"/>
      <c r="BE71" s="20" t="n"/>
      <c r="BF71" s="20" t="n"/>
      <c r="BG71" s="20" t="n"/>
      <c r="BH71" s="20" t="n"/>
      <c r="BI71" s="20" t="n"/>
      <c r="BJ71" s="20" t="n"/>
      <c r="BK71" s="20" t="n"/>
      <c r="BL71" s="20" t="n"/>
      <c r="BM71" s="20" t="n"/>
      <c r="BN71" s="20" t="n"/>
      <c r="BO71" s="20" t="n"/>
      <c r="BP71" s="20" t="n"/>
      <c r="BQ71" s="20" t="n"/>
      <c r="BR71" s="20" t="n"/>
      <c r="BS71" s="20" t="n"/>
      <c r="BT71" s="20" t="n"/>
      <c r="BU71" s="20" t="n"/>
      <c r="BV71" s="20" t="n"/>
      <c r="BW71" s="20" t="n"/>
      <c r="BX71" s="20" t="n"/>
      <c r="BY71" s="20" t="n"/>
      <c r="BZ71" s="20" t="n"/>
      <c r="CA71" s="20" t="n"/>
      <c r="CB71" s="20" t="n"/>
      <c r="CC71" s="20" t="n"/>
    </row>
    <row r="72" ht="39" customHeight="1">
      <c r="A72" s="8" t="n"/>
      <c r="B72" s="8" t="n"/>
      <c r="C72" s="19" t="n"/>
      <c r="D72" s="19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11" t="n"/>
      <c r="AS72" s="8" t="n"/>
      <c r="AT72" s="8" t="n"/>
      <c r="AU72" s="8" t="n"/>
      <c r="AV72" s="8" t="n"/>
      <c r="AW72" s="8" t="n"/>
      <c r="AX72" s="8" t="n"/>
      <c r="AY72" s="11" t="n"/>
      <c r="AZ72" s="8" t="n"/>
      <c r="BA72" s="8" t="n"/>
      <c r="BB72" s="8" t="n"/>
      <c r="BC72" s="8" t="n"/>
      <c r="BD72" s="20" t="n"/>
      <c r="BE72" s="20" t="n"/>
      <c r="BF72" s="20" t="n"/>
      <c r="BG72" s="20" t="n"/>
      <c r="BH72" s="20" t="n"/>
      <c r="BI72" s="20" t="n"/>
      <c r="BJ72" s="20" t="n"/>
      <c r="BK72" s="20" t="n"/>
      <c r="BL72" s="20" t="n"/>
      <c r="BM72" s="20" t="n"/>
      <c r="BN72" s="20" t="n"/>
      <c r="BO72" s="20" t="n"/>
      <c r="BP72" s="20" t="n"/>
      <c r="BQ72" s="20" t="n"/>
      <c r="BR72" s="20" t="n"/>
      <c r="BS72" s="20" t="n"/>
      <c r="BT72" s="20" t="n"/>
      <c r="BU72" s="20" t="n"/>
      <c r="BV72" s="20" t="n"/>
      <c r="BW72" s="20" t="n"/>
      <c r="BX72" s="20" t="n"/>
      <c r="BY72" s="20" t="n"/>
      <c r="BZ72" s="20" t="n"/>
      <c r="CA72" s="20" t="n"/>
      <c r="CB72" s="20" t="n"/>
      <c r="CC72" s="20" t="n"/>
    </row>
    <row r="73" ht="39" customHeight="1">
      <c r="A73" s="8" t="n"/>
      <c r="B73" s="8" t="n"/>
      <c r="C73" s="19" t="n"/>
      <c r="D73" s="19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11" t="n"/>
      <c r="AS73" s="8" t="n"/>
      <c r="AT73" s="8" t="n"/>
      <c r="AU73" s="8" t="n"/>
      <c r="AV73" s="8" t="n"/>
      <c r="AW73" s="8" t="n"/>
      <c r="AX73" s="8" t="n"/>
      <c r="AY73" s="11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</row>
    <row r="74" ht="39" customHeight="1">
      <c r="A74" s="8" t="n"/>
      <c r="B74" s="8" t="n"/>
      <c r="C74" s="19" t="n"/>
      <c r="D74" s="19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11" t="n"/>
      <c r="AS74" s="8" t="n"/>
      <c r="AT74" s="8" t="n"/>
      <c r="AU74" s="8" t="n"/>
      <c r="AV74" s="8" t="n"/>
      <c r="AW74" s="8" t="n"/>
      <c r="AX74" s="8" t="n"/>
      <c r="AY74" s="11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</row>
    <row r="75" ht="39" customHeight="1">
      <c r="A75" s="8" t="n"/>
      <c r="B75" s="8" t="n"/>
      <c r="C75" s="19" t="n"/>
      <c r="D75" s="19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11" t="n"/>
      <c r="AS75" s="8" t="n"/>
      <c r="AT75" s="8" t="n"/>
      <c r="AU75" s="8" t="n"/>
      <c r="AV75" s="8" t="n"/>
      <c r="AW75" s="8" t="n"/>
      <c r="AX75" s="8" t="n"/>
      <c r="AY75" s="11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</row>
    <row r="76" ht="39" customHeight="1">
      <c r="A76" s="8" t="n"/>
      <c r="B76" s="8" t="n"/>
      <c r="C76" s="19" t="n"/>
      <c r="D76" s="19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11" t="n"/>
      <c r="AS76" s="8" t="n"/>
      <c r="AT76" s="8" t="n"/>
      <c r="AU76" s="8" t="n"/>
      <c r="AV76" s="8" t="n"/>
      <c r="AW76" s="8" t="n"/>
      <c r="AX76" s="8" t="n"/>
      <c r="AY76" s="11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</row>
    <row r="77" ht="39" customHeight="1">
      <c r="A77" s="8" t="n"/>
      <c r="B77" s="8" t="n"/>
      <c r="C77" s="19" t="n"/>
      <c r="D77" s="19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11" t="n"/>
      <c r="AS77" s="8" t="n"/>
      <c r="AT77" s="8" t="n"/>
      <c r="AU77" s="8" t="n"/>
      <c r="AV77" s="8" t="n"/>
      <c r="AW77" s="8" t="n"/>
      <c r="AX77" s="8" t="n"/>
      <c r="AY77" s="11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</row>
    <row r="78" ht="39" customHeight="1">
      <c r="A78" s="8" t="n"/>
      <c r="B78" s="8" t="n"/>
      <c r="C78" s="19" t="n"/>
      <c r="D78" s="19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11" t="n"/>
      <c r="AS78" s="8" t="n"/>
      <c r="AT78" s="8" t="n"/>
      <c r="AU78" s="8" t="n"/>
      <c r="AV78" s="8" t="n"/>
      <c r="AW78" s="8" t="n"/>
      <c r="AX78" s="8" t="n"/>
      <c r="AY78" s="11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</row>
    <row r="79" ht="39" customHeight="1">
      <c r="A79" s="8" t="n"/>
      <c r="B79" s="8" t="n"/>
      <c r="C79" s="19" t="n"/>
      <c r="D79" s="19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11" t="n"/>
      <c r="AS79" s="8" t="n"/>
      <c r="AT79" s="8" t="n"/>
      <c r="AU79" s="8" t="n"/>
      <c r="AV79" s="8" t="n"/>
      <c r="AW79" s="8" t="n"/>
      <c r="AX79" s="8" t="n"/>
      <c r="AY79" s="11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</row>
    <row r="80" ht="39" customHeight="1">
      <c r="A80" s="8" t="n"/>
      <c r="B80" s="8" t="n"/>
      <c r="C80" s="19" t="n"/>
      <c r="D80" s="19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11" t="n"/>
      <c r="AS80" s="8" t="n"/>
      <c r="AT80" s="8" t="n"/>
      <c r="AU80" s="8" t="n"/>
      <c r="AV80" s="8" t="n"/>
      <c r="AW80" s="8" t="n"/>
      <c r="AX80" s="8" t="n"/>
      <c r="AY80" s="11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</row>
    <row r="81" ht="39" customHeight="1">
      <c r="A81" s="8" t="n"/>
      <c r="B81" s="8" t="n"/>
      <c r="C81" s="19" t="n"/>
      <c r="D81" s="19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11" t="n"/>
      <c r="AS81" s="8" t="n"/>
      <c r="AT81" s="8" t="n"/>
      <c r="AU81" s="8" t="n"/>
      <c r="AV81" s="8" t="n"/>
      <c r="AW81" s="8" t="n"/>
      <c r="AX81" s="8" t="n"/>
      <c r="AY81" s="11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</row>
    <row r="82" ht="39" customHeight="1">
      <c r="A82" s="8" t="n"/>
      <c r="B82" s="8" t="n"/>
      <c r="C82" s="19" t="n"/>
      <c r="D82" s="19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11" t="n"/>
      <c r="AS82" s="8" t="n"/>
      <c r="AT82" s="8" t="n"/>
      <c r="AU82" s="8" t="n"/>
      <c r="AV82" s="8" t="n"/>
      <c r="AW82" s="8" t="n"/>
      <c r="AX82" s="8" t="n"/>
      <c r="AY82" s="11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</row>
    <row r="83" ht="39" customHeight="1">
      <c r="A83" s="8" t="n"/>
      <c r="B83" s="8" t="n"/>
      <c r="C83" s="19" t="n"/>
      <c r="D83" s="19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11" t="n"/>
      <c r="AS83" s="8" t="n"/>
      <c r="AT83" s="8" t="n"/>
      <c r="AU83" s="8" t="n"/>
      <c r="AV83" s="8" t="n"/>
      <c r="AW83" s="8" t="n"/>
      <c r="AX83" s="8" t="n"/>
      <c r="AY83" s="11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</row>
    <row r="84" ht="39" customHeight="1">
      <c r="A84" s="8" t="n"/>
      <c r="B84" s="8" t="n"/>
      <c r="C84" s="19" t="n"/>
      <c r="D84" s="19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11" t="n"/>
      <c r="AS84" s="8" t="n"/>
      <c r="AT84" s="8" t="n"/>
      <c r="AU84" s="8" t="n"/>
      <c r="AV84" s="8" t="n"/>
      <c r="AW84" s="8" t="n"/>
      <c r="AX84" s="8" t="n"/>
      <c r="AY84" s="11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</row>
    <row r="85" ht="39" customHeight="1">
      <c r="A85" s="8" t="n"/>
      <c r="B85" s="8" t="n"/>
      <c r="C85" s="19" t="n"/>
      <c r="D85" s="19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11" t="n"/>
      <c r="AS85" s="8" t="n"/>
      <c r="AT85" s="8" t="n"/>
      <c r="AU85" s="8" t="n"/>
      <c r="AV85" s="8" t="n"/>
      <c r="AW85" s="8" t="n"/>
      <c r="AX85" s="8" t="n"/>
      <c r="AY85" s="11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</row>
    <row r="86" ht="39" customHeight="1">
      <c r="A86" s="8" t="n"/>
      <c r="B86" s="8" t="n"/>
      <c r="C86" s="19" t="n"/>
      <c r="D86" s="19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11" t="n"/>
      <c r="AS86" s="8" t="n"/>
      <c r="AT86" s="8" t="n"/>
      <c r="AU86" s="8" t="n"/>
      <c r="AV86" s="8" t="n"/>
      <c r="AW86" s="8" t="n"/>
      <c r="AX86" s="8" t="n"/>
      <c r="AY86" s="11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</row>
    <row r="87" ht="39" customHeight="1">
      <c r="A87" s="8" t="n"/>
      <c r="B87" s="8" t="n"/>
      <c r="C87" s="19" t="n"/>
      <c r="D87" s="19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11" t="n"/>
      <c r="AS87" s="8" t="n"/>
      <c r="AT87" s="8" t="n"/>
      <c r="AU87" s="8" t="n"/>
      <c r="AV87" s="8" t="n"/>
      <c r="AW87" s="8" t="n"/>
      <c r="AX87" s="8" t="n"/>
      <c r="AY87" s="11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</row>
    <row r="88" ht="39" customHeight="1">
      <c r="A88" s="8" t="n"/>
      <c r="B88" s="8" t="n"/>
      <c r="C88" s="19" t="n"/>
      <c r="D88" s="19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11" t="n"/>
      <c r="AS88" s="8" t="n"/>
      <c r="AT88" s="8" t="n"/>
      <c r="AU88" s="8" t="n"/>
      <c r="AV88" s="8" t="n"/>
      <c r="AW88" s="8" t="n"/>
      <c r="AX88" s="8" t="n"/>
      <c r="AY88" s="11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</row>
    <row r="89" ht="39" customHeight="1">
      <c r="A89" s="8" t="n"/>
      <c r="B89" s="8" t="n"/>
      <c r="C89" s="19" t="n"/>
      <c r="D89" s="19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11" t="n"/>
      <c r="AS89" s="8" t="n"/>
      <c r="AT89" s="8" t="n"/>
      <c r="AU89" s="8" t="n"/>
      <c r="AV89" s="8" t="n"/>
      <c r="AW89" s="8" t="n"/>
      <c r="AX89" s="8" t="n"/>
      <c r="AY89" s="11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</row>
    <row r="90" ht="39" customHeight="1">
      <c r="A90" s="8" t="n"/>
      <c r="B90" s="8" t="n"/>
      <c r="C90" s="19" t="n"/>
      <c r="D90" s="19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11" t="n"/>
      <c r="AS90" s="8" t="n"/>
      <c r="AT90" s="8" t="n"/>
      <c r="AU90" s="8" t="n"/>
      <c r="AV90" s="8" t="n"/>
      <c r="AW90" s="8" t="n"/>
      <c r="AX90" s="8" t="n"/>
      <c r="AY90" s="11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</row>
    <row r="91" ht="39" customHeight="1">
      <c r="A91" s="8" t="n"/>
      <c r="B91" s="8" t="n"/>
      <c r="C91" s="19" t="n"/>
      <c r="D91" s="19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11" t="n"/>
      <c r="AS91" s="8" t="n"/>
      <c r="AT91" s="8" t="n"/>
      <c r="AU91" s="8" t="n"/>
      <c r="AV91" s="8" t="n"/>
      <c r="AW91" s="8" t="n"/>
      <c r="AX91" s="8" t="n"/>
      <c r="AY91" s="11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</row>
    <row r="92" ht="39" customHeight="1">
      <c r="A92" s="8" t="n"/>
      <c r="B92" s="8" t="n"/>
      <c r="C92" s="19" t="n"/>
      <c r="D92" s="19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11" t="n"/>
      <c r="AS92" s="8" t="n"/>
      <c r="AT92" s="8" t="n"/>
      <c r="AU92" s="8" t="n"/>
      <c r="AV92" s="8" t="n"/>
      <c r="AW92" s="8" t="n"/>
      <c r="AX92" s="8" t="n"/>
      <c r="AY92" s="11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</row>
    <row r="93" ht="39" customHeight="1">
      <c r="A93" s="8" t="n"/>
      <c r="B93" s="8" t="n"/>
      <c r="C93" s="19" t="n"/>
      <c r="D93" s="19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11" t="n"/>
      <c r="AS93" s="8" t="n"/>
      <c r="AT93" s="8" t="n"/>
      <c r="AU93" s="8" t="n"/>
      <c r="AV93" s="8" t="n"/>
      <c r="AW93" s="8" t="n"/>
      <c r="AX93" s="8" t="n"/>
      <c r="AY93" s="11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</row>
    <row r="94">
      <c r="A94" s="8" t="n"/>
      <c r="B94" s="8" t="n"/>
      <c r="C94" s="19" t="n"/>
      <c r="D94" s="19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11" t="n"/>
      <c r="AS94" s="8" t="n"/>
      <c r="AT94" s="8" t="n"/>
      <c r="AU94" s="8" t="n"/>
      <c r="AV94" s="8" t="n"/>
      <c r="AW94" s="8" t="n"/>
      <c r="AX94" s="8" t="n"/>
      <c r="AY94" s="11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</row>
    <row r="95">
      <c r="A95" s="8" t="n"/>
      <c r="B95" s="8" t="n"/>
      <c r="C95" s="19" t="n"/>
      <c r="D95" s="19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11" t="n"/>
      <c r="AS95" s="8" t="n"/>
      <c r="AT95" s="8" t="n"/>
      <c r="AU95" s="8" t="n"/>
      <c r="AV95" s="8" t="n"/>
      <c r="AW95" s="8" t="n"/>
      <c r="AX95" s="8" t="n"/>
      <c r="AY95" s="11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</row>
    <row r="96">
      <c r="A96" s="8" t="n"/>
      <c r="B96" s="8" t="n"/>
      <c r="C96" s="19" t="n"/>
      <c r="D96" s="19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11" t="n"/>
      <c r="AS96" s="8" t="n"/>
      <c r="AT96" s="8" t="n"/>
      <c r="AU96" s="8" t="n"/>
      <c r="AV96" s="8" t="n"/>
      <c r="AW96" s="8" t="n"/>
      <c r="AX96" s="8" t="n"/>
      <c r="AY96" s="11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</row>
    <row r="97">
      <c r="A97" s="8" t="n"/>
      <c r="B97" s="8" t="n"/>
      <c r="C97" s="19" t="n"/>
      <c r="D97" s="19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11" t="n"/>
      <c r="AS97" s="8" t="n"/>
      <c r="AT97" s="8" t="n"/>
      <c r="AU97" s="8" t="n"/>
      <c r="AV97" s="8" t="n"/>
      <c r="AW97" s="8" t="n"/>
      <c r="AX97" s="8" t="n"/>
      <c r="AY97" s="11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</row>
    <row r="98">
      <c r="A98" s="8" t="n"/>
      <c r="B98" s="8" t="n"/>
      <c r="C98" s="19" t="n"/>
      <c r="D98" s="19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11" t="n"/>
      <c r="AS98" s="8" t="n"/>
      <c r="AT98" s="8" t="n"/>
      <c r="AU98" s="8" t="n"/>
      <c r="AV98" s="8" t="n"/>
      <c r="AW98" s="8" t="n"/>
      <c r="AX98" s="8" t="n"/>
      <c r="AY98" s="11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</row>
    <row r="99">
      <c r="A99" s="8" t="n"/>
      <c r="B99" s="8" t="n"/>
      <c r="C99" s="19" t="n"/>
      <c r="D99" s="19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11" t="n"/>
      <c r="AS99" s="8" t="n"/>
      <c r="AT99" s="8" t="n"/>
      <c r="AU99" s="8" t="n"/>
      <c r="AV99" s="8" t="n"/>
      <c r="AW99" s="8" t="n"/>
      <c r="AX99" s="8" t="n"/>
      <c r="AY99" s="11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</row>
    <row r="100">
      <c r="A100" s="8" t="n"/>
      <c r="B100" s="8" t="n"/>
      <c r="C100" s="19" t="n"/>
      <c r="D100" s="19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11" t="n"/>
      <c r="AS100" s="8" t="n"/>
      <c r="AT100" s="8" t="n"/>
      <c r="AU100" s="8" t="n"/>
      <c r="AV100" s="8" t="n"/>
      <c r="AW100" s="8" t="n"/>
      <c r="AX100" s="8" t="n"/>
      <c r="AY100" s="11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</row>
    <row r="101">
      <c r="A101" s="8" t="n"/>
      <c r="B101" s="8" t="n"/>
      <c r="C101" s="19" t="n"/>
      <c r="D101" s="19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11" t="n"/>
      <c r="AS101" s="8" t="n"/>
      <c r="AT101" s="8" t="n"/>
      <c r="AU101" s="8" t="n"/>
      <c r="AV101" s="8" t="n"/>
      <c r="AW101" s="8" t="n"/>
      <c r="AX101" s="8" t="n"/>
      <c r="AY101" s="11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</row>
    <row r="102">
      <c r="A102" s="8" t="n"/>
      <c r="B102" s="8" t="n"/>
      <c r="C102" s="19" t="n"/>
      <c r="D102" s="19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11" t="n"/>
      <c r="AS102" s="8" t="n"/>
      <c r="AT102" s="8" t="n"/>
      <c r="AU102" s="8" t="n"/>
      <c r="AV102" s="8" t="n"/>
      <c r="AW102" s="8" t="n"/>
      <c r="AX102" s="8" t="n"/>
      <c r="AY102" s="11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</row>
    <row r="103">
      <c r="A103" s="8" t="n"/>
      <c r="B103" s="8" t="n"/>
      <c r="C103" s="19" t="n"/>
      <c r="D103" s="19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11" t="n"/>
      <c r="AS103" s="8" t="n"/>
      <c r="AT103" s="8" t="n"/>
      <c r="AU103" s="8" t="n"/>
      <c r="AV103" s="8" t="n"/>
      <c r="AW103" s="8" t="n"/>
      <c r="AX103" s="8" t="n"/>
      <c r="AY103" s="11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</row>
    <row r="104">
      <c r="A104" s="8" t="n"/>
      <c r="B104" s="8" t="n"/>
      <c r="C104" s="19" t="n"/>
      <c r="D104" s="19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11" t="n"/>
      <c r="AS104" s="8" t="n"/>
      <c r="AT104" s="8" t="n"/>
      <c r="AU104" s="8" t="n"/>
      <c r="AV104" s="8" t="n"/>
      <c r="AW104" s="8" t="n"/>
      <c r="AX104" s="8" t="n"/>
      <c r="AY104" s="11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</row>
    <row r="105">
      <c r="A105" s="8" t="n"/>
      <c r="B105" s="8" t="n"/>
      <c r="C105" s="19" t="n"/>
      <c r="D105" s="19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11" t="n"/>
      <c r="AS105" s="8" t="n"/>
      <c r="AT105" s="8" t="n"/>
      <c r="AU105" s="8" t="n"/>
      <c r="AV105" s="8" t="n"/>
      <c r="AW105" s="8" t="n"/>
      <c r="AX105" s="8" t="n"/>
      <c r="AY105" s="11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</row>
    <row r="106">
      <c r="A106" s="8" t="n"/>
      <c r="B106" s="8" t="n"/>
      <c r="C106" s="19" t="n"/>
      <c r="D106" s="19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11" t="n"/>
      <c r="AS106" s="8" t="n"/>
      <c r="AT106" s="8" t="n"/>
      <c r="AU106" s="8" t="n"/>
      <c r="AV106" s="8" t="n"/>
      <c r="AW106" s="8" t="n"/>
      <c r="AX106" s="8" t="n"/>
      <c r="AY106" s="11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</row>
    <row r="107">
      <c r="A107" s="8" t="n"/>
      <c r="B107" s="8" t="n"/>
      <c r="C107" s="19" t="n"/>
      <c r="D107" s="19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11" t="n"/>
      <c r="AS107" s="8" t="n"/>
      <c r="AT107" s="8" t="n"/>
      <c r="AU107" s="8" t="n"/>
      <c r="AV107" s="8" t="n"/>
      <c r="AW107" s="8" t="n"/>
      <c r="AX107" s="8" t="n"/>
      <c r="AY107" s="11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</row>
    <row r="108">
      <c r="A108" s="8" t="n"/>
      <c r="B108" s="8" t="n"/>
      <c r="C108" s="19" t="n"/>
      <c r="D108" s="19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11" t="n"/>
      <c r="AS108" s="8" t="n"/>
      <c r="AT108" s="8" t="n"/>
      <c r="AU108" s="8" t="n"/>
      <c r="AV108" s="8" t="n"/>
      <c r="AW108" s="8" t="n"/>
      <c r="AX108" s="8" t="n"/>
      <c r="AY108" s="11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</row>
    <row r="109">
      <c r="A109" s="8" t="n"/>
      <c r="B109" s="8" t="n"/>
      <c r="C109" s="19" t="n"/>
      <c r="D109" s="19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11" t="n"/>
      <c r="AS109" s="8" t="n"/>
      <c r="AT109" s="8" t="n"/>
      <c r="AU109" s="8" t="n"/>
      <c r="AV109" s="8" t="n"/>
      <c r="AW109" s="8" t="n"/>
      <c r="AX109" s="8" t="n"/>
      <c r="AY109" s="11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</row>
    <row r="110">
      <c r="A110" s="8" t="n"/>
      <c r="B110" s="8" t="n"/>
      <c r="C110" s="19" t="n"/>
      <c r="D110" s="19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11" t="n"/>
      <c r="AS110" s="8" t="n"/>
      <c r="AT110" s="8" t="n"/>
      <c r="AU110" s="8" t="n"/>
      <c r="AV110" s="8" t="n"/>
      <c r="AW110" s="8" t="n"/>
      <c r="AX110" s="8" t="n"/>
      <c r="AY110" s="11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</row>
    <row r="111">
      <c r="A111" s="8" t="n"/>
      <c r="B111" s="8" t="n"/>
      <c r="C111" s="19" t="n"/>
      <c r="D111" s="19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11" t="n"/>
      <c r="AS111" s="8" t="n"/>
      <c r="AT111" s="8" t="n"/>
      <c r="AU111" s="8" t="n"/>
      <c r="AV111" s="8" t="n"/>
      <c r="AW111" s="8" t="n"/>
      <c r="AX111" s="8" t="n"/>
      <c r="AY111" s="11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</row>
    <row r="112">
      <c r="A112" s="8" t="n"/>
      <c r="B112" s="8" t="n"/>
      <c r="C112" s="19" t="n"/>
      <c r="D112" s="19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11" t="n"/>
      <c r="AS112" s="8" t="n"/>
      <c r="AT112" s="8" t="n"/>
      <c r="AU112" s="8" t="n"/>
      <c r="AV112" s="8" t="n"/>
      <c r="AW112" s="8" t="n"/>
      <c r="AX112" s="8" t="n"/>
      <c r="AY112" s="11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</row>
    <row r="113">
      <c r="A113" s="8" t="n"/>
      <c r="B113" s="8" t="n"/>
      <c r="C113" s="19" t="n"/>
      <c r="D113" s="19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11" t="n"/>
      <c r="AS113" s="8" t="n"/>
      <c r="AT113" s="8" t="n"/>
      <c r="AU113" s="8" t="n"/>
      <c r="AV113" s="8" t="n"/>
      <c r="AW113" s="8" t="n"/>
      <c r="AX113" s="8" t="n"/>
      <c r="AY113" s="11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</row>
    <row r="114">
      <c r="A114" s="8" t="n"/>
      <c r="B114" s="8" t="n"/>
      <c r="C114" s="19" t="n"/>
      <c r="D114" s="19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11" t="n"/>
      <c r="AS114" s="8" t="n"/>
      <c r="AT114" s="8" t="n"/>
      <c r="AU114" s="8" t="n"/>
      <c r="AV114" s="8" t="n"/>
      <c r="AW114" s="8" t="n"/>
      <c r="AX114" s="8" t="n"/>
      <c r="AY114" s="11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</row>
    <row r="115">
      <c r="A115" s="8" t="n"/>
      <c r="B115" s="8" t="n"/>
      <c r="C115" s="19" t="n"/>
      <c r="D115" s="19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11" t="n"/>
      <c r="AS115" s="8" t="n"/>
      <c r="AT115" s="8" t="n"/>
      <c r="AU115" s="8" t="n"/>
      <c r="AV115" s="8" t="n"/>
      <c r="AW115" s="8" t="n"/>
      <c r="AX115" s="8" t="n"/>
      <c r="AY115" s="11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</row>
    <row r="116">
      <c r="A116" s="8" t="n"/>
      <c r="B116" s="8" t="n"/>
      <c r="C116" s="19" t="n"/>
      <c r="D116" s="19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11" t="n"/>
      <c r="AS116" s="8" t="n"/>
      <c r="AT116" s="8" t="n"/>
      <c r="AU116" s="8" t="n"/>
      <c r="AV116" s="8" t="n"/>
      <c r="AW116" s="8" t="n"/>
      <c r="AX116" s="8" t="n"/>
      <c r="AY116" s="11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</row>
    <row r="117">
      <c r="A117" s="8" t="n"/>
      <c r="B117" s="8" t="n"/>
      <c r="C117" s="19" t="n"/>
      <c r="D117" s="19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11" t="n"/>
      <c r="AS117" s="8" t="n"/>
      <c r="AT117" s="8" t="n"/>
      <c r="AU117" s="8" t="n"/>
      <c r="AV117" s="8" t="n"/>
      <c r="AW117" s="8" t="n"/>
      <c r="AX117" s="8" t="n"/>
      <c r="AY117" s="11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</row>
    <row r="118">
      <c r="A118" s="8" t="n"/>
      <c r="B118" s="8" t="n"/>
      <c r="C118" s="19" t="n"/>
      <c r="D118" s="19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11" t="n"/>
      <c r="AS118" s="8" t="n"/>
      <c r="AT118" s="8" t="n"/>
      <c r="AU118" s="8" t="n"/>
      <c r="AV118" s="8" t="n"/>
      <c r="AW118" s="8" t="n"/>
      <c r="AX118" s="8" t="n"/>
      <c r="AY118" s="11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</row>
    <row r="119">
      <c r="A119" s="8" t="n"/>
      <c r="B119" s="8" t="n"/>
      <c r="C119" s="19" t="n"/>
      <c r="D119" s="19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11" t="n"/>
      <c r="AS119" s="8" t="n"/>
      <c r="AT119" s="8" t="n"/>
      <c r="AU119" s="8" t="n"/>
      <c r="AV119" s="8" t="n"/>
      <c r="AW119" s="8" t="n"/>
      <c r="AX119" s="8" t="n"/>
      <c r="AY119" s="11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</row>
    <row r="120">
      <c r="A120" s="8" t="n"/>
      <c r="B120" s="8" t="n"/>
      <c r="C120" s="19" t="n"/>
      <c r="D120" s="19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11" t="n"/>
      <c r="AS120" s="8" t="n"/>
      <c r="AT120" s="8" t="n"/>
      <c r="AU120" s="8" t="n"/>
      <c r="AV120" s="8" t="n"/>
      <c r="AW120" s="8" t="n"/>
      <c r="AX120" s="8" t="n"/>
      <c r="AY120" s="11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</row>
    <row r="121">
      <c r="A121" s="8" t="n"/>
      <c r="B121" s="8" t="n"/>
      <c r="C121" s="19" t="n"/>
      <c r="D121" s="19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11" t="n"/>
      <c r="AS121" s="8" t="n"/>
      <c r="AT121" s="8" t="n"/>
      <c r="AU121" s="8" t="n"/>
      <c r="AV121" s="8" t="n"/>
      <c r="AW121" s="8" t="n"/>
      <c r="AX121" s="8" t="n"/>
      <c r="AY121" s="11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</row>
    <row r="122">
      <c r="A122" s="8" t="n"/>
      <c r="B122" s="8" t="n"/>
      <c r="C122" s="19" t="n"/>
      <c r="D122" s="19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11" t="n"/>
      <c r="AS122" s="8" t="n"/>
      <c r="AT122" s="8" t="n"/>
      <c r="AU122" s="8" t="n"/>
      <c r="AV122" s="8" t="n"/>
      <c r="AW122" s="8" t="n"/>
      <c r="AX122" s="8" t="n"/>
      <c r="AY122" s="11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</row>
    <row r="123">
      <c r="A123" s="8" t="n"/>
      <c r="B123" s="8" t="n"/>
      <c r="C123" s="19" t="n"/>
      <c r="D123" s="19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11" t="n"/>
      <c r="AS123" s="8" t="n"/>
      <c r="AT123" s="8" t="n"/>
      <c r="AU123" s="8" t="n"/>
      <c r="AV123" s="8" t="n"/>
      <c r="AW123" s="8" t="n"/>
      <c r="AX123" s="8" t="n"/>
      <c r="AY123" s="11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</row>
    <row r="124">
      <c r="A124" s="8" t="n"/>
      <c r="B124" s="8" t="n"/>
      <c r="C124" s="19" t="n"/>
      <c r="D124" s="19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11" t="n"/>
      <c r="AS124" s="8" t="n"/>
      <c r="AT124" s="8" t="n"/>
      <c r="AU124" s="8" t="n"/>
      <c r="AV124" s="8" t="n"/>
      <c r="AW124" s="8" t="n"/>
      <c r="AX124" s="8" t="n"/>
      <c r="AY124" s="11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</row>
    <row r="125">
      <c r="A125" s="8" t="n"/>
      <c r="B125" s="8" t="n"/>
      <c r="C125" s="19" t="n"/>
      <c r="D125" s="19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11" t="n"/>
      <c r="AS125" s="8" t="n"/>
      <c r="AT125" s="8" t="n"/>
      <c r="AU125" s="8" t="n"/>
      <c r="AV125" s="8" t="n"/>
      <c r="AW125" s="8" t="n"/>
      <c r="AX125" s="8" t="n"/>
      <c r="AY125" s="11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</row>
    <row r="126">
      <c r="A126" s="8" t="n"/>
      <c r="B126" s="8" t="n"/>
      <c r="C126" s="19" t="n"/>
      <c r="D126" s="19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11" t="n"/>
      <c r="AS126" s="8" t="n"/>
      <c r="AT126" s="8" t="n"/>
      <c r="AU126" s="8" t="n"/>
      <c r="AV126" s="8" t="n"/>
      <c r="AW126" s="8" t="n"/>
      <c r="AX126" s="8" t="n"/>
      <c r="AY126" s="11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</row>
    <row r="127">
      <c r="A127" s="8" t="n"/>
      <c r="B127" s="8" t="n"/>
      <c r="C127" s="19" t="n"/>
      <c r="D127" s="19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11" t="n"/>
      <c r="AS127" s="8" t="n"/>
      <c r="AT127" s="8" t="n"/>
      <c r="AU127" s="8" t="n"/>
      <c r="AV127" s="8" t="n"/>
      <c r="AW127" s="8" t="n"/>
      <c r="AX127" s="8" t="n"/>
      <c r="AY127" s="11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</row>
    <row r="128">
      <c r="A128" s="8" t="n"/>
      <c r="B128" s="8" t="n"/>
      <c r="C128" s="19" t="n"/>
      <c r="D128" s="19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11" t="n"/>
      <c r="AS128" s="8" t="n"/>
      <c r="AT128" s="8" t="n"/>
      <c r="AU128" s="8" t="n"/>
      <c r="AV128" s="8" t="n"/>
      <c r="AW128" s="8" t="n"/>
      <c r="AX128" s="8" t="n"/>
      <c r="AY128" s="11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</row>
    <row r="129">
      <c r="A129" s="8" t="n"/>
      <c r="B129" s="8" t="n"/>
      <c r="C129" s="19" t="n"/>
      <c r="D129" s="19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11" t="n"/>
      <c r="AS129" s="8" t="n"/>
      <c r="AT129" s="8" t="n"/>
      <c r="AU129" s="8" t="n"/>
      <c r="AV129" s="8" t="n"/>
      <c r="AW129" s="8" t="n"/>
      <c r="AX129" s="8" t="n"/>
      <c r="AY129" s="11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</row>
    <row r="130">
      <c r="A130" s="8" t="n"/>
      <c r="B130" s="8" t="n"/>
      <c r="C130" s="19" t="n"/>
      <c r="D130" s="19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11" t="n"/>
      <c r="AS130" s="8" t="n"/>
      <c r="AT130" s="8" t="n"/>
      <c r="AU130" s="8" t="n"/>
      <c r="AV130" s="8" t="n"/>
      <c r="AW130" s="8" t="n"/>
      <c r="AX130" s="8" t="n"/>
      <c r="AY130" s="11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</row>
    <row r="131">
      <c r="A131" s="8" t="n"/>
      <c r="B131" s="8" t="n"/>
      <c r="C131" s="19" t="n"/>
      <c r="D131" s="19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11" t="n"/>
      <c r="AS131" s="8" t="n"/>
      <c r="AT131" s="8" t="n"/>
      <c r="AU131" s="8" t="n"/>
      <c r="AV131" s="8" t="n"/>
      <c r="AW131" s="8" t="n"/>
      <c r="AX131" s="8" t="n"/>
      <c r="AY131" s="11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</row>
    <row r="132">
      <c r="A132" s="8" t="n"/>
      <c r="B132" s="8" t="n"/>
      <c r="C132" s="19" t="n"/>
      <c r="D132" s="19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11" t="n"/>
      <c r="AS132" s="8" t="n"/>
      <c r="AT132" s="8" t="n"/>
      <c r="AU132" s="8" t="n"/>
      <c r="AV132" s="8" t="n"/>
      <c r="AW132" s="8" t="n"/>
      <c r="AX132" s="8" t="n"/>
      <c r="AY132" s="11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</row>
    <row r="133">
      <c r="A133" s="8" t="n"/>
      <c r="B133" s="8" t="n"/>
      <c r="C133" s="19" t="n"/>
      <c r="D133" s="19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11" t="n"/>
      <c r="AS133" s="8" t="n"/>
      <c r="AT133" s="8" t="n"/>
      <c r="AU133" s="8" t="n"/>
      <c r="AV133" s="8" t="n"/>
      <c r="AW133" s="8" t="n"/>
      <c r="AX133" s="8" t="n"/>
      <c r="AY133" s="11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</row>
    <row r="134">
      <c r="A134" s="8" t="n"/>
      <c r="B134" s="8" t="n"/>
      <c r="C134" s="19" t="n"/>
      <c r="D134" s="19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11" t="n"/>
      <c r="AS134" s="8" t="n"/>
      <c r="AT134" s="8" t="n"/>
      <c r="AU134" s="8" t="n"/>
      <c r="AV134" s="8" t="n"/>
      <c r="AW134" s="8" t="n"/>
      <c r="AX134" s="8" t="n"/>
      <c r="AY134" s="11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</row>
    <row r="135">
      <c r="A135" s="8" t="n"/>
      <c r="B135" s="8" t="n"/>
      <c r="C135" s="19" t="n"/>
      <c r="D135" s="19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11" t="n"/>
      <c r="AS135" s="8" t="n"/>
      <c r="AT135" s="8" t="n"/>
      <c r="AU135" s="8" t="n"/>
      <c r="AV135" s="8" t="n"/>
      <c r="AW135" s="8" t="n"/>
      <c r="AX135" s="8" t="n"/>
      <c r="AY135" s="11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</row>
    <row r="136">
      <c r="A136" s="8" t="n"/>
      <c r="B136" s="8" t="n"/>
      <c r="C136" s="19" t="n"/>
      <c r="D136" s="19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11" t="n"/>
      <c r="AS136" s="8" t="n"/>
      <c r="AT136" s="8" t="n"/>
      <c r="AU136" s="8" t="n"/>
      <c r="AV136" s="8" t="n"/>
      <c r="AW136" s="8" t="n"/>
      <c r="AX136" s="8" t="n"/>
      <c r="AY136" s="11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</row>
    <row r="137">
      <c r="A137" s="8" t="n"/>
      <c r="B137" s="8" t="n"/>
      <c r="C137" s="19" t="n"/>
      <c r="D137" s="19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11" t="n"/>
      <c r="AS137" s="8" t="n"/>
      <c r="AT137" s="8" t="n"/>
      <c r="AU137" s="8" t="n"/>
      <c r="AV137" s="8" t="n"/>
      <c r="AW137" s="8" t="n"/>
      <c r="AX137" s="8" t="n"/>
      <c r="AY137" s="11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</row>
    <row r="138">
      <c r="A138" s="8" t="n"/>
      <c r="B138" s="8" t="n"/>
      <c r="C138" s="19" t="n"/>
      <c r="D138" s="19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11" t="n"/>
      <c r="AS138" s="8" t="n"/>
      <c r="AT138" s="8" t="n"/>
      <c r="AU138" s="8" t="n"/>
      <c r="AV138" s="8" t="n"/>
      <c r="AW138" s="8" t="n"/>
      <c r="AX138" s="8" t="n"/>
      <c r="AY138" s="11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</row>
    <row r="139">
      <c r="A139" s="8" t="n"/>
      <c r="B139" s="8" t="n"/>
      <c r="C139" s="19" t="n"/>
      <c r="D139" s="19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11" t="n"/>
      <c r="AS139" s="8" t="n"/>
      <c r="AT139" s="8" t="n"/>
      <c r="AU139" s="8" t="n"/>
      <c r="AV139" s="8" t="n"/>
      <c r="AW139" s="8" t="n"/>
      <c r="AX139" s="8" t="n"/>
      <c r="AY139" s="11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</row>
    <row r="140">
      <c r="A140" s="8" t="n"/>
      <c r="B140" s="8" t="n"/>
      <c r="C140" s="19" t="n"/>
      <c r="D140" s="19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11" t="n"/>
      <c r="AS140" s="8" t="n"/>
      <c r="AT140" s="8" t="n"/>
      <c r="AU140" s="8" t="n"/>
      <c r="AV140" s="8" t="n"/>
      <c r="AW140" s="8" t="n"/>
      <c r="AX140" s="8" t="n"/>
      <c r="AY140" s="11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</row>
    <row r="141">
      <c r="A141" s="8" t="n"/>
      <c r="B141" s="8" t="n"/>
      <c r="C141" s="19" t="n"/>
      <c r="D141" s="19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11" t="n"/>
      <c r="AS141" s="8" t="n"/>
      <c r="AT141" s="8" t="n"/>
      <c r="AU141" s="8" t="n"/>
      <c r="AV141" s="8" t="n"/>
      <c r="AW141" s="8" t="n"/>
      <c r="AX141" s="8" t="n"/>
      <c r="AY141" s="11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</row>
    <row r="142">
      <c r="A142" s="8" t="n"/>
      <c r="B142" s="8" t="n"/>
      <c r="C142" s="19" t="n"/>
      <c r="D142" s="19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11" t="n"/>
      <c r="AS142" s="8" t="n"/>
      <c r="AT142" s="8" t="n"/>
      <c r="AU142" s="8" t="n"/>
      <c r="AV142" s="8" t="n"/>
      <c r="AW142" s="8" t="n"/>
      <c r="AX142" s="8" t="n"/>
      <c r="AY142" s="11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</row>
    <row r="143">
      <c r="A143" s="8" t="n"/>
      <c r="B143" s="8" t="n"/>
      <c r="C143" s="19" t="n"/>
      <c r="D143" s="19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11" t="n"/>
      <c r="AS143" s="8" t="n"/>
      <c r="AT143" s="8" t="n"/>
      <c r="AU143" s="8" t="n"/>
      <c r="AV143" s="8" t="n"/>
      <c r="AW143" s="8" t="n"/>
      <c r="AX143" s="8" t="n"/>
      <c r="AY143" s="11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</row>
    <row r="144">
      <c r="A144" s="8" t="n"/>
      <c r="B144" s="8" t="n"/>
      <c r="C144" s="19" t="n"/>
      <c r="D144" s="19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11" t="n"/>
      <c r="AS144" s="8" t="n"/>
      <c r="AT144" s="8" t="n"/>
      <c r="AU144" s="8" t="n"/>
      <c r="AV144" s="8" t="n"/>
      <c r="AW144" s="8" t="n"/>
      <c r="AX144" s="8" t="n"/>
      <c r="AY144" s="11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</row>
    <row r="145">
      <c r="A145" s="8" t="n"/>
      <c r="B145" s="8" t="n"/>
      <c r="C145" s="19" t="n"/>
      <c r="D145" s="19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11" t="n"/>
      <c r="AS145" s="8" t="n"/>
      <c r="AT145" s="8" t="n"/>
      <c r="AU145" s="8" t="n"/>
      <c r="AV145" s="8" t="n"/>
      <c r="AW145" s="8" t="n"/>
      <c r="AX145" s="8" t="n"/>
      <c r="AY145" s="11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</row>
    <row r="146">
      <c r="A146" s="8" t="n"/>
      <c r="B146" s="8" t="n"/>
      <c r="C146" s="19" t="n"/>
      <c r="D146" s="19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11" t="n"/>
      <c r="AS146" s="8" t="n"/>
      <c r="AT146" s="8" t="n"/>
      <c r="AU146" s="8" t="n"/>
      <c r="AV146" s="8" t="n"/>
      <c r="AW146" s="8" t="n"/>
      <c r="AX146" s="8" t="n"/>
      <c r="AY146" s="11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</row>
    <row r="147">
      <c r="A147" s="8" t="n"/>
      <c r="B147" s="8" t="n"/>
      <c r="C147" s="19" t="n"/>
      <c r="D147" s="19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11" t="n"/>
      <c r="AS147" s="8" t="n"/>
      <c r="AT147" s="8" t="n"/>
      <c r="AU147" s="8" t="n"/>
      <c r="AV147" s="8" t="n"/>
      <c r="AW147" s="8" t="n"/>
      <c r="AX147" s="8" t="n"/>
      <c r="AY147" s="11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</row>
    <row r="148">
      <c r="A148" s="8" t="n"/>
      <c r="B148" s="8" t="n"/>
      <c r="C148" s="19" t="n"/>
      <c r="D148" s="19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11" t="n"/>
      <c r="AS148" s="8" t="n"/>
      <c r="AT148" s="8" t="n"/>
      <c r="AU148" s="8" t="n"/>
      <c r="AV148" s="8" t="n"/>
      <c r="AW148" s="8" t="n"/>
      <c r="AX148" s="8" t="n"/>
      <c r="AY148" s="11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</row>
    <row r="149">
      <c r="A149" s="8" t="n"/>
      <c r="B149" s="8" t="n"/>
      <c r="C149" s="19" t="n"/>
      <c r="D149" s="19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11" t="n"/>
      <c r="AS149" s="8" t="n"/>
      <c r="AT149" s="8" t="n"/>
      <c r="AU149" s="8" t="n"/>
      <c r="AV149" s="8" t="n"/>
      <c r="AW149" s="8" t="n"/>
      <c r="AX149" s="8" t="n"/>
      <c r="AY149" s="11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</row>
    <row r="150">
      <c r="A150" s="8" t="n"/>
      <c r="B150" s="8" t="n"/>
      <c r="C150" s="19" t="n"/>
      <c r="D150" s="19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11" t="n"/>
      <c r="AS150" s="8" t="n"/>
      <c r="AT150" s="8" t="n"/>
      <c r="AU150" s="8" t="n"/>
      <c r="AV150" s="8" t="n"/>
      <c r="AW150" s="8" t="n"/>
      <c r="AX150" s="8" t="n"/>
      <c r="AY150" s="11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</row>
    <row r="151">
      <c r="A151" s="8" t="n"/>
      <c r="B151" s="8" t="n"/>
      <c r="C151" s="19" t="n"/>
      <c r="D151" s="19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11" t="n"/>
      <c r="AS151" s="8" t="n"/>
      <c r="AT151" s="8" t="n"/>
      <c r="AU151" s="8" t="n"/>
      <c r="AV151" s="8" t="n"/>
      <c r="AW151" s="8" t="n"/>
      <c r="AX151" s="8" t="n"/>
      <c r="AY151" s="11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</row>
    <row r="152">
      <c r="A152" s="8" t="n"/>
      <c r="B152" s="8" t="n"/>
      <c r="C152" s="19" t="n"/>
      <c r="D152" s="19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11" t="n"/>
      <c r="AS152" s="8" t="n"/>
      <c r="AT152" s="8" t="n"/>
      <c r="AU152" s="8" t="n"/>
      <c r="AV152" s="8" t="n"/>
      <c r="AW152" s="8" t="n"/>
      <c r="AX152" s="8" t="n"/>
      <c r="AY152" s="11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</row>
    <row r="153">
      <c r="A153" s="8" t="n"/>
      <c r="B153" s="8" t="n"/>
      <c r="C153" s="19" t="n"/>
      <c r="D153" s="19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11" t="n"/>
      <c r="AS153" s="8" t="n"/>
      <c r="AT153" s="8" t="n"/>
      <c r="AU153" s="8" t="n"/>
      <c r="AV153" s="8" t="n"/>
      <c r="AW153" s="8" t="n"/>
      <c r="AX153" s="8" t="n"/>
      <c r="AY153" s="11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</row>
    <row r="154">
      <c r="A154" s="8" t="n"/>
      <c r="B154" s="8" t="n"/>
      <c r="C154" s="19" t="n"/>
      <c r="D154" s="19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11" t="n"/>
      <c r="AS154" s="8" t="n"/>
      <c r="AT154" s="8" t="n"/>
      <c r="AU154" s="8" t="n"/>
      <c r="AV154" s="8" t="n"/>
      <c r="AW154" s="8" t="n"/>
      <c r="AX154" s="8" t="n"/>
      <c r="AY154" s="11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</row>
    <row r="155">
      <c r="A155" s="8" t="n"/>
      <c r="B155" s="8" t="n"/>
      <c r="C155" s="19" t="n"/>
      <c r="D155" s="19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11" t="n"/>
      <c r="AS155" s="8" t="n"/>
      <c r="AT155" s="8" t="n"/>
      <c r="AU155" s="8" t="n"/>
      <c r="AV155" s="8" t="n"/>
      <c r="AW155" s="8" t="n"/>
      <c r="AX155" s="8" t="n"/>
      <c r="AY155" s="11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</row>
    <row r="156">
      <c r="A156" s="8" t="n"/>
      <c r="B156" s="8" t="n"/>
      <c r="C156" s="19" t="n"/>
      <c r="D156" s="19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11" t="n"/>
      <c r="AS156" s="8" t="n"/>
      <c r="AT156" s="8" t="n"/>
      <c r="AU156" s="8" t="n"/>
      <c r="AV156" s="8" t="n"/>
      <c r="AW156" s="8" t="n"/>
      <c r="AX156" s="8" t="n"/>
      <c r="AY156" s="11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</row>
    <row r="157">
      <c r="A157" s="8" t="n"/>
      <c r="B157" s="8" t="n"/>
      <c r="C157" s="19" t="n"/>
      <c r="D157" s="19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11" t="n"/>
      <c r="AS157" s="8" t="n"/>
      <c r="AT157" s="8" t="n"/>
      <c r="AU157" s="8" t="n"/>
      <c r="AV157" s="8" t="n"/>
      <c r="AW157" s="8" t="n"/>
      <c r="AX157" s="8" t="n"/>
      <c r="AY157" s="11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</row>
    <row r="158">
      <c r="A158" s="8" t="n"/>
      <c r="B158" s="8" t="n"/>
      <c r="C158" s="19" t="n"/>
      <c r="D158" s="19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11" t="n"/>
      <c r="AS158" s="8" t="n"/>
      <c r="AT158" s="8" t="n"/>
      <c r="AU158" s="8" t="n"/>
      <c r="AV158" s="8" t="n"/>
      <c r="AW158" s="8" t="n"/>
      <c r="AX158" s="8" t="n"/>
      <c r="AY158" s="11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</row>
    <row r="159">
      <c r="A159" s="8" t="n"/>
      <c r="B159" s="8" t="n"/>
      <c r="C159" s="19" t="n"/>
      <c r="D159" s="19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11" t="n"/>
      <c r="AS159" s="8" t="n"/>
      <c r="AT159" s="8" t="n"/>
      <c r="AU159" s="8" t="n"/>
      <c r="AV159" s="8" t="n"/>
      <c r="AW159" s="8" t="n"/>
      <c r="AX159" s="8" t="n"/>
      <c r="AY159" s="11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</row>
    <row r="160">
      <c r="A160" s="8" t="n"/>
      <c r="B160" s="8" t="n"/>
      <c r="C160" s="19" t="n"/>
      <c r="D160" s="19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11" t="n"/>
      <c r="AS160" s="8" t="n"/>
      <c r="AT160" s="8" t="n"/>
      <c r="AU160" s="8" t="n"/>
      <c r="AV160" s="8" t="n"/>
      <c r="AW160" s="8" t="n"/>
      <c r="AX160" s="8" t="n"/>
      <c r="AY160" s="11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</row>
    <row r="161">
      <c r="A161" s="8" t="n"/>
      <c r="B161" s="8" t="n"/>
      <c r="C161" s="19" t="n"/>
      <c r="D161" s="19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11" t="n"/>
      <c r="AS161" s="8" t="n"/>
      <c r="AT161" s="8" t="n"/>
      <c r="AU161" s="8" t="n"/>
      <c r="AV161" s="8" t="n"/>
      <c r="AW161" s="8" t="n"/>
      <c r="AX161" s="8" t="n"/>
      <c r="AY161" s="11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</row>
    <row r="162">
      <c r="A162" s="8" t="n"/>
      <c r="B162" s="8" t="n"/>
      <c r="C162" s="19" t="n"/>
      <c r="D162" s="19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11" t="n"/>
      <c r="AS162" s="8" t="n"/>
      <c r="AT162" s="8" t="n"/>
      <c r="AU162" s="8" t="n"/>
      <c r="AV162" s="8" t="n"/>
      <c r="AW162" s="8" t="n"/>
      <c r="AX162" s="8" t="n"/>
      <c r="AY162" s="11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</row>
    <row r="163">
      <c r="A163" s="8" t="n"/>
      <c r="B163" s="8" t="n"/>
      <c r="C163" s="19" t="n"/>
      <c r="D163" s="19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11" t="n"/>
      <c r="AS163" s="8" t="n"/>
      <c r="AT163" s="8" t="n"/>
      <c r="AU163" s="8" t="n"/>
      <c r="AV163" s="8" t="n"/>
      <c r="AW163" s="8" t="n"/>
      <c r="AX163" s="8" t="n"/>
      <c r="AY163" s="11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</row>
    <row r="164">
      <c r="A164" s="8" t="n"/>
      <c r="B164" s="8" t="n"/>
      <c r="C164" s="19" t="n"/>
      <c r="D164" s="19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11" t="n"/>
      <c r="AS164" s="8" t="n"/>
      <c r="AT164" s="8" t="n"/>
      <c r="AU164" s="8" t="n"/>
      <c r="AV164" s="8" t="n"/>
      <c r="AW164" s="8" t="n"/>
      <c r="AX164" s="8" t="n"/>
      <c r="AY164" s="11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</row>
    <row r="165">
      <c r="A165" s="8" t="n"/>
      <c r="B165" s="8" t="n"/>
      <c r="C165" s="19" t="n"/>
      <c r="D165" s="19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11" t="n"/>
      <c r="AS165" s="8" t="n"/>
      <c r="AT165" s="8" t="n"/>
      <c r="AU165" s="8" t="n"/>
      <c r="AV165" s="8" t="n"/>
      <c r="AW165" s="8" t="n"/>
      <c r="AX165" s="8" t="n"/>
      <c r="AY165" s="11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</row>
    <row r="166">
      <c r="A166" s="8" t="n"/>
      <c r="B166" s="8" t="n"/>
      <c r="C166" s="19" t="n"/>
      <c r="D166" s="19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11" t="n"/>
      <c r="AS166" s="8" t="n"/>
      <c r="AT166" s="8" t="n"/>
      <c r="AU166" s="8" t="n"/>
      <c r="AV166" s="8" t="n"/>
      <c r="AW166" s="8" t="n"/>
      <c r="AX166" s="8" t="n"/>
      <c r="AY166" s="11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</row>
    <row r="167">
      <c r="A167" s="8" t="n"/>
      <c r="B167" s="8" t="n"/>
      <c r="C167" s="19" t="n"/>
      <c r="D167" s="19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11" t="n"/>
      <c r="AS167" s="8" t="n"/>
      <c r="AT167" s="8" t="n"/>
      <c r="AU167" s="8" t="n"/>
      <c r="AV167" s="8" t="n"/>
      <c r="AW167" s="8" t="n"/>
      <c r="AX167" s="8" t="n"/>
      <c r="AY167" s="11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</row>
    <row r="168">
      <c r="A168" s="8" t="n"/>
      <c r="B168" s="8" t="n"/>
      <c r="C168" s="19" t="n"/>
      <c r="D168" s="19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11" t="n"/>
      <c r="AS168" s="8" t="n"/>
      <c r="AT168" s="8" t="n"/>
      <c r="AU168" s="8" t="n"/>
      <c r="AV168" s="8" t="n"/>
      <c r="AW168" s="8" t="n"/>
      <c r="AX168" s="8" t="n"/>
      <c r="AY168" s="11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</row>
    <row r="169">
      <c r="A169" s="8" t="n"/>
      <c r="B169" s="8" t="n"/>
      <c r="C169" s="19" t="n"/>
      <c r="D169" s="19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11" t="n"/>
      <c r="AS169" s="8" t="n"/>
      <c r="AT169" s="8" t="n"/>
      <c r="AU169" s="8" t="n"/>
      <c r="AV169" s="8" t="n"/>
      <c r="AW169" s="8" t="n"/>
      <c r="AX169" s="8" t="n"/>
      <c r="AY169" s="11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</row>
    <row r="170">
      <c r="A170" s="8" t="n"/>
      <c r="B170" s="8" t="n"/>
      <c r="C170" s="19" t="n"/>
      <c r="D170" s="19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11" t="n"/>
      <c r="AS170" s="8" t="n"/>
      <c r="AT170" s="8" t="n"/>
      <c r="AU170" s="8" t="n"/>
      <c r="AV170" s="8" t="n"/>
      <c r="AW170" s="8" t="n"/>
      <c r="AX170" s="8" t="n"/>
      <c r="AY170" s="11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</row>
    <row r="171">
      <c r="A171" s="8" t="n"/>
      <c r="B171" s="8" t="n"/>
      <c r="C171" s="19" t="n"/>
      <c r="D171" s="19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11" t="n"/>
      <c r="AS171" s="8" t="n"/>
      <c r="AT171" s="8" t="n"/>
      <c r="AU171" s="8" t="n"/>
      <c r="AV171" s="8" t="n"/>
      <c r="AW171" s="8" t="n"/>
      <c r="AX171" s="8" t="n"/>
      <c r="AY171" s="11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</row>
    <row r="172">
      <c r="A172" s="8" t="n"/>
      <c r="B172" s="8" t="n"/>
      <c r="C172" s="19" t="n"/>
      <c r="D172" s="19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11" t="n"/>
      <c r="AS172" s="8" t="n"/>
      <c r="AT172" s="8" t="n"/>
      <c r="AU172" s="8" t="n"/>
      <c r="AV172" s="8" t="n"/>
      <c r="AW172" s="8" t="n"/>
      <c r="AX172" s="8" t="n"/>
      <c r="AY172" s="11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</row>
    <row r="173">
      <c r="A173" s="8" t="n"/>
      <c r="B173" s="8" t="n"/>
      <c r="C173" s="19" t="n"/>
      <c r="D173" s="19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11" t="n"/>
      <c r="AS173" s="8" t="n"/>
      <c r="AT173" s="8" t="n"/>
      <c r="AU173" s="8" t="n"/>
      <c r="AV173" s="8" t="n"/>
      <c r="AW173" s="8" t="n"/>
      <c r="AX173" s="8" t="n"/>
      <c r="AY173" s="11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</row>
    <row r="174">
      <c r="A174" s="8" t="n"/>
      <c r="B174" s="8" t="n"/>
      <c r="C174" s="19" t="n"/>
      <c r="D174" s="19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11" t="n"/>
      <c r="AS174" s="8" t="n"/>
      <c r="AT174" s="8" t="n"/>
      <c r="AU174" s="8" t="n"/>
      <c r="AV174" s="8" t="n"/>
      <c r="AW174" s="8" t="n"/>
      <c r="AX174" s="8" t="n"/>
      <c r="AY174" s="11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</row>
    <row r="175">
      <c r="A175" s="8" t="n"/>
      <c r="B175" s="8" t="n"/>
      <c r="C175" s="19" t="n"/>
      <c r="D175" s="19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11" t="n"/>
      <c r="AS175" s="8" t="n"/>
      <c r="AT175" s="8" t="n"/>
      <c r="AU175" s="8" t="n"/>
      <c r="AV175" s="8" t="n"/>
      <c r="AW175" s="8" t="n"/>
      <c r="AX175" s="8" t="n"/>
      <c r="AY175" s="11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</row>
    <row r="176">
      <c r="A176" s="8" t="n"/>
      <c r="B176" s="8" t="n"/>
      <c r="C176" s="19" t="n"/>
      <c r="D176" s="19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11" t="n"/>
      <c r="AS176" s="8" t="n"/>
      <c r="AT176" s="8" t="n"/>
      <c r="AU176" s="8" t="n"/>
      <c r="AV176" s="8" t="n"/>
      <c r="AW176" s="8" t="n"/>
      <c r="AX176" s="8" t="n"/>
      <c r="AY176" s="11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</row>
    <row r="177">
      <c r="A177" s="8" t="n"/>
      <c r="B177" s="8" t="n"/>
      <c r="C177" s="19" t="n"/>
      <c r="D177" s="19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11" t="n"/>
      <c r="AS177" s="8" t="n"/>
      <c r="AT177" s="8" t="n"/>
      <c r="AU177" s="8" t="n"/>
      <c r="AV177" s="8" t="n"/>
      <c r="AW177" s="8" t="n"/>
      <c r="AX177" s="8" t="n"/>
      <c r="AY177" s="11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</row>
    <row r="178">
      <c r="A178" s="8" t="n"/>
      <c r="B178" s="8" t="n"/>
      <c r="C178" s="19" t="n"/>
      <c r="D178" s="19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11" t="n"/>
      <c r="AS178" s="8" t="n"/>
      <c r="AT178" s="8" t="n"/>
      <c r="AU178" s="8" t="n"/>
      <c r="AV178" s="8" t="n"/>
      <c r="AW178" s="8" t="n"/>
      <c r="AX178" s="8" t="n"/>
      <c r="AY178" s="11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</row>
    <row r="179">
      <c r="A179" s="8" t="n"/>
      <c r="B179" s="8" t="n"/>
      <c r="C179" s="19" t="n"/>
      <c r="D179" s="19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11" t="n"/>
      <c r="AS179" s="8" t="n"/>
      <c r="AT179" s="8" t="n"/>
      <c r="AU179" s="8" t="n"/>
      <c r="AV179" s="8" t="n"/>
      <c r="AW179" s="8" t="n"/>
      <c r="AX179" s="8" t="n"/>
      <c r="AY179" s="11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</row>
    <row r="180">
      <c r="A180" s="8" t="n"/>
      <c r="B180" s="8" t="n"/>
      <c r="C180" s="19" t="n"/>
      <c r="D180" s="19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11" t="n"/>
      <c r="AS180" s="8" t="n"/>
      <c r="AT180" s="8" t="n"/>
      <c r="AU180" s="8" t="n"/>
      <c r="AV180" s="8" t="n"/>
      <c r="AW180" s="8" t="n"/>
      <c r="AX180" s="8" t="n"/>
      <c r="AY180" s="11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</row>
    <row r="181">
      <c r="A181" s="8" t="n"/>
      <c r="B181" s="8" t="n"/>
      <c r="C181" s="19" t="n"/>
      <c r="D181" s="19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11" t="n"/>
      <c r="AS181" s="8" t="n"/>
      <c r="AT181" s="8" t="n"/>
      <c r="AU181" s="8" t="n"/>
      <c r="AV181" s="8" t="n"/>
      <c r="AW181" s="8" t="n"/>
      <c r="AX181" s="8" t="n"/>
      <c r="AY181" s="11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</row>
    <row r="182">
      <c r="A182" s="8" t="n"/>
      <c r="B182" s="8" t="n"/>
      <c r="C182" s="19" t="n"/>
      <c r="D182" s="19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11" t="n"/>
      <c r="AS182" s="8" t="n"/>
      <c r="AT182" s="8" t="n"/>
      <c r="AU182" s="8" t="n"/>
      <c r="AV182" s="8" t="n"/>
      <c r="AW182" s="8" t="n"/>
      <c r="AX182" s="8" t="n"/>
      <c r="AY182" s="11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</row>
    <row r="183">
      <c r="A183" s="8" t="n"/>
      <c r="B183" s="8" t="n"/>
      <c r="C183" s="19" t="n"/>
      <c r="D183" s="19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11" t="n"/>
      <c r="AS183" s="8" t="n"/>
      <c r="AT183" s="8" t="n"/>
      <c r="AU183" s="8" t="n"/>
      <c r="AV183" s="8" t="n"/>
      <c r="AW183" s="8" t="n"/>
      <c r="AX183" s="8" t="n"/>
      <c r="AY183" s="11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</row>
    <row r="184">
      <c r="A184" s="8" t="n"/>
      <c r="B184" s="8" t="n"/>
      <c r="C184" s="19" t="n"/>
      <c r="D184" s="19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11" t="n"/>
      <c r="AS184" s="8" t="n"/>
      <c r="AT184" s="8" t="n"/>
      <c r="AU184" s="8" t="n"/>
      <c r="AV184" s="8" t="n"/>
      <c r="AW184" s="8" t="n"/>
      <c r="AX184" s="8" t="n"/>
      <c r="AY184" s="11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</row>
    <row r="185">
      <c r="A185" s="8" t="n"/>
      <c r="B185" s="8" t="n"/>
      <c r="C185" s="19" t="n"/>
      <c r="D185" s="19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11" t="n"/>
      <c r="AS185" s="8" t="n"/>
      <c r="AT185" s="8" t="n"/>
      <c r="AU185" s="8" t="n"/>
      <c r="AV185" s="8" t="n"/>
      <c r="AW185" s="8" t="n"/>
      <c r="AX185" s="8" t="n"/>
      <c r="AY185" s="11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</row>
    <row r="186">
      <c r="A186" s="8" t="n"/>
      <c r="B186" s="8" t="n"/>
      <c r="C186" s="19" t="n"/>
      <c r="D186" s="19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11" t="n"/>
      <c r="AS186" s="8" t="n"/>
      <c r="AT186" s="8" t="n"/>
      <c r="AU186" s="8" t="n"/>
      <c r="AV186" s="8" t="n"/>
      <c r="AW186" s="8" t="n"/>
      <c r="AX186" s="8" t="n"/>
      <c r="AY186" s="11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</row>
    <row r="187">
      <c r="A187" s="8" t="n"/>
      <c r="B187" s="8" t="n"/>
      <c r="C187" s="19" t="n"/>
      <c r="D187" s="19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11" t="n"/>
      <c r="AS187" s="8" t="n"/>
      <c r="AT187" s="8" t="n"/>
      <c r="AU187" s="8" t="n"/>
      <c r="AV187" s="8" t="n"/>
      <c r="AW187" s="8" t="n"/>
      <c r="AX187" s="8" t="n"/>
      <c r="AY187" s="11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</row>
    <row r="188">
      <c r="A188" s="8" t="n"/>
      <c r="B188" s="8" t="n"/>
      <c r="C188" s="19" t="n"/>
      <c r="D188" s="19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11" t="n"/>
      <c r="AS188" s="8" t="n"/>
      <c r="AT188" s="8" t="n"/>
      <c r="AU188" s="8" t="n"/>
      <c r="AV188" s="8" t="n"/>
      <c r="AW188" s="8" t="n"/>
      <c r="AX188" s="8" t="n"/>
      <c r="AY188" s="11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</row>
    <row r="189">
      <c r="A189" s="8" t="n"/>
      <c r="B189" s="8" t="n"/>
      <c r="C189" s="19" t="n"/>
      <c r="D189" s="19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11" t="n"/>
      <c r="AS189" s="8" t="n"/>
      <c r="AT189" s="8" t="n"/>
      <c r="AU189" s="8" t="n"/>
      <c r="AV189" s="8" t="n"/>
      <c r="AW189" s="8" t="n"/>
      <c r="AX189" s="8" t="n"/>
      <c r="AY189" s="11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</row>
    <row r="190">
      <c r="A190" s="8" t="n"/>
      <c r="B190" s="8" t="n"/>
      <c r="C190" s="19" t="n"/>
      <c r="D190" s="19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11" t="n"/>
      <c r="AS190" s="8" t="n"/>
      <c r="AT190" s="8" t="n"/>
      <c r="AU190" s="8" t="n"/>
      <c r="AV190" s="8" t="n"/>
      <c r="AW190" s="8" t="n"/>
      <c r="AX190" s="8" t="n"/>
      <c r="AY190" s="11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</row>
    <row r="191">
      <c r="A191" s="8" t="n"/>
      <c r="B191" s="8" t="n"/>
      <c r="C191" s="19" t="n"/>
      <c r="D191" s="19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11" t="n"/>
      <c r="AS191" s="8" t="n"/>
      <c r="AT191" s="8" t="n"/>
      <c r="AU191" s="8" t="n"/>
      <c r="AV191" s="8" t="n"/>
      <c r="AW191" s="8" t="n"/>
      <c r="AX191" s="8" t="n"/>
      <c r="AY191" s="11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</row>
    <row r="192">
      <c r="A192" s="8" t="n"/>
      <c r="B192" s="8" t="n"/>
      <c r="C192" s="19" t="n"/>
      <c r="D192" s="19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11" t="n"/>
      <c r="AS192" s="8" t="n"/>
      <c r="AT192" s="8" t="n"/>
      <c r="AU192" s="8" t="n"/>
      <c r="AV192" s="8" t="n"/>
      <c r="AW192" s="8" t="n"/>
      <c r="AX192" s="8" t="n"/>
      <c r="AY192" s="11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</row>
    <row r="193">
      <c r="A193" s="8" t="n"/>
      <c r="B193" s="8" t="n"/>
      <c r="C193" s="19" t="n"/>
      <c r="D193" s="19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11" t="n"/>
      <c r="AS193" s="8" t="n"/>
      <c r="AT193" s="8" t="n"/>
      <c r="AU193" s="8" t="n"/>
      <c r="AV193" s="8" t="n"/>
      <c r="AW193" s="8" t="n"/>
      <c r="AX193" s="8" t="n"/>
      <c r="AY193" s="11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</row>
    <row r="194">
      <c r="A194" s="8" t="n"/>
      <c r="B194" s="8" t="n"/>
      <c r="C194" s="19" t="n"/>
      <c r="D194" s="19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11" t="n"/>
      <c r="AS194" s="8" t="n"/>
      <c r="AT194" s="8" t="n"/>
      <c r="AU194" s="8" t="n"/>
      <c r="AV194" s="8" t="n"/>
      <c r="AW194" s="8" t="n"/>
      <c r="AX194" s="8" t="n"/>
      <c r="AY194" s="11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</row>
    <row r="195">
      <c r="A195" s="8" t="n"/>
      <c r="B195" s="8" t="n"/>
      <c r="C195" s="19" t="n"/>
      <c r="D195" s="19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11" t="n"/>
      <c r="AS195" s="8" t="n"/>
      <c r="AT195" s="8" t="n"/>
      <c r="AU195" s="8" t="n"/>
      <c r="AV195" s="8" t="n"/>
      <c r="AW195" s="8" t="n"/>
      <c r="AX195" s="8" t="n"/>
      <c r="AY195" s="11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</row>
    <row r="196">
      <c r="A196" s="8" t="n"/>
      <c r="B196" s="8" t="n"/>
      <c r="C196" s="19" t="n"/>
      <c r="D196" s="19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11" t="n"/>
      <c r="AS196" s="8" t="n"/>
      <c r="AT196" s="8" t="n"/>
      <c r="AU196" s="8" t="n"/>
      <c r="AV196" s="8" t="n"/>
      <c r="AW196" s="8" t="n"/>
      <c r="AX196" s="8" t="n"/>
      <c r="AY196" s="11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</row>
    <row r="197">
      <c r="A197" s="8" t="n"/>
      <c r="B197" s="8" t="n"/>
      <c r="C197" s="19" t="n"/>
      <c r="D197" s="19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11" t="n"/>
      <c r="AS197" s="8" t="n"/>
      <c r="AT197" s="8" t="n"/>
      <c r="AU197" s="8" t="n"/>
      <c r="AV197" s="8" t="n"/>
      <c r="AW197" s="8" t="n"/>
      <c r="AX197" s="8" t="n"/>
      <c r="AY197" s="11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</row>
    <row r="198">
      <c r="A198" s="8" t="n"/>
      <c r="B198" s="8" t="n"/>
      <c r="C198" s="19" t="n"/>
      <c r="D198" s="19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11" t="n"/>
      <c r="AS198" s="8" t="n"/>
      <c r="AT198" s="8" t="n"/>
      <c r="AU198" s="8" t="n"/>
      <c r="AV198" s="8" t="n"/>
      <c r="AW198" s="8" t="n"/>
      <c r="AX198" s="8" t="n"/>
      <c r="AY198" s="11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</row>
    <row r="199">
      <c r="A199" s="8" t="n"/>
      <c r="B199" s="8" t="n"/>
      <c r="C199" s="19" t="n"/>
      <c r="D199" s="19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11" t="n"/>
      <c r="AS199" s="8" t="n"/>
      <c r="AT199" s="8" t="n"/>
      <c r="AU199" s="8" t="n"/>
      <c r="AV199" s="8" t="n"/>
      <c r="AW199" s="8" t="n"/>
      <c r="AX199" s="8" t="n"/>
      <c r="AY199" s="11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</row>
    <row r="200">
      <c r="A200" s="8" t="n"/>
      <c r="B200" s="8" t="n"/>
      <c r="C200" s="19" t="n"/>
      <c r="D200" s="19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11" t="n"/>
      <c r="AS200" s="8" t="n"/>
      <c r="AT200" s="8" t="n"/>
      <c r="AU200" s="8" t="n"/>
      <c r="AV200" s="8" t="n"/>
      <c r="AW200" s="8" t="n"/>
      <c r="AX200" s="8" t="n"/>
      <c r="AY200" s="11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</row>
    <row r="201">
      <c r="A201" s="8" t="n"/>
      <c r="B201" s="8" t="n"/>
      <c r="C201" s="19" t="n"/>
      <c r="D201" s="19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11" t="n"/>
      <c r="AS201" s="8" t="n"/>
      <c r="AT201" s="8" t="n"/>
      <c r="AU201" s="8" t="n"/>
      <c r="AV201" s="8" t="n"/>
      <c r="AW201" s="8" t="n"/>
      <c r="AX201" s="8" t="n"/>
      <c r="AY201" s="11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</row>
    <row r="202">
      <c r="A202" s="8" t="n"/>
      <c r="B202" s="8" t="n"/>
      <c r="C202" s="19" t="n"/>
      <c r="D202" s="19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11" t="n"/>
      <c r="AS202" s="8" t="n"/>
      <c r="AT202" s="8" t="n"/>
      <c r="AU202" s="8" t="n"/>
      <c r="AV202" s="8" t="n"/>
      <c r="AW202" s="8" t="n"/>
      <c r="AX202" s="8" t="n"/>
      <c r="AY202" s="11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</row>
    <row r="203">
      <c r="A203" s="8" t="n"/>
      <c r="B203" s="8" t="n"/>
      <c r="C203" s="19" t="n"/>
      <c r="D203" s="19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11" t="n"/>
      <c r="AS203" s="8" t="n"/>
      <c r="AT203" s="8" t="n"/>
      <c r="AU203" s="8" t="n"/>
      <c r="AV203" s="8" t="n"/>
      <c r="AW203" s="8" t="n"/>
      <c r="AX203" s="8" t="n"/>
      <c r="AY203" s="11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</row>
    <row r="204">
      <c r="A204" s="8" t="n"/>
      <c r="B204" s="8" t="n"/>
      <c r="C204" s="19" t="n"/>
      <c r="D204" s="19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11" t="n"/>
      <c r="AS204" s="8" t="n"/>
      <c r="AT204" s="8" t="n"/>
      <c r="AU204" s="8" t="n"/>
      <c r="AV204" s="8" t="n"/>
      <c r="AW204" s="8" t="n"/>
      <c r="AX204" s="8" t="n"/>
      <c r="AY204" s="11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</row>
    <row r="205">
      <c r="A205" s="8" t="n"/>
      <c r="B205" s="8" t="n"/>
      <c r="C205" s="19" t="n"/>
      <c r="D205" s="19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11" t="n"/>
      <c r="AS205" s="8" t="n"/>
      <c r="AT205" s="8" t="n"/>
      <c r="AU205" s="8" t="n"/>
      <c r="AV205" s="8" t="n"/>
      <c r="AW205" s="8" t="n"/>
      <c r="AX205" s="8" t="n"/>
      <c r="AY205" s="11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</row>
    <row r="206">
      <c r="A206" s="8" t="n"/>
      <c r="B206" s="8" t="n"/>
      <c r="C206" s="19" t="n"/>
      <c r="D206" s="19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11" t="n"/>
      <c r="AS206" s="8" t="n"/>
      <c r="AT206" s="8" t="n"/>
      <c r="AU206" s="8" t="n"/>
      <c r="AV206" s="8" t="n"/>
      <c r="AW206" s="8" t="n"/>
      <c r="AX206" s="8" t="n"/>
      <c r="AY206" s="11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</row>
    <row r="207">
      <c r="A207" s="8" t="n"/>
      <c r="B207" s="8" t="n"/>
      <c r="C207" s="19" t="n"/>
      <c r="D207" s="19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11" t="n"/>
      <c r="AS207" s="8" t="n"/>
      <c r="AT207" s="8" t="n"/>
      <c r="AU207" s="8" t="n"/>
      <c r="AV207" s="8" t="n"/>
      <c r="AW207" s="8" t="n"/>
      <c r="AX207" s="8" t="n"/>
      <c r="AY207" s="11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</row>
    <row r="208">
      <c r="A208" s="8" t="n"/>
      <c r="B208" s="8" t="n"/>
      <c r="C208" s="19" t="n"/>
      <c r="D208" s="19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11" t="n"/>
      <c r="AS208" s="8" t="n"/>
      <c r="AT208" s="8" t="n"/>
      <c r="AU208" s="8" t="n"/>
      <c r="AV208" s="8" t="n"/>
      <c r="AW208" s="8" t="n"/>
      <c r="AX208" s="8" t="n"/>
      <c r="AY208" s="11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</row>
    <row r="209">
      <c r="A209" s="8" t="n"/>
      <c r="B209" s="8" t="n"/>
      <c r="C209" s="19" t="n"/>
      <c r="D209" s="19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11" t="n"/>
      <c r="AS209" s="8" t="n"/>
      <c r="AT209" s="8" t="n"/>
      <c r="AU209" s="8" t="n"/>
      <c r="AV209" s="8" t="n"/>
      <c r="AW209" s="8" t="n"/>
      <c r="AX209" s="8" t="n"/>
      <c r="AY209" s="11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</row>
    <row r="210">
      <c r="A210" s="8" t="n"/>
      <c r="B210" s="8" t="n"/>
      <c r="C210" s="19" t="n"/>
      <c r="D210" s="19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11" t="n"/>
      <c r="AS210" s="8" t="n"/>
      <c r="AT210" s="8" t="n"/>
      <c r="AU210" s="8" t="n"/>
      <c r="AV210" s="8" t="n"/>
      <c r="AW210" s="8" t="n"/>
      <c r="AX210" s="8" t="n"/>
      <c r="AY210" s="11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</row>
    <row r="211">
      <c r="A211" s="8" t="n"/>
      <c r="B211" s="8" t="n"/>
      <c r="C211" s="19" t="n"/>
      <c r="D211" s="19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11" t="n"/>
      <c r="AS211" s="8" t="n"/>
      <c r="AT211" s="8" t="n"/>
      <c r="AU211" s="8" t="n"/>
      <c r="AV211" s="8" t="n"/>
      <c r="AW211" s="8" t="n"/>
      <c r="AX211" s="8" t="n"/>
      <c r="AY211" s="11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</row>
    <row r="212">
      <c r="A212" s="8" t="n"/>
      <c r="B212" s="8" t="n"/>
      <c r="C212" s="19" t="n"/>
      <c r="D212" s="19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11" t="n"/>
      <c r="AS212" s="8" t="n"/>
      <c r="AT212" s="8" t="n"/>
      <c r="AU212" s="8" t="n"/>
      <c r="AV212" s="8" t="n"/>
      <c r="AW212" s="8" t="n"/>
      <c r="AX212" s="8" t="n"/>
      <c r="AY212" s="11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</row>
    <row r="213">
      <c r="A213" s="8" t="n"/>
      <c r="B213" s="8" t="n"/>
      <c r="C213" s="19" t="n"/>
      <c r="D213" s="19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11" t="n"/>
      <c r="AS213" s="8" t="n"/>
      <c r="AT213" s="8" t="n"/>
      <c r="AU213" s="8" t="n"/>
      <c r="AV213" s="8" t="n"/>
      <c r="AW213" s="8" t="n"/>
      <c r="AX213" s="8" t="n"/>
      <c r="AY213" s="11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  <c r="BZ213" s="8" t="n"/>
      <c r="CA213" s="8" t="n"/>
      <c r="CB213" s="8" t="n"/>
      <c r="CC213" s="8" t="n"/>
    </row>
    <row r="214">
      <c r="A214" s="8" t="n"/>
      <c r="B214" s="8" t="n"/>
      <c r="C214" s="19" t="n"/>
      <c r="D214" s="19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11" t="n"/>
      <c r="AS214" s="8" t="n"/>
      <c r="AT214" s="8" t="n"/>
      <c r="AU214" s="8" t="n"/>
      <c r="AV214" s="8" t="n"/>
      <c r="AW214" s="8" t="n"/>
      <c r="AX214" s="8" t="n"/>
      <c r="AY214" s="11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  <c r="BR214" s="8" t="n"/>
      <c r="BS214" s="8" t="n"/>
      <c r="BT214" s="8" t="n"/>
      <c r="BU214" s="8" t="n"/>
      <c r="BV214" s="8" t="n"/>
      <c r="BW214" s="8" t="n"/>
      <c r="BX214" s="8" t="n"/>
      <c r="BY214" s="8" t="n"/>
      <c r="BZ214" s="8" t="n"/>
      <c r="CA214" s="8" t="n"/>
      <c r="CB214" s="8" t="n"/>
      <c r="CC214" s="8" t="n"/>
    </row>
    <row r="215">
      <c r="A215" s="8" t="n"/>
      <c r="B215" s="8" t="n"/>
      <c r="C215" s="19" t="n"/>
      <c r="D215" s="19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11" t="n"/>
      <c r="AS215" s="8" t="n"/>
      <c r="AT215" s="8" t="n"/>
      <c r="AU215" s="8" t="n"/>
      <c r="AV215" s="8" t="n"/>
      <c r="AW215" s="8" t="n"/>
      <c r="AX215" s="8" t="n"/>
      <c r="AY215" s="11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  <c r="BR215" s="8" t="n"/>
      <c r="BS215" s="8" t="n"/>
      <c r="BT215" s="8" t="n"/>
      <c r="BU215" s="8" t="n"/>
      <c r="BV215" s="8" t="n"/>
      <c r="BW215" s="8" t="n"/>
      <c r="BX215" s="8" t="n"/>
      <c r="BY215" s="8" t="n"/>
      <c r="BZ215" s="8" t="n"/>
      <c r="CA215" s="8" t="n"/>
      <c r="CB215" s="8" t="n"/>
      <c r="CC215" s="8" t="n"/>
    </row>
    <row r="216">
      <c r="A216" s="8" t="n"/>
      <c r="B216" s="8" t="n"/>
      <c r="C216" s="19" t="n"/>
      <c r="D216" s="19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11" t="n"/>
      <c r="AS216" s="8" t="n"/>
      <c r="AT216" s="8" t="n"/>
      <c r="AU216" s="8" t="n"/>
      <c r="AV216" s="8" t="n"/>
      <c r="AW216" s="8" t="n"/>
      <c r="AX216" s="8" t="n"/>
      <c r="AY216" s="11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  <c r="BR216" s="8" t="n"/>
      <c r="BS216" s="8" t="n"/>
      <c r="BT216" s="8" t="n"/>
      <c r="BU216" s="8" t="n"/>
      <c r="BV216" s="8" t="n"/>
      <c r="BW216" s="8" t="n"/>
      <c r="BX216" s="8" t="n"/>
      <c r="BY216" s="8" t="n"/>
      <c r="BZ216" s="8" t="n"/>
      <c r="CA216" s="8" t="n"/>
      <c r="CB216" s="8" t="n"/>
      <c r="CC216" s="8" t="n"/>
    </row>
    <row r="217">
      <c r="A217" s="8" t="n"/>
      <c r="B217" s="8" t="n"/>
      <c r="C217" s="19" t="n"/>
      <c r="D217" s="19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11" t="n"/>
      <c r="AS217" s="8" t="n"/>
      <c r="AT217" s="8" t="n"/>
      <c r="AU217" s="8" t="n"/>
      <c r="AV217" s="8" t="n"/>
      <c r="AW217" s="8" t="n"/>
      <c r="AX217" s="8" t="n"/>
      <c r="AY217" s="11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  <c r="BR217" s="8" t="n"/>
      <c r="BS217" s="8" t="n"/>
      <c r="BT217" s="8" t="n"/>
      <c r="BU217" s="8" t="n"/>
      <c r="BV217" s="8" t="n"/>
      <c r="BW217" s="8" t="n"/>
      <c r="BX217" s="8" t="n"/>
      <c r="BY217" s="8" t="n"/>
      <c r="BZ217" s="8" t="n"/>
      <c r="CA217" s="8" t="n"/>
      <c r="CB217" s="8" t="n"/>
      <c r="CC217" s="8" t="n"/>
    </row>
    <row r="218">
      <c r="A218" s="8" t="n"/>
      <c r="B218" s="8" t="n"/>
      <c r="C218" s="19" t="n"/>
      <c r="D218" s="19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11" t="n"/>
      <c r="AS218" s="8" t="n"/>
      <c r="AT218" s="8" t="n"/>
      <c r="AU218" s="8" t="n"/>
      <c r="AV218" s="8" t="n"/>
      <c r="AW218" s="8" t="n"/>
      <c r="AX218" s="8" t="n"/>
      <c r="AY218" s="11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  <c r="BR218" s="8" t="n"/>
      <c r="BS218" s="8" t="n"/>
      <c r="BT218" s="8" t="n"/>
      <c r="BU218" s="8" t="n"/>
      <c r="BV218" s="8" t="n"/>
      <c r="BW218" s="8" t="n"/>
      <c r="BX218" s="8" t="n"/>
      <c r="BY218" s="8" t="n"/>
      <c r="BZ218" s="8" t="n"/>
      <c r="CA218" s="8" t="n"/>
      <c r="CB218" s="8" t="n"/>
      <c r="CC218" s="8" t="n"/>
    </row>
    <row r="219">
      <c r="A219" s="8" t="n"/>
      <c r="B219" s="8" t="n"/>
      <c r="C219" s="19" t="n"/>
      <c r="D219" s="19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11" t="n"/>
      <c r="AS219" s="8" t="n"/>
      <c r="AT219" s="8" t="n"/>
      <c r="AU219" s="8" t="n"/>
      <c r="AV219" s="8" t="n"/>
      <c r="AW219" s="8" t="n"/>
      <c r="AX219" s="8" t="n"/>
      <c r="AY219" s="11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  <c r="BR219" s="8" t="n"/>
      <c r="BS219" s="8" t="n"/>
      <c r="BT219" s="8" t="n"/>
      <c r="BU219" s="8" t="n"/>
      <c r="BV219" s="8" t="n"/>
      <c r="BW219" s="8" t="n"/>
      <c r="BX219" s="8" t="n"/>
      <c r="BY219" s="8" t="n"/>
      <c r="BZ219" s="8" t="n"/>
      <c r="CA219" s="8" t="n"/>
      <c r="CB219" s="8" t="n"/>
      <c r="CC219" s="8" t="n"/>
    </row>
    <row r="220">
      <c r="A220" s="8" t="n"/>
      <c r="B220" s="8" t="n"/>
      <c r="C220" s="19" t="n"/>
      <c r="D220" s="19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11" t="n"/>
      <c r="AS220" s="8" t="n"/>
      <c r="AT220" s="8" t="n"/>
      <c r="AU220" s="8" t="n"/>
      <c r="AV220" s="8" t="n"/>
      <c r="AW220" s="8" t="n"/>
      <c r="AX220" s="8" t="n"/>
      <c r="AY220" s="11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  <c r="BR220" s="8" t="n"/>
      <c r="BS220" s="8" t="n"/>
      <c r="BT220" s="8" t="n"/>
      <c r="BU220" s="8" t="n"/>
      <c r="BV220" s="8" t="n"/>
      <c r="BW220" s="8" t="n"/>
      <c r="BX220" s="8" t="n"/>
      <c r="BY220" s="8" t="n"/>
      <c r="BZ220" s="8" t="n"/>
      <c r="CA220" s="8" t="n"/>
      <c r="CB220" s="8" t="n"/>
      <c r="CC220" s="8" t="n"/>
    </row>
    <row r="221">
      <c r="A221" s="8" t="n"/>
      <c r="B221" s="8" t="n"/>
      <c r="C221" s="19" t="n"/>
      <c r="D221" s="19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11" t="n"/>
      <c r="AS221" s="8" t="n"/>
      <c r="AT221" s="8" t="n"/>
      <c r="AU221" s="8" t="n"/>
      <c r="AV221" s="8" t="n"/>
      <c r="AW221" s="8" t="n"/>
      <c r="AX221" s="8" t="n"/>
      <c r="AY221" s="11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  <c r="BR221" s="8" t="n"/>
      <c r="BS221" s="8" t="n"/>
      <c r="BT221" s="8" t="n"/>
      <c r="BU221" s="8" t="n"/>
      <c r="BV221" s="8" t="n"/>
      <c r="BW221" s="8" t="n"/>
      <c r="BX221" s="8" t="n"/>
      <c r="BY221" s="8" t="n"/>
      <c r="BZ221" s="8" t="n"/>
      <c r="CA221" s="8" t="n"/>
      <c r="CB221" s="8" t="n"/>
      <c r="CC221" s="8" t="n"/>
    </row>
    <row r="222">
      <c r="A222" s="8" t="n"/>
      <c r="B222" s="8" t="n"/>
      <c r="C222" s="19" t="n"/>
      <c r="D222" s="19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11" t="n"/>
      <c r="AS222" s="8" t="n"/>
      <c r="AT222" s="8" t="n"/>
      <c r="AU222" s="8" t="n"/>
      <c r="AV222" s="8" t="n"/>
      <c r="AW222" s="8" t="n"/>
      <c r="AX222" s="8" t="n"/>
      <c r="AY222" s="11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  <c r="BR222" s="8" t="n"/>
      <c r="BS222" s="8" t="n"/>
      <c r="BT222" s="8" t="n"/>
      <c r="BU222" s="8" t="n"/>
      <c r="BV222" s="8" t="n"/>
      <c r="BW222" s="8" t="n"/>
      <c r="BX222" s="8" t="n"/>
      <c r="BY222" s="8" t="n"/>
      <c r="BZ222" s="8" t="n"/>
      <c r="CA222" s="8" t="n"/>
      <c r="CB222" s="8" t="n"/>
      <c r="CC222" s="8" t="n"/>
    </row>
    <row r="223">
      <c r="A223" s="8" t="n"/>
      <c r="B223" s="8" t="n"/>
      <c r="C223" s="19" t="n"/>
      <c r="D223" s="19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11" t="n"/>
      <c r="AS223" s="8" t="n"/>
      <c r="AT223" s="8" t="n"/>
      <c r="AU223" s="8" t="n"/>
      <c r="AV223" s="8" t="n"/>
      <c r="AW223" s="8" t="n"/>
      <c r="AX223" s="8" t="n"/>
      <c r="AY223" s="11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  <c r="BR223" s="8" t="n"/>
      <c r="BS223" s="8" t="n"/>
      <c r="BT223" s="8" t="n"/>
      <c r="BU223" s="8" t="n"/>
      <c r="BV223" s="8" t="n"/>
      <c r="BW223" s="8" t="n"/>
      <c r="BX223" s="8" t="n"/>
      <c r="BY223" s="8" t="n"/>
      <c r="BZ223" s="8" t="n"/>
      <c r="CA223" s="8" t="n"/>
      <c r="CB223" s="8" t="n"/>
      <c r="CC223" s="8" t="n"/>
    </row>
    <row r="224">
      <c r="A224" s="8" t="n"/>
      <c r="B224" s="8" t="n"/>
      <c r="C224" s="19" t="n"/>
      <c r="D224" s="19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11" t="n"/>
      <c r="AS224" s="8" t="n"/>
      <c r="AT224" s="8" t="n"/>
      <c r="AU224" s="8" t="n"/>
      <c r="AV224" s="8" t="n"/>
      <c r="AW224" s="8" t="n"/>
      <c r="AX224" s="8" t="n"/>
      <c r="AY224" s="11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  <c r="BR224" s="8" t="n"/>
      <c r="BS224" s="8" t="n"/>
      <c r="BT224" s="8" t="n"/>
      <c r="BU224" s="8" t="n"/>
      <c r="BV224" s="8" t="n"/>
      <c r="BW224" s="8" t="n"/>
      <c r="BX224" s="8" t="n"/>
      <c r="BY224" s="8" t="n"/>
      <c r="BZ224" s="8" t="n"/>
      <c r="CA224" s="8" t="n"/>
      <c r="CB224" s="8" t="n"/>
      <c r="CC224" s="8" t="n"/>
    </row>
    <row r="225">
      <c r="A225" s="8" t="n"/>
      <c r="B225" s="8" t="n"/>
      <c r="C225" s="19" t="n"/>
      <c r="D225" s="19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11" t="n"/>
      <c r="AS225" s="8" t="n"/>
      <c r="AT225" s="8" t="n"/>
      <c r="AU225" s="8" t="n"/>
      <c r="AV225" s="8" t="n"/>
      <c r="AW225" s="8" t="n"/>
      <c r="AX225" s="8" t="n"/>
      <c r="AY225" s="11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  <c r="BR225" s="8" t="n"/>
      <c r="BS225" s="8" t="n"/>
      <c r="BT225" s="8" t="n"/>
      <c r="BU225" s="8" t="n"/>
      <c r="BV225" s="8" t="n"/>
      <c r="BW225" s="8" t="n"/>
      <c r="BX225" s="8" t="n"/>
      <c r="BY225" s="8" t="n"/>
      <c r="BZ225" s="8" t="n"/>
      <c r="CA225" s="8" t="n"/>
      <c r="CB225" s="8" t="n"/>
      <c r="CC225" s="8" t="n"/>
    </row>
    <row r="226">
      <c r="A226" s="8" t="n"/>
      <c r="B226" s="8" t="n"/>
      <c r="C226" s="19" t="n"/>
      <c r="D226" s="19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11" t="n"/>
      <c r="AS226" s="8" t="n"/>
      <c r="AT226" s="8" t="n"/>
      <c r="AU226" s="8" t="n"/>
      <c r="AV226" s="8" t="n"/>
      <c r="AW226" s="8" t="n"/>
      <c r="AX226" s="8" t="n"/>
      <c r="AY226" s="11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  <c r="BR226" s="8" t="n"/>
      <c r="BS226" s="8" t="n"/>
      <c r="BT226" s="8" t="n"/>
      <c r="BU226" s="8" t="n"/>
      <c r="BV226" s="8" t="n"/>
      <c r="BW226" s="8" t="n"/>
      <c r="BX226" s="8" t="n"/>
      <c r="BY226" s="8" t="n"/>
      <c r="BZ226" s="8" t="n"/>
      <c r="CA226" s="8" t="n"/>
      <c r="CB226" s="8" t="n"/>
      <c r="CC226" s="8" t="n"/>
    </row>
    <row r="227">
      <c r="A227" s="8" t="n"/>
      <c r="B227" s="8" t="n"/>
      <c r="C227" s="19" t="n"/>
      <c r="D227" s="19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11" t="n"/>
      <c r="AS227" s="8" t="n"/>
      <c r="AT227" s="8" t="n"/>
      <c r="AU227" s="8" t="n"/>
      <c r="AV227" s="8" t="n"/>
      <c r="AW227" s="8" t="n"/>
      <c r="AX227" s="8" t="n"/>
      <c r="AY227" s="11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  <c r="BR227" s="8" t="n"/>
      <c r="BS227" s="8" t="n"/>
      <c r="BT227" s="8" t="n"/>
      <c r="BU227" s="8" t="n"/>
      <c r="BV227" s="8" t="n"/>
      <c r="BW227" s="8" t="n"/>
      <c r="BX227" s="8" t="n"/>
      <c r="BY227" s="8" t="n"/>
      <c r="BZ227" s="8" t="n"/>
      <c r="CA227" s="8" t="n"/>
      <c r="CB227" s="8" t="n"/>
      <c r="CC227" s="8" t="n"/>
    </row>
    <row r="228">
      <c r="A228" s="8" t="n"/>
      <c r="B228" s="8" t="n"/>
      <c r="C228" s="19" t="n"/>
      <c r="D228" s="19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11" t="n"/>
      <c r="AS228" s="8" t="n"/>
      <c r="AT228" s="8" t="n"/>
      <c r="AU228" s="8" t="n"/>
      <c r="AV228" s="8" t="n"/>
      <c r="AW228" s="8" t="n"/>
      <c r="AX228" s="8" t="n"/>
      <c r="AY228" s="11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  <c r="BR228" s="8" t="n"/>
      <c r="BS228" s="8" t="n"/>
      <c r="BT228" s="8" t="n"/>
      <c r="BU228" s="8" t="n"/>
      <c r="BV228" s="8" t="n"/>
      <c r="BW228" s="8" t="n"/>
      <c r="BX228" s="8" t="n"/>
      <c r="BY228" s="8" t="n"/>
      <c r="BZ228" s="8" t="n"/>
      <c r="CA228" s="8" t="n"/>
      <c r="CB228" s="8" t="n"/>
      <c r="CC228" s="8" t="n"/>
    </row>
    <row r="229">
      <c r="A229" s="8" t="n"/>
      <c r="B229" s="8" t="n"/>
      <c r="C229" s="19" t="n"/>
      <c r="D229" s="19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11" t="n"/>
      <c r="AS229" s="8" t="n"/>
      <c r="AT229" s="8" t="n"/>
      <c r="AU229" s="8" t="n"/>
      <c r="AV229" s="8" t="n"/>
      <c r="AW229" s="8" t="n"/>
      <c r="AX229" s="8" t="n"/>
      <c r="AY229" s="11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  <c r="BR229" s="8" t="n"/>
      <c r="BS229" s="8" t="n"/>
      <c r="BT229" s="8" t="n"/>
      <c r="BU229" s="8" t="n"/>
      <c r="BV229" s="8" t="n"/>
      <c r="BW229" s="8" t="n"/>
      <c r="BX229" s="8" t="n"/>
      <c r="BY229" s="8" t="n"/>
      <c r="BZ229" s="8" t="n"/>
      <c r="CA229" s="8" t="n"/>
      <c r="CB229" s="8" t="n"/>
      <c r="CC229" s="8" t="n"/>
    </row>
    <row r="230">
      <c r="A230" s="8" t="n"/>
      <c r="B230" s="8" t="n"/>
      <c r="C230" s="19" t="n"/>
      <c r="D230" s="19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11" t="n"/>
      <c r="AS230" s="8" t="n"/>
      <c r="AT230" s="8" t="n"/>
      <c r="AU230" s="8" t="n"/>
      <c r="AV230" s="8" t="n"/>
      <c r="AW230" s="8" t="n"/>
      <c r="AX230" s="8" t="n"/>
      <c r="AY230" s="11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  <c r="BR230" s="8" t="n"/>
      <c r="BS230" s="8" t="n"/>
      <c r="BT230" s="8" t="n"/>
      <c r="BU230" s="8" t="n"/>
      <c r="BV230" s="8" t="n"/>
      <c r="BW230" s="8" t="n"/>
      <c r="BX230" s="8" t="n"/>
      <c r="BY230" s="8" t="n"/>
      <c r="BZ230" s="8" t="n"/>
      <c r="CA230" s="8" t="n"/>
      <c r="CB230" s="8" t="n"/>
      <c r="CC230" s="8" t="n"/>
    </row>
    <row r="231">
      <c r="A231" s="8" t="n"/>
      <c r="B231" s="8" t="n"/>
      <c r="C231" s="19" t="n"/>
      <c r="D231" s="19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  <c r="AH231" s="21" t="n"/>
      <c r="AI231" s="21" t="n"/>
      <c r="AJ231" s="21" t="n"/>
      <c r="AK231" s="21" t="n"/>
      <c r="AL231" s="21" t="n"/>
      <c r="AM231" s="21" t="n"/>
      <c r="AN231" s="21" t="n"/>
      <c r="AO231" s="21" t="n"/>
      <c r="AP231" s="21" t="n"/>
      <c r="AQ231" s="21" t="n"/>
      <c r="AR231" s="21" t="n"/>
      <c r="AS231" s="21" t="n"/>
      <c r="AT231" s="21" t="n"/>
      <c r="AU231" s="21" t="n"/>
      <c r="AV231" s="21" t="n"/>
      <c r="AW231" s="21" t="n"/>
      <c r="AX231" s="21" t="n"/>
      <c r="AY231" s="21" t="n"/>
      <c r="AZ231" s="21" t="n"/>
      <c r="BA231" s="21" t="n"/>
      <c r="BB231" s="21" t="n"/>
      <c r="BC231" s="21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  <c r="BR231" s="8" t="n"/>
      <c r="BS231" s="8" t="n"/>
      <c r="BT231" s="8" t="n"/>
      <c r="BU231" s="8" t="n"/>
      <c r="BV231" s="8" t="n"/>
      <c r="BW231" s="8" t="n"/>
      <c r="BX231" s="8" t="n"/>
      <c r="BY231" s="8" t="n"/>
      <c r="BZ231" s="8" t="n"/>
      <c r="CA231" s="8" t="n"/>
      <c r="CB231" s="8" t="n"/>
      <c r="CC231" s="8" t="n"/>
    </row>
    <row r="232">
      <c r="A232" s="8" t="n"/>
      <c r="B232" s="8" t="n"/>
      <c r="C232" s="19" t="n"/>
      <c r="D232" s="19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n"/>
      <c r="AH232" s="21" t="n"/>
      <c r="AI232" s="21" t="n"/>
      <c r="AJ232" s="21" t="n"/>
      <c r="AK232" s="21" t="n"/>
      <c r="AL232" s="21" t="n"/>
      <c r="AM232" s="21" t="n"/>
      <c r="AN232" s="21" t="n"/>
      <c r="AO232" s="21" t="n"/>
      <c r="AP232" s="21" t="n"/>
      <c r="AQ232" s="21" t="n"/>
      <c r="AR232" s="21" t="n"/>
      <c r="AS232" s="21" t="n"/>
      <c r="AT232" s="21" t="n"/>
      <c r="AU232" s="21" t="n"/>
      <c r="AV232" s="21" t="n"/>
      <c r="AW232" s="21" t="n"/>
      <c r="AX232" s="21" t="n"/>
      <c r="AY232" s="21" t="n"/>
      <c r="AZ232" s="21" t="n"/>
      <c r="BA232" s="21" t="n"/>
      <c r="BB232" s="21" t="n"/>
      <c r="BC232" s="21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  <c r="BR232" s="8" t="n"/>
      <c r="BS232" s="8" t="n"/>
      <c r="BT232" s="8" t="n"/>
      <c r="BU232" s="8" t="n"/>
      <c r="BV232" s="8" t="n"/>
      <c r="BW232" s="8" t="n"/>
      <c r="BX232" s="8" t="n"/>
      <c r="BY232" s="8" t="n"/>
      <c r="BZ232" s="8" t="n"/>
      <c r="CA232" s="8" t="n"/>
      <c r="CB232" s="8" t="n"/>
      <c r="CC232" s="8" t="n"/>
    </row>
    <row r="233">
      <c r="A233" s="8" t="n"/>
      <c r="B233" s="8" t="n"/>
      <c r="C233" s="19" t="n"/>
      <c r="D233" s="19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  <c r="AA233" s="21" t="n"/>
      <c r="AB233" s="21" t="n"/>
      <c r="AC233" s="21" t="n"/>
      <c r="AD233" s="21" t="n"/>
      <c r="AE233" s="21" t="n"/>
      <c r="AF233" s="21" t="n"/>
      <c r="AG233" s="21" t="n"/>
      <c r="AH233" s="21" t="n"/>
      <c r="AI233" s="21" t="n"/>
      <c r="AJ233" s="21" t="n"/>
      <c r="AK233" s="21" t="n"/>
      <c r="AL233" s="21" t="n"/>
      <c r="AM233" s="21" t="n"/>
      <c r="AN233" s="21" t="n"/>
      <c r="AO233" s="21" t="n"/>
      <c r="AP233" s="21" t="n"/>
      <c r="AQ233" s="21" t="n"/>
      <c r="AR233" s="21" t="n"/>
      <c r="AS233" s="21" t="n"/>
      <c r="AT233" s="21" t="n"/>
      <c r="AU233" s="21" t="n"/>
      <c r="AV233" s="21" t="n"/>
      <c r="AW233" s="21" t="n"/>
      <c r="AX233" s="21" t="n"/>
      <c r="AY233" s="21" t="n"/>
      <c r="AZ233" s="21" t="n"/>
      <c r="BA233" s="21" t="n"/>
      <c r="BB233" s="21" t="n"/>
      <c r="BC233" s="21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  <c r="BR233" s="8" t="n"/>
      <c r="BS233" s="8" t="n"/>
      <c r="BT233" s="8" t="n"/>
      <c r="BU233" s="8" t="n"/>
      <c r="BV233" s="8" t="n"/>
      <c r="BW233" s="8" t="n"/>
      <c r="BX233" s="8" t="n"/>
      <c r="BY233" s="8" t="n"/>
      <c r="BZ233" s="8" t="n"/>
      <c r="CA233" s="8" t="n"/>
      <c r="CB233" s="8" t="n"/>
      <c r="CC233" s="8" t="n"/>
    </row>
    <row r="234">
      <c r="A234" s="8" t="n"/>
      <c r="B234" s="8" t="n"/>
      <c r="C234" s="19" t="n"/>
      <c r="D234" s="19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  <c r="AA234" s="21" t="n"/>
      <c r="AB234" s="21" t="n"/>
      <c r="AC234" s="21" t="n"/>
      <c r="AD234" s="21" t="n"/>
      <c r="AE234" s="21" t="n"/>
      <c r="AF234" s="21" t="n"/>
      <c r="AG234" s="21" t="n"/>
      <c r="AH234" s="21" t="n"/>
      <c r="AI234" s="21" t="n"/>
      <c r="AJ234" s="21" t="n"/>
      <c r="AK234" s="21" t="n"/>
      <c r="AL234" s="21" t="n"/>
      <c r="AM234" s="21" t="n"/>
      <c r="AN234" s="21" t="n"/>
      <c r="AO234" s="21" t="n"/>
      <c r="AP234" s="21" t="n"/>
      <c r="AQ234" s="21" t="n"/>
      <c r="AR234" s="21" t="n"/>
      <c r="AS234" s="21" t="n"/>
      <c r="AT234" s="21" t="n"/>
      <c r="AU234" s="21" t="n"/>
      <c r="AV234" s="21" t="n"/>
      <c r="AW234" s="21" t="n"/>
      <c r="AX234" s="21" t="n"/>
      <c r="AY234" s="21" t="n"/>
      <c r="AZ234" s="21" t="n"/>
      <c r="BA234" s="21" t="n"/>
      <c r="BB234" s="21" t="n"/>
      <c r="BC234" s="21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  <c r="BR234" s="8" t="n"/>
      <c r="BS234" s="8" t="n"/>
      <c r="BT234" s="8" t="n"/>
      <c r="BU234" s="8" t="n"/>
      <c r="BV234" s="8" t="n"/>
      <c r="BW234" s="8" t="n"/>
      <c r="BX234" s="8" t="n"/>
      <c r="BY234" s="8" t="n"/>
      <c r="BZ234" s="8" t="n"/>
      <c r="CA234" s="8" t="n"/>
      <c r="CB234" s="8" t="n"/>
      <c r="CC234" s="8" t="n"/>
    </row>
    <row r="235">
      <c r="A235" s="8" t="n"/>
      <c r="B235" s="8" t="n"/>
      <c r="C235" s="19" t="n"/>
      <c r="D235" s="19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  <c r="AA235" s="21" t="n"/>
      <c r="AB235" s="21" t="n"/>
      <c r="AC235" s="21" t="n"/>
      <c r="AD235" s="21" t="n"/>
      <c r="AE235" s="21" t="n"/>
      <c r="AF235" s="21" t="n"/>
      <c r="AG235" s="21" t="n"/>
      <c r="AH235" s="21" t="n"/>
      <c r="AI235" s="21" t="n"/>
      <c r="AJ235" s="21" t="n"/>
      <c r="AK235" s="21" t="n"/>
      <c r="AL235" s="21" t="n"/>
      <c r="AM235" s="21" t="n"/>
      <c r="AN235" s="21" t="n"/>
      <c r="AO235" s="21" t="n"/>
      <c r="AP235" s="21" t="n"/>
      <c r="AQ235" s="21" t="n"/>
      <c r="AR235" s="21" t="n"/>
      <c r="AS235" s="21" t="n"/>
      <c r="AT235" s="21" t="n"/>
      <c r="AU235" s="21" t="n"/>
      <c r="AV235" s="21" t="n"/>
      <c r="AW235" s="21" t="n"/>
      <c r="AX235" s="21" t="n"/>
      <c r="AY235" s="21" t="n"/>
      <c r="AZ235" s="21" t="n"/>
      <c r="BA235" s="21" t="n"/>
      <c r="BB235" s="21" t="n"/>
      <c r="BC235" s="21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  <c r="BR235" s="8" t="n"/>
      <c r="BS235" s="8" t="n"/>
      <c r="BT235" s="8" t="n"/>
      <c r="BU235" s="8" t="n"/>
      <c r="BV235" s="8" t="n"/>
      <c r="BW235" s="8" t="n"/>
      <c r="BX235" s="8" t="n"/>
      <c r="BY235" s="8" t="n"/>
      <c r="BZ235" s="8" t="n"/>
      <c r="CA235" s="8" t="n"/>
      <c r="CB235" s="8" t="n"/>
      <c r="CC235" s="8" t="n"/>
    </row>
    <row r="236">
      <c r="A236" s="8" t="n"/>
      <c r="B236" s="8" t="n"/>
      <c r="C236" s="19" t="n"/>
      <c r="D236" s="19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  <c r="AA236" s="21" t="n"/>
      <c r="AB236" s="21" t="n"/>
      <c r="AC236" s="21" t="n"/>
      <c r="AD236" s="21" t="n"/>
      <c r="AE236" s="21" t="n"/>
      <c r="AF236" s="21" t="n"/>
      <c r="AG236" s="21" t="n"/>
      <c r="AH236" s="21" t="n"/>
      <c r="AI236" s="21" t="n"/>
      <c r="AJ236" s="21" t="n"/>
      <c r="AK236" s="21" t="n"/>
      <c r="AL236" s="21" t="n"/>
      <c r="AM236" s="21" t="n"/>
      <c r="AN236" s="21" t="n"/>
      <c r="AO236" s="21" t="n"/>
      <c r="AP236" s="21" t="n"/>
      <c r="AQ236" s="21" t="n"/>
      <c r="AR236" s="21" t="n"/>
      <c r="AS236" s="21" t="n"/>
      <c r="AT236" s="21" t="n"/>
      <c r="AU236" s="21" t="n"/>
      <c r="AV236" s="21" t="n"/>
      <c r="AW236" s="21" t="n"/>
      <c r="AX236" s="21" t="n"/>
      <c r="AY236" s="21" t="n"/>
      <c r="AZ236" s="21" t="n"/>
      <c r="BA236" s="21" t="n"/>
      <c r="BB236" s="21" t="n"/>
      <c r="BC236" s="21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  <c r="BR236" s="8" t="n"/>
      <c r="BS236" s="8" t="n"/>
      <c r="BT236" s="8" t="n"/>
      <c r="BU236" s="8" t="n"/>
      <c r="BV236" s="8" t="n"/>
      <c r="BW236" s="8" t="n"/>
      <c r="BX236" s="8" t="n"/>
      <c r="BY236" s="8" t="n"/>
      <c r="BZ236" s="8" t="n"/>
      <c r="CA236" s="8" t="n"/>
      <c r="CB236" s="8" t="n"/>
      <c r="CC236" s="8" t="n"/>
    </row>
    <row r="237">
      <c r="A237" s="8" t="n"/>
      <c r="B237" s="8" t="n"/>
      <c r="C237" s="19" t="n"/>
      <c r="D237" s="19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  <c r="AA237" s="21" t="n"/>
      <c r="AB237" s="21" t="n"/>
      <c r="AC237" s="21" t="n"/>
      <c r="AD237" s="21" t="n"/>
      <c r="AE237" s="21" t="n"/>
      <c r="AF237" s="21" t="n"/>
      <c r="AG237" s="21" t="n"/>
      <c r="AH237" s="21" t="n"/>
      <c r="AI237" s="21" t="n"/>
      <c r="AJ237" s="21" t="n"/>
      <c r="AK237" s="21" t="n"/>
      <c r="AL237" s="21" t="n"/>
      <c r="AM237" s="21" t="n"/>
      <c r="AN237" s="21" t="n"/>
      <c r="AO237" s="21" t="n"/>
      <c r="AP237" s="21" t="n"/>
      <c r="AQ237" s="21" t="n"/>
      <c r="AR237" s="21" t="n"/>
      <c r="AS237" s="21" t="n"/>
      <c r="AT237" s="21" t="n"/>
      <c r="AU237" s="21" t="n"/>
      <c r="AV237" s="21" t="n"/>
      <c r="AW237" s="21" t="n"/>
      <c r="AX237" s="21" t="n"/>
      <c r="AY237" s="21" t="n"/>
      <c r="AZ237" s="21" t="n"/>
      <c r="BA237" s="21" t="n"/>
      <c r="BB237" s="21" t="n"/>
      <c r="BC237" s="21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  <c r="BR237" s="8" t="n"/>
      <c r="BS237" s="8" t="n"/>
      <c r="BT237" s="8" t="n"/>
      <c r="BU237" s="8" t="n"/>
      <c r="BV237" s="8" t="n"/>
      <c r="BW237" s="8" t="n"/>
      <c r="BX237" s="8" t="n"/>
      <c r="BY237" s="8" t="n"/>
      <c r="BZ237" s="8" t="n"/>
      <c r="CA237" s="8" t="n"/>
      <c r="CB237" s="8" t="n"/>
      <c r="CC237" s="8" t="n"/>
    </row>
    <row r="238">
      <c r="A238" s="8" t="n"/>
      <c r="B238" s="8" t="n"/>
      <c r="C238" s="19" t="n"/>
      <c r="D238" s="19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  <c r="AA238" s="21" t="n"/>
      <c r="AB238" s="21" t="n"/>
      <c r="AC238" s="21" t="n"/>
      <c r="AD238" s="21" t="n"/>
      <c r="AE238" s="21" t="n"/>
      <c r="AF238" s="21" t="n"/>
      <c r="AG238" s="21" t="n"/>
      <c r="AH238" s="21" t="n"/>
      <c r="AI238" s="21" t="n"/>
      <c r="AJ238" s="21" t="n"/>
      <c r="AK238" s="21" t="n"/>
      <c r="AL238" s="21" t="n"/>
      <c r="AM238" s="21" t="n"/>
      <c r="AN238" s="21" t="n"/>
      <c r="AO238" s="21" t="n"/>
      <c r="AP238" s="21" t="n"/>
      <c r="AQ238" s="21" t="n"/>
      <c r="AR238" s="21" t="n"/>
      <c r="AS238" s="21" t="n"/>
      <c r="AT238" s="21" t="n"/>
      <c r="AU238" s="21" t="n"/>
      <c r="AV238" s="21" t="n"/>
      <c r="AW238" s="21" t="n"/>
      <c r="AX238" s="21" t="n"/>
      <c r="AY238" s="21" t="n"/>
      <c r="AZ238" s="21" t="n"/>
      <c r="BA238" s="21" t="n"/>
      <c r="BB238" s="21" t="n"/>
      <c r="BC238" s="21" t="n"/>
      <c r="BD238" s="8" t="n"/>
      <c r="BE238" s="8" t="n"/>
      <c r="BF238" s="8" t="n"/>
      <c r="BG238" s="8" t="n"/>
      <c r="BH238" s="8" t="n"/>
      <c r="BI238" s="8" t="n"/>
      <c r="BJ238" s="8" t="n"/>
      <c r="BK238" s="8" t="n"/>
      <c r="BL238" s="8" t="n"/>
      <c r="BM238" s="8" t="n"/>
      <c r="BN238" s="8" t="n"/>
      <c r="BO238" s="8" t="n"/>
      <c r="BP238" s="8" t="n"/>
      <c r="BQ238" s="8" t="n"/>
      <c r="BR238" s="8" t="n"/>
      <c r="BS238" s="8" t="n"/>
      <c r="BT238" s="8" t="n"/>
      <c r="BU238" s="8" t="n"/>
      <c r="BV238" s="8" t="n"/>
      <c r="BW238" s="8" t="n"/>
      <c r="BX238" s="8" t="n"/>
      <c r="BY238" s="8" t="n"/>
      <c r="BZ238" s="8" t="n"/>
      <c r="CA238" s="8" t="n"/>
      <c r="CB238" s="8" t="n"/>
      <c r="CC238" s="8" t="n"/>
    </row>
    <row r="239">
      <c r="A239" s="8" t="n"/>
      <c r="B239" s="8" t="n"/>
      <c r="C239" s="19" t="n"/>
      <c r="D239" s="19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  <c r="AA239" s="21" t="n"/>
      <c r="AB239" s="21" t="n"/>
      <c r="AC239" s="21" t="n"/>
      <c r="AD239" s="21" t="n"/>
      <c r="AE239" s="21" t="n"/>
      <c r="AF239" s="21" t="n"/>
      <c r="AG239" s="21" t="n"/>
      <c r="AH239" s="21" t="n"/>
      <c r="AI239" s="21" t="n"/>
      <c r="AJ239" s="21" t="n"/>
      <c r="AK239" s="21" t="n"/>
      <c r="AL239" s="21" t="n"/>
      <c r="AM239" s="21" t="n"/>
      <c r="AN239" s="21" t="n"/>
      <c r="AO239" s="21" t="n"/>
      <c r="AP239" s="21" t="n"/>
      <c r="AQ239" s="21" t="n"/>
      <c r="AR239" s="21" t="n"/>
      <c r="AS239" s="21" t="n"/>
      <c r="AT239" s="21" t="n"/>
      <c r="AU239" s="21" t="n"/>
      <c r="AV239" s="21" t="n"/>
      <c r="AW239" s="21" t="n"/>
      <c r="AX239" s="21" t="n"/>
      <c r="AY239" s="21" t="n"/>
      <c r="AZ239" s="21" t="n"/>
      <c r="BA239" s="21" t="n"/>
      <c r="BB239" s="21" t="n"/>
      <c r="BC239" s="21" t="n"/>
      <c r="BD239" s="8" t="n"/>
      <c r="BE239" s="8" t="n"/>
      <c r="BF239" s="8" t="n"/>
      <c r="BG239" s="8" t="n"/>
      <c r="BH239" s="8" t="n"/>
      <c r="BI239" s="8" t="n"/>
      <c r="BJ239" s="8" t="n"/>
      <c r="BK239" s="8" t="n"/>
      <c r="BL239" s="8" t="n"/>
      <c r="BM239" s="8" t="n"/>
      <c r="BN239" s="8" t="n"/>
      <c r="BO239" s="8" t="n"/>
      <c r="BP239" s="8" t="n"/>
      <c r="BQ239" s="8" t="n"/>
      <c r="BR239" s="8" t="n"/>
      <c r="BS239" s="8" t="n"/>
      <c r="BT239" s="8" t="n"/>
      <c r="BU239" s="8" t="n"/>
      <c r="BV239" s="8" t="n"/>
      <c r="BW239" s="8" t="n"/>
      <c r="BX239" s="8" t="n"/>
      <c r="BY239" s="8" t="n"/>
      <c r="BZ239" s="8" t="n"/>
      <c r="CA239" s="8" t="n"/>
      <c r="CB239" s="8" t="n"/>
      <c r="CC239" s="8" t="n"/>
    </row>
    <row r="240">
      <c r="A240" s="8" t="n"/>
      <c r="B240" s="8" t="n"/>
      <c r="C240" s="19" t="n"/>
      <c r="D240" s="19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  <c r="AA240" s="21" t="n"/>
      <c r="AB240" s="21" t="n"/>
      <c r="AC240" s="21" t="n"/>
      <c r="AD240" s="21" t="n"/>
      <c r="AE240" s="21" t="n"/>
      <c r="AF240" s="21" t="n"/>
      <c r="AG240" s="21" t="n"/>
      <c r="AH240" s="21" t="n"/>
      <c r="AI240" s="21" t="n"/>
      <c r="AJ240" s="21" t="n"/>
      <c r="AK240" s="21" t="n"/>
      <c r="AL240" s="21" t="n"/>
      <c r="AM240" s="21" t="n"/>
      <c r="AN240" s="21" t="n"/>
      <c r="AO240" s="21" t="n"/>
      <c r="AP240" s="21" t="n"/>
      <c r="AQ240" s="21" t="n"/>
      <c r="AR240" s="21" t="n"/>
      <c r="AS240" s="21" t="n"/>
      <c r="AT240" s="21" t="n"/>
      <c r="AU240" s="21" t="n"/>
      <c r="AV240" s="21" t="n"/>
      <c r="AW240" s="21" t="n"/>
      <c r="AX240" s="21" t="n"/>
      <c r="AY240" s="21" t="n"/>
      <c r="AZ240" s="21" t="n"/>
      <c r="BA240" s="21" t="n"/>
      <c r="BB240" s="21" t="n"/>
      <c r="BC240" s="21" t="n"/>
      <c r="BD240" s="8" t="n"/>
      <c r="BE240" s="8" t="n"/>
      <c r="BF240" s="8" t="n"/>
      <c r="BG240" s="8" t="n"/>
      <c r="BH240" s="8" t="n"/>
      <c r="BI240" s="8" t="n"/>
      <c r="BJ240" s="8" t="n"/>
      <c r="BK240" s="8" t="n"/>
      <c r="BL240" s="8" t="n"/>
      <c r="BM240" s="8" t="n"/>
      <c r="BN240" s="8" t="n"/>
      <c r="BO240" s="8" t="n"/>
      <c r="BP240" s="8" t="n"/>
      <c r="BQ240" s="8" t="n"/>
      <c r="BR240" s="8" t="n"/>
      <c r="BS240" s="8" t="n"/>
      <c r="BT240" s="8" t="n"/>
      <c r="BU240" s="8" t="n"/>
      <c r="BV240" s="8" t="n"/>
      <c r="BW240" s="8" t="n"/>
      <c r="BX240" s="8" t="n"/>
      <c r="BY240" s="8" t="n"/>
      <c r="BZ240" s="8" t="n"/>
      <c r="CA240" s="8" t="n"/>
      <c r="CB240" s="8" t="n"/>
      <c r="CC240" s="8" t="n"/>
    </row>
    <row r="241">
      <c r="A241" s="8" t="n"/>
      <c r="B241" s="8" t="n"/>
      <c r="C241" s="19" t="n"/>
      <c r="D241" s="19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  <c r="AA241" s="21" t="n"/>
      <c r="AB241" s="21" t="n"/>
      <c r="AC241" s="21" t="n"/>
      <c r="AD241" s="21" t="n"/>
      <c r="AE241" s="21" t="n"/>
      <c r="AF241" s="21" t="n"/>
      <c r="AG241" s="21" t="n"/>
      <c r="AH241" s="21" t="n"/>
      <c r="AI241" s="21" t="n"/>
      <c r="AJ241" s="21" t="n"/>
      <c r="AK241" s="21" t="n"/>
      <c r="AL241" s="21" t="n"/>
      <c r="AM241" s="21" t="n"/>
      <c r="AN241" s="21" t="n"/>
      <c r="AO241" s="21" t="n"/>
      <c r="AP241" s="21" t="n"/>
      <c r="AQ241" s="21" t="n"/>
      <c r="AR241" s="21" t="n"/>
      <c r="AS241" s="21" t="n"/>
      <c r="AT241" s="21" t="n"/>
      <c r="AU241" s="21" t="n"/>
      <c r="AV241" s="21" t="n"/>
      <c r="AW241" s="21" t="n"/>
      <c r="AX241" s="21" t="n"/>
      <c r="AY241" s="21" t="n"/>
      <c r="AZ241" s="21" t="n"/>
      <c r="BA241" s="21" t="n"/>
      <c r="BB241" s="21" t="n"/>
      <c r="BC241" s="21" t="n"/>
      <c r="BD241" s="8" t="n"/>
      <c r="BE241" s="8" t="n"/>
      <c r="BF241" s="8" t="n"/>
      <c r="BG241" s="8" t="n"/>
      <c r="BH241" s="8" t="n"/>
      <c r="BI241" s="8" t="n"/>
      <c r="BJ241" s="8" t="n"/>
      <c r="BK241" s="8" t="n"/>
      <c r="BL241" s="8" t="n"/>
      <c r="BM241" s="8" t="n"/>
      <c r="BN241" s="8" t="n"/>
      <c r="BO241" s="8" t="n"/>
      <c r="BP241" s="8" t="n"/>
      <c r="BQ241" s="8" t="n"/>
      <c r="BR241" s="8" t="n"/>
      <c r="BS241" s="8" t="n"/>
      <c r="BT241" s="8" t="n"/>
      <c r="BU241" s="8" t="n"/>
      <c r="BV241" s="8" t="n"/>
      <c r="BW241" s="8" t="n"/>
      <c r="BX241" s="8" t="n"/>
      <c r="BY241" s="8" t="n"/>
      <c r="BZ241" s="8" t="n"/>
      <c r="CA241" s="8" t="n"/>
      <c r="CB241" s="8" t="n"/>
      <c r="CC241" s="8" t="n"/>
    </row>
    <row r="242">
      <c r="A242" s="8" t="n"/>
      <c r="B242" s="8" t="n"/>
      <c r="C242" s="19" t="n"/>
      <c r="D242" s="19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21" t="n"/>
      <c r="AD242" s="21" t="n"/>
      <c r="AE242" s="21" t="n"/>
      <c r="AF242" s="21" t="n"/>
      <c r="AG242" s="21" t="n"/>
      <c r="AH242" s="21" t="n"/>
      <c r="AI242" s="21" t="n"/>
      <c r="AJ242" s="21" t="n"/>
      <c r="AK242" s="21" t="n"/>
      <c r="AL242" s="21" t="n"/>
      <c r="AM242" s="21" t="n"/>
      <c r="AN242" s="21" t="n"/>
      <c r="AO242" s="21" t="n"/>
      <c r="AP242" s="21" t="n"/>
      <c r="AQ242" s="21" t="n"/>
      <c r="AR242" s="21" t="n"/>
      <c r="AS242" s="21" t="n"/>
      <c r="AT242" s="21" t="n"/>
      <c r="AU242" s="21" t="n"/>
      <c r="AV242" s="21" t="n"/>
      <c r="AW242" s="21" t="n"/>
      <c r="AX242" s="21" t="n"/>
      <c r="AY242" s="21" t="n"/>
      <c r="AZ242" s="21" t="n"/>
      <c r="BA242" s="21" t="n"/>
      <c r="BB242" s="21" t="n"/>
      <c r="BC242" s="21" t="n"/>
      <c r="BD242" s="8" t="n"/>
      <c r="BE242" s="8" t="n"/>
      <c r="BF242" s="8" t="n"/>
      <c r="BG242" s="8" t="n"/>
      <c r="BH242" s="8" t="n"/>
      <c r="BI242" s="8" t="n"/>
      <c r="BJ242" s="8" t="n"/>
      <c r="BK242" s="8" t="n"/>
      <c r="BL242" s="8" t="n"/>
      <c r="BM242" s="8" t="n"/>
      <c r="BN242" s="8" t="n"/>
      <c r="BO242" s="8" t="n"/>
      <c r="BP242" s="8" t="n"/>
      <c r="BQ242" s="8" t="n"/>
      <c r="BR242" s="8" t="n"/>
      <c r="BS242" s="8" t="n"/>
      <c r="BT242" s="8" t="n"/>
      <c r="BU242" s="8" t="n"/>
      <c r="BV242" s="8" t="n"/>
      <c r="BW242" s="8" t="n"/>
      <c r="BX242" s="8" t="n"/>
      <c r="BY242" s="8" t="n"/>
      <c r="BZ242" s="8" t="n"/>
      <c r="CA242" s="8" t="n"/>
      <c r="CB242" s="8" t="n"/>
      <c r="CC242" s="8" t="n"/>
    </row>
    <row r="243">
      <c r="A243" s="21" t="n"/>
      <c r="B243" s="21" t="n"/>
      <c r="C243" s="19" t="n"/>
      <c r="D243" s="19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  <c r="AA243" s="21" t="n"/>
      <c r="AB243" s="21" t="n"/>
      <c r="AC243" s="21" t="n"/>
      <c r="AD243" s="21" t="n"/>
      <c r="AE243" s="21" t="n"/>
      <c r="AF243" s="21" t="n"/>
      <c r="AG243" s="21" t="n"/>
      <c r="AH243" s="21" t="n"/>
      <c r="AI243" s="21" t="n"/>
      <c r="AJ243" s="21" t="n"/>
      <c r="AK243" s="21" t="n"/>
      <c r="AL243" s="21" t="n"/>
      <c r="AM243" s="21" t="n"/>
      <c r="AN243" s="21" t="n"/>
      <c r="AO243" s="21" t="n"/>
      <c r="AP243" s="21" t="n"/>
      <c r="AQ243" s="21" t="n"/>
      <c r="AR243" s="21" t="n"/>
      <c r="AS243" s="21" t="n"/>
      <c r="AT243" s="21" t="n"/>
      <c r="AU243" s="21" t="n"/>
      <c r="AV243" s="21" t="n"/>
      <c r="AW243" s="21" t="n"/>
      <c r="AX243" s="21" t="n"/>
      <c r="AY243" s="21" t="n"/>
      <c r="AZ243" s="21" t="n"/>
      <c r="BA243" s="21" t="n"/>
      <c r="BB243" s="21" t="n"/>
      <c r="BC243" s="21" t="n"/>
      <c r="BD243" s="8" t="n"/>
      <c r="BE243" s="8" t="n"/>
      <c r="BF243" s="8" t="n"/>
      <c r="BG243" s="8" t="n"/>
      <c r="BH243" s="8" t="n"/>
      <c r="BI243" s="8" t="n"/>
      <c r="BJ243" s="8" t="n"/>
      <c r="BK243" s="8" t="n"/>
      <c r="BL243" s="8" t="n"/>
      <c r="BM243" s="8" t="n"/>
      <c r="BN243" s="8" t="n"/>
      <c r="BO243" s="8" t="n"/>
      <c r="BP243" s="8" t="n"/>
      <c r="BQ243" s="8" t="n"/>
      <c r="BR243" s="8" t="n"/>
      <c r="BS243" s="8" t="n"/>
      <c r="BT243" s="8" t="n"/>
      <c r="BU243" s="8" t="n"/>
      <c r="BV243" s="8" t="n"/>
      <c r="BW243" s="8" t="n"/>
      <c r="BX243" s="8" t="n"/>
      <c r="BY243" s="8" t="n"/>
      <c r="BZ243" s="8" t="n"/>
      <c r="CA243" s="8" t="n"/>
      <c r="CB243" s="8" t="n"/>
      <c r="CC243" s="8" t="n"/>
    </row>
    <row r="244">
      <c r="A244" s="21" t="n"/>
      <c r="B244" s="21" t="n"/>
      <c r="C244" s="19" t="n"/>
      <c r="D244" s="19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  <c r="AA244" s="21" t="n"/>
      <c r="AB244" s="21" t="n"/>
      <c r="AC244" s="21" t="n"/>
      <c r="AD244" s="21" t="n"/>
      <c r="AE244" s="21" t="n"/>
      <c r="AF244" s="21" t="n"/>
      <c r="AG244" s="21" t="n"/>
      <c r="AH244" s="21" t="n"/>
      <c r="AI244" s="21" t="n"/>
      <c r="AJ244" s="21" t="n"/>
      <c r="AK244" s="21" t="n"/>
      <c r="AL244" s="21" t="n"/>
      <c r="AM244" s="21" t="n"/>
      <c r="AN244" s="21" t="n"/>
      <c r="AO244" s="21" t="n"/>
      <c r="AP244" s="21" t="n"/>
      <c r="AQ244" s="21" t="n"/>
      <c r="AR244" s="21" t="n"/>
      <c r="AS244" s="21" t="n"/>
      <c r="AT244" s="21" t="n"/>
      <c r="AU244" s="21" t="n"/>
      <c r="AV244" s="21" t="n"/>
      <c r="AW244" s="21" t="n"/>
      <c r="AX244" s="21" t="n"/>
      <c r="AY244" s="21" t="n"/>
      <c r="AZ244" s="21" t="n"/>
      <c r="BA244" s="21" t="n"/>
      <c r="BB244" s="21" t="n"/>
      <c r="BC244" s="21" t="n"/>
      <c r="BD244" s="21" t="n"/>
      <c r="BE244" s="21" t="n"/>
      <c r="BF244" s="21" t="n"/>
      <c r="BG244" s="21" t="n"/>
      <c r="BH244" s="21" t="n"/>
      <c r="BI244" s="21" t="n"/>
      <c r="BJ244" s="21" t="n"/>
      <c r="BK244" s="21" t="n"/>
      <c r="BL244" s="21" t="n"/>
      <c r="BM244" s="21" t="n"/>
      <c r="BN244" s="21" t="n"/>
      <c r="BO244" s="21" t="n"/>
      <c r="BP244" s="21" t="n"/>
      <c r="BQ244" s="21" t="n"/>
      <c r="BR244" s="21" t="n"/>
      <c r="BS244" s="21" t="n"/>
      <c r="BT244" s="21" t="n"/>
      <c r="BU244" s="21" t="n"/>
      <c r="BV244" s="21" t="n"/>
      <c r="BW244" s="21" t="n"/>
      <c r="BX244" s="21" t="n"/>
      <c r="BY244" s="21" t="n"/>
      <c r="BZ244" s="21" t="n"/>
      <c r="CA244" s="21" t="n"/>
      <c r="CB244" s="21" t="n"/>
      <c r="CC244" s="21" t="n"/>
    </row>
    <row r="245">
      <c r="A245" s="21" t="n"/>
      <c r="B245" s="21" t="n"/>
      <c r="C245" s="19" t="n"/>
      <c r="D245" s="19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  <c r="AA245" s="21" t="n"/>
      <c r="AB245" s="21" t="n"/>
      <c r="AC245" s="21" t="n"/>
      <c r="AD245" s="21" t="n"/>
      <c r="AE245" s="21" t="n"/>
      <c r="AF245" s="21" t="n"/>
      <c r="AG245" s="21" t="n"/>
      <c r="AH245" s="21" t="n"/>
      <c r="AI245" s="21" t="n"/>
      <c r="AJ245" s="21" t="n"/>
      <c r="AK245" s="21" t="n"/>
      <c r="AL245" s="21" t="n"/>
      <c r="AM245" s="21" t="n"/>
      <c r="AN245" s="21" t="n"/>
      <c r="AO245" s="21" t="n"/>
      <c r="AP245" s="21" t="n"/>
      <c r="AQ245" s="21" t="n"/>
      <c r="AR245" s="21" t="n"/>
      <c r="AS245" s="21" t="n"/>
      <c r="AT245" s="21" t="n"/>
      <c r="AU245" s="21" t="n"/>
      <c r="AV245" s="21" t="n"/>
      <c r="AW245" s="21" t="n"/>
      <c r="AX245" s="21" t="n"/>
      <c r="AY245" s="21" t="n"/>
      <c r="AZ245" s="21" t="n"/>
      <c r="BA245" s="21" t="n"/>
      <c r="BB245" s="21" t="n"/>
      <c r="BC245" s="21" t="n"/>
      <c r="BD245" s="21" t="n"/>
      <c r="BE245" s="21" t="n"/>
      <c r="BF245" s="21" t="n"/>
      <c r="BG245" s="21" t="n"/>
      <c r="BH245" s="21" t="n"/>
      <c r="BI245" s="21" t="n"/>
      <c r="BJ245" s="21" t="n"/>
      <c r="BK245" s="21" t="n"/>
      <c r="BL245" s="21" t="n"/>
      <c r="BM245" s="21" t="n"/>
      <c r="BN245" s="21" t="n"/>
      <c r="BO245" s="21" t="n"/>
      <c r="BP245" s="21" t="n"/>
      <c r="BQ245" s="21" t="n"/>
      <c r="BR245" s="21" t="n"/>
      <c r="BS245" s="21" t="n"/>
      <c r="BT245" s="21" t="n"/>
      <c r="BU245" s="21" t="n"/>
      <c r="BV245" s="21" t="n"/>
      <c r="BW245" s="21" t="n"/>
      <c r="BX245" s="21" t="n"/>
      <c r="BY245" s="21" t="n"/>
      <c r="BZ245" s="21" t="n"/>
      <c r="CA245" s="21" t="n"/>
      <c r="CB245" s="21" t="n"/>
      <c r="CC245" s="21" t="n"/>
    </row>
    <row r="246">
      <c r="A246" s="21" t="n"/>
      <c r="B246" s="21" t="n"/>
      <c r="C246" s="19" t="n"/>
      <c r="D246" s="19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  <c r="AA246" s="21" t="n"/>
      <c r="AB246" s="21" t="n"/>
      <c r="AC246" s="21" t="n"/>
      <c r="AD246" s="21" t="n"/>
      <c r="AE246" s="21" t="n"/>
      <c r="AF246" s="21" t="n"/>
      <c r="AG246" s="21" t="n"/>
      <c r="AH246" s="21" t="n"/>
      <c r="AI246" s="21" t="n"/>
      <c r="AJ246" s="21" t="n"/>
      <c r="AK246" s="21" t="n"/>
      <c r="AL246" s="21" t="n"/>
      <c r="AM246" s="21" t="n"/>
      <c r="AN246" s="21" t="n"/>
      <c r="AO246" s="21" t="n"/>
      <c r="AP246" s="21" t="n"/>
      <c r="AQ246" s="21" t="n"/>
      <c r="AR246" s="21" t="n"/>
      <c r="AS246" s="21" t="n"/>
      <c r="AT246" s="21" t="n"/>
      <c r="AU246" s="21" t="n"/>
      <c r="AV246" s="21" t="n"/>
      <c r="AW246" s="21" t="n"/>
      <c r="AX246" s="21" t="n"/>
      <c r="AY246" s="21" t="n"/>
      <c r="AZ246" s="21" t="n"/>
      <c r="BA246" s="21" t="n"/>
      <c r="BB246" s="21" t="n"/>
      <c r="BC246" s="21" t="n"/>
      <c r="BD246" s="21" t="n"/>
      <c r="BE246" s="21" t="n"/>
      <c r="BF246" s="21" t="n"/>
      <c r="BG246" s="21" t="n"/>
      <c r="BH246" s="21" t="n"/>
      <c r="BI246" s="21" t="n"/>
      <c r="BJ246" s="21" t="n"/>
      <c r="BK246" s="21" t="n"/>
      <c r="BL246" s="21" t="n"/>
      <c r="BM246" s="21" t="n"/>
      <c r="BN246" s="21" t="n"/>
      <c r="BO246" s="21" t="n"/>
      <c r="BP246" s="21" t="n"/>
      <c r="BQ246" s="21" t="n"/>
      <c r="BR246" s="21" t="n"/>
      <c r="BS246" s="21" t="n"/>
      <c r="BT246" s="21" t="n"/>
      <c r="BU246" s="21" t="n"/>
      <c r="BV246" s="21" t="n"/>
      <c r="BW246" s="21" t="n"/>
      <c r="BX246" s="21" t="n"/>
      <c r="BY246" s="21" t="n"/>
      <c r="BZ246" s="21" t="n"/>
      <c r="CA246" s="21" t="n"/>
      <c r="CB246" s="21" t="n"/>
      <c r="CC246" s="21" t="n"/>
    </row>
    <row r="247">
      <c r="A247" s="21" t="n"/>
      <c r="B247" s="21" t="n"/>
      <c r="C247" s="19" t="n"/>
      <c r="D247" s="19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  <c r="AA247" s="21" t="n"/>
      <c r="AB247" s="21" t="n"/>
      <c r="AC247" s="21" t="n"/>
      <c r="AD247" s="21" t="n"/>
      <c r="AE247" s="21" t="n"/>
      <c r="AF247" s="21" t="n"/>
      <c r="AG247" s="21" t="n"/>
      <c r="AH247" s="21" t="n"/>
      <c r="AI247" s="21" t="n"/>
      <c r="AJ247" s="21" t="n"/>
      <c r="AK247" s="21" t="n"/>
      <c r="AL247" s="21" t="n"/>
      <c r="AM247" s="21" t="n"/>
      <c r="AN247" s="21" t="n"/>
      <c r="AO247" s="21" t="n"/>
      <c r="AP247" s="21" t="n"/>
      <c r="AQ247" s="21" t="n"/>
      <c r="AR247" s="21" t="n"/>
      <c r="AS247" s="21" t="n"/>
      <c r="AT247" s="21" t="n"/>
      <c r="AU247" s="21" t="n"/>
      <c r="AV247" s="21" t="n"/>
      <c r="AW247" s="21" t="n"/>
      <c r="AX247" s="21" t="n"/>
      <c r="AY247" s="21" t="n"/>
      <c r="AZ247" s="21" t="n"/>
      <c r="BA247" s="21" t="n"/>
      <c r="BB247" s="21" t="n"/>
      <c r="BC247" s="21" t="n"/>
      <c r="BD247" s="21" t="n"/>
      <c r="BE247" s="21" t="n"/>
      <c r="BF247" s="21" t="n"/>
      <c r="BG247" s="21" t="n"/>
      <c r="BH247" s="21" t="n"/>
      <c r="BI247" s="21" t="n"/>
      <c r="BJ247" s="21" t="n"/>
      <c r="BK247" s="21" t="n"/>
      <c r="BL247" s="21" t="n"/>
      <c r="BM247" s="21" t="n"/>
      <c r="BN247" s="21" t="n"/>
      <c r="BO247" s="21" t="n"/>
      <c r="BP247" s="21" t="n"/>
      <c r="BQ247" s="21" t="n"/>
      <c r="BR247" s="21" t="n"/>
      <c r="BS247" s="21" t="n"/>
      <c r="BT247" s="21" t="n"/>
      <c r="BU247" s="21" t="n"/>
      <c r="BV247" s="21" t="n"/>
      <c r="BW247" s="21" t="n"/>
      <c r="BX247" s="21" t="n"/>
      <c r="BY247" s="21" t="n"/>
      <c r="BZ247" s="21" t="n"/>
      <c r="CA247" s="21" t="n"/>
      <c r="CB247" s="21" t="n"/>
      <c r="CC247" s="21" t="n"/>
    </row>
    <row r="248">
      <c r="A248" s="21" t="n"/>
      <c r="B248" s="21" t="n"/>
      <c r="C248" s="19" t="n"/>
      <c r="D248" s="19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  <c r="AA248" s="21" t="n"/>
      <c r="AB248" s="21" t="n"/>
      <c r="AC248" s="21" t="n"/>
      <c r="AD248" s="21" t="n"/>
      <c r="AE248" s="21" t="n"/>
      <c r="AF248" s="21" t="n"/>
      <c r="AG248" s="21" t="n"/>
      <c r="AH248" s="21" t="n"/>
      <c r="AI248" s="21" t="n"/>
      <c r="AJ248" s="21" t="n"/>
      <c r="AK248" s="21" t="n"/>
      <c r="AL248" s="21" t="n"/>
      <c r="AM248" s="21" t="n"/>
      <c r="AN248" s="21" t="n"/>
      <c r="AO248" s="21" t="n"/>
      <c r="AP248" s="21" t="n"/>
      <c r="AQ248" s="21" t="n"/>
      <c r="AR248" s="21" t="n"/>
      <c r="AS248" s="21" t="n"/>
      <c r="AT248" s="21" t="n"/>
      <c r="AU248" s="21" t="n"/>
      <c r="AV248" s="21" t="n"/>
      <c r="AW248" s="21" t="n"/>
      <c r="AX248" s="21" t="n"/>
      <c r="AY248" s="21" t="n"/>
      <c r="AZ248" s="21" t="n"/>
      <c r="BA248" s="21" t="n"/>
      <c r="BB248" s="21" t="n"/>
      <c r="BC248" s="21" t="n"/>
      <c r="BD248" s="21" t="n"/>
      <c r="BE248" s="21" t="n"/>
      <c r="BF248" s="21" t="n"/>
      <c r="BG248" s="21" t="n"/>
      <c r="BH248" s="21" t="n"/>
      <c r="BI248" s="21" t="n"/>
      <c r="BJ248" s="21" t="n"/>
      <c r="BK248" s="21" t="n"/>
      <c r="BL248" s="21" t="n"/>
      <c r="BM248" s="21" t="n"/>
      <c r="BN248" s="21" t="n"/>
      <c r="BO248" s="21" t="n"/>
      <c r="BP248" s="21" t="n"/>
      <c r="BQ248" s="21" t="n"/>
      <c r="BR248" s="21" t="n"/>
      <c r="BS248" s="21" t="n"/>
      <c r="BT248" s="21" t="n"/>
      <c r="BU248" s="21" t="n"/>
      <c r="BV248" s="21" t="n"/>
      <c r="BW248" s="21" t="n"/>
      <c r="BX248" s="21" t="n"/>
      <c r="BY248" s="21" t="n"/>
      <c r="BZ248" s="21" t="n"/>
      <c r="CA248" s="21" t="n"/>
      <c r="CB248" s="21" t="n"/>
      <c r="CC248" s="21" t="n"/>
    </row>
    <row r="249">
      <c r="A249" s="21" t="n"/>
      <c r="B249" s="21" t="n"/>
      <c r="C249" s="19" t="n"/>
      <c r="D249" s="19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n"/>
      <c r="AM249" s="21" t="n"/>
      <c r="AN249" s="21" t="n"/>
      <c r="AO249" s="21" t="n"/>
      <c r="AP249" s="21" t="n"/>
      <c r="AQ249" s="21" t="n"/>
      <c r="AR249" s="21" t="n"/>
      <c r="AS249" s="21" t="n"/>
      <c r="AT249" s="21" t="n"/>
      <c r="AU249" s="21" t="n"/>
      <c r="AV249" s="21" t="n"/>
      <c r="AW249" s="21" t="n"/>
      <c r="AX249" s="21" t="n"/>
      <c r="AY249" s="21" t="n"/>
      <c r="AZ249" s="21" t="n"/>
      <c r="BA249" s="21" t="n"/>
      <c r="BB249" s="21" t="n"/>
      <c r="BC249" s="21" t="n"/>
      <c r="BD249" s="21" t="n"/>
      <c r="BE249" s="21" t="n"/>
      <c r="BF249" s="21" t="n"/>
      <c r="BG249" s="21" t="n"/>
      <c r="BH249" s="21" t="n"/>
      <c r="BI249" s="21" t="n"/>
      <c r="BJ249" s="21" t="n"/>
      <c r="BK249" s="21" t="n"/>
      <c r="BL249" s="21" t="n"/>
      <c r="BM249" s="21" t="n"/>
      <c r="BN249" s="21" t="n"/>
      <c r="BO249" s="21" t="n"/>
      <c r="BP249" s="21" t="n"/>
      <c r="BQ249" s="21" t="n"/>
      <c r="BR249" s="21" t="n"/>
      <c r="BS249" s="21" t="n"/>
      <c r="BT249" s="21" t="n"/>
      <c r="BU249" s="21" t="n"/>
      <c r="BV249" s="21" t="n"/>
      <c r="BW249" s="21" t="n"/>
      <c r="BX249" s="21" t="n"/>
      <c r="BY249" s="21" t="n"/>
      <c r="BZ249" s="21" t="n"/>
      <c r="CA249" s="21" t="n"/>
      <c r="CB249" s="21" t="n"/>
      <c r="CC249" s="21" t="n"/>
    </row>
    <row r="250">
      <c r="A250" s="21" t="n"/>
      <c r="B250" s="21" t="n"/>
      <c r="C250" s="19" t="n"/>
      <c r="D250" s="19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  <c r="AA250" s="21" t="n"/>
      <c r="AB250" s="21" t="n"/>
      <c r="AC250" s="21" t="n"/>
      <c r="AD250" s="21" t="n"/>
      <c r="AE250" s="21" t="n"/>
      <c r="AF250" s="21" t="n"/>
      <c r="AG250" s="21" t="n"/>
      <c r="AH250" s="21" t="n"/>
      <c r="AI250" s="21" t="n"/>
      <c r="AJ250" s="21" t="n"/>
      <c r="AK250" s="21" t="n"/>
      <c r="AL250" s="21" t="n"/>
      <c r="AM250" s="21" t="n"/>
      <c r="AN250" s="21" t="n"/>
      <c r="AO250" s="21" t="n"/>
      <c r="AP250" s="21" t="n"/>
      <c r="AQ250" s="21" t="n"/>
      <c r="AR250" s="21" t="n"/>
      <c r="AS250" s="21" t="n"/>
      <c r="AT250" s="21" t="n"/>
      <c r="AU250" s="21" t="n"/>
      <c r="AV250" s="21" t="n"/>
      <c r="AW250" s="21" t="n"/>
      <c r="AX250" s="21" t="n"/>
      <c r="AY250" s="21" t="n"/>
      <c r="AZ250" s="21" t="n"/>
      <c r="BA250" s="21" t="n"/>
      <c r="BB250" s="21" t="n"/>
      <c r="BC250" s="21" t="n"/>
      <c r="BD250" s="21" t="n"/>
      <c r="BE250" s="21" t="n"/>
      <c r="BF250" s="21" t="n"/>
      <c r="BG250" s="21" t="n"/>
      <c r="BH250" s="21" t="n"/>
      <c r="BI250" s="21" t="n"/>
      <c r="BJ250" s="21" t="n"/>
      <c r="BK250" s="21" t="n"/>
      <c r="BL250" s="21" t="n"/>
      <c r="BM250" s="21" t="n"/>
      <c r="BN250" s="21" t="n"/>
      <c r="BO250" s="21" t="n"/>
      <c r="BP250" s="21" t="n"/>
      <c r="BQ250" s="21" t="n"/>
      <c r="BR250" s="21" t="n"/>
      <c r="BS250" s="21" t="n"/>
      <c r="BT250" s="21" t="n"/>
      <c r="BU250" s="21" t="n"/>
      <c r="BV250" s="21" t="n"/>
      <c r="BW250" s="21" t="n"/>
      <c r="BX250" s="21" t="n"/>
      <c r="BY250" s="21" t="n"/>
      <c r="BZ250" s="21" t="n"/>
      <c r="CA250" s="21" t="n"/>
      <c r="CB250" s="21" t="n"/>
      <c r="CC250" s="21" t="n"/>
    </row>
    <row r="251">
      <c r="A251" s="21" t="n"/>
      <c r="B251" s="21" t="n"/>
      <c r="C251" s="19" t="n"/>
      <c r="D251" s="19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  <c r="AA251" s="21" t="n"/>
      <c r="AB251" s="21" t="n"/>
      <c r="AC251" s="21" t="n"/>
      <c r="AD251" s="21" t="n"/>
      <c r="AE251" s="21" t="n"/>
      <c r="AF251" s="21" t="n"/>
      <c r="AG251" s="21" t="n"/>
      <c r="AH251" s="21" t="n"/>
      <c r="AI251" s="21" t="n"/>
      <c r="AJ251" s="21" t="n"/>
      <c r="AK251" s="21" t="n"/>
      <c r="AL251" s="21" t="n"/>
      <c r="AM251" s="21" t="n"/>
      <c r="AN251" s="21" t="n"/>
      <c r="AO251" s="21" t="n"/>
      <c r="AP251" s="21" t="n"/>
      <c r="AQ251" s="21" t="n"/>
      <c r="AR251" s="21" t="n"/>
      <c r="AS251" s="21" t="n"/>
      <c r="AT251" s="21" t="n"/>
      <c r="AU251" s="21" t="n"/>
      <c r="AV251" s="21" t="n"/>
      <c r="AW251" s="21" t="n"/>
      <c r="AX251" s="21" t="n"/>
      <c r="AY251" s="21" t="n"/>
      <c r="AZ251" s="21" t="n"/>
      <c r="BA251" s="21" t="n"/>
      <c r="BB251" s="21" t="n"/>
      <c r="BC251" s="21" t="n"/>
      <c r="BD251" s="21" t="n"/>
      <c r="BE251" s="21" t="n"/>
      <c r="BF251" s="21" t="n"/>
      <c r="BG251" s="21" t="n"/>
      <c r="BH251" s="21" t="n"/>
      <c r="BI251" s="21" t="n"/>
      <c r="BJ251" s="21" t="n"/>
      <c r="BK251" s="21" t="n"/>
      <c r="BL251" s="21" t="n"/>
      <c r="BM251" s="21" t="n"/>
      <c r="BN251" s="21" t="n"/>
      <c r="BO251" s="21" t="n"/>
      <c r="BP251" s="21" t="n"/>
      <c r="BQ251" s="21" t="n"/>
      <c r="BR251" s="21" t="n"/>
      <c r="BS251" s="21" t="n"/>
      <c r="BT251" s="21" t="n"/>
      <c r="BU251" s="21" t="n"/>
      <c r="BV251" s="21" t="n"/>
      <c r="BW251" s="21" t="n"/>
      <c r="BX251" s="21" t="n"/>
      <c r="BY251" s="21" t="n"/>
      <c r="BZ251" s="21" t="n"/>
      <c r="CA251" s="21" t="n"/>
      <c r="CB251" s="21" t="n"/>
      <c r="CC251" s="21" t="n"/>
    </row>
    <row r="252">
      <c r="A252" s="21" t="n"/>
      <c r="B252" s="21" t="n"/>
      <c r="C252" s="19" t="n"/>
      <c r="D252" s="19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  <c r="AA252" s="21" t="n"/>
      <c r="AB252" s="21" t="n"/>
      <c r="AC252" s="21" t="n"/>
      <c r="AD252" s="21" t="n"/>
      <c r="AE252" s="21" t="n"/>
      <c r="AF252" s="21" t="n"/>
      <c r="AG252" s="21" t="n"/>
      <c r="AH252" s="21" t="n"/>
      <c r="AI252" s="21" t="n"/>
      <c r="AJ252" s="21" t="n"/>
      <c r="AK252" s="21" t="n"/>
      <c r="AL252" s="21" t="n"/>
      <c r="AM252" s="21" t="n"/>
      <c r="AN252" s="21" t="n"/>
      <c r="AO252" s="21" t="n"/>
      <c r="AP252" s="21" t="n"/>
      <c r="AQ252" s="21" t="n"/>
      <c r="AR252" s="21" t="n"/>
      <c r="AS252" s="21" t="n"/>
      <c r="AT252" s="21" t="n"/>
      <c r="AU252" s="21" t="n"/>
      <c r="AV252" s="21" t="n"/>
      <c r="AW252" s="21" t="n"/>
      <c r="AX252" s="21" t="n"/>
      <c r="AY252" s="21" t="n"/>
      <c r="AZ252" s="21" t="n"/>
      <c r="BA252" s="21" t="n"/>
      <c r="BB252" s="21" t="n"/>
      <c r="BC252" s="21" t="n"/>
      <c r="BD252" s="21" t="n"/>
      <c r="BE252" s="21" t="n"/>
      <c r="BF252" s="21" t="n"/>
      <c r="BG252" s="21" t="n"/>
      <c r="BH252" s="21" t="n"/>
      <c r="BI252" s="21" t="n"/>
      <c r="BJ252" s="21" t="n"/>
      <c r="BK252" s="21" t="n"/>
      <c r="BL252" s="21" t="n"/>
      <c r="BM252" s="21" t="n"/>
      <c r="BN252" s="21" t="n"/>
      <c r="BO252" s="21" t="n"/>
      <c r="BP252" s="21" t="n"/>
      <c r="BQ252" s="21" t="n"/>
      <c r="BR252" s="21" t="n"/>
      <c r="BS252" s="21" t="n"/>
      <c r="BT252" s="21" t="n"/>
      <c r="BU252" s="21" t="n"/>
      <c r="BV252" s="21" t="n"/>
      <c r="BW252" s="21" t="n"/>
      <c r="BX252" s="21" t="n"/>
      <c r="BY252" s="21" t="n"/>
      <c r="BZ252" s="21" t="n"/>
      <c r="CA252" s="21" t="n"/>
      <c r="CB252" s="21" t="n"/>
      <c r="CC252" s="21" t="n"/>
    </row>
    <row r="253">
      <c r="A253" s="21" t="n"/>
      <c r="B253" s="21" t="n"/>
      <c r="C253" s="19" t="n"/>
      <c r="D253" s="19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  <c r="AA253" s="21" t="n"/>
      <c r="AB253" s="21" t="n"/>
      <c r="AC253" s="21" t="n"/>
      <c r="AD253" s="21" t="n"/>
      <c r="AE253" s="21" t="n"/>
      <c r="AF253" s="21" t="n"/>
      <c r="AG253" s="21" t="n"/>
      <c r="AH253" s="21" t="n"/>
      <c r="AI253" s="21" t="n"/>
      <c r="AJ253" s="21" t="n"/>
      <c r="AK253" s="21" t="n"/>
      <c r="AL253" s="21" t="n"/>
      <c r="AM253" s="21" t="n"/>
      <c r="AN253" s="21" t="n"/>
      <c r="AO253" s="21" t="n"/>
      <c r="AP253" s="21" t="n"/>
      <c r="AQ253" s="21" t="n"/>
      <c r="AR253" s="21" t="n"/>
      <c r="AS253" s="21" t="n"/>
      <c r="AT253" s="21" t="n"/>
      <c r="AU253" s="21" t="n"/>
      <c r="AV253" s="21" t="n"/>
      <c r="AW253" s="21" t="n"/>
      <c r="AX253" s="21" t="n"/>
      <c r="AY253" s="21" t="n"/>
      <c r="AZ253" s="21" t="n"/>
      <c r="BA253" s="21" t="n"/>
      <c r="BB253" s="21" t="n"/>
      <c r="BC253" s="21" t="n"/>
      <c r="BD253" s="21" t="n"/>
      <c r="BE253" s="21" t="n"/>
      <c r="BF253" s="21" t="n"/>
      <c r="BG253" s="21" t="n"/>
      <c r="BH253" s="21" t="n"/>
      <c r="BI253" s="21" t="n"/>
      <c r="BJ253" s="21" t="n"/>
      <c r="BK253" s="21" t="n"/>
      <c r="BL253" s="21" t="n"/>
      <c r="BM253" s="21" t="n"/>
      <c r="BN253" s="21" t="n"/>
      <c r="BO253" s="21" t="n"/>
      <c r="BP253" s="21" t="n"/>
      <c r="BQ253" s="21" t="n"/>
      <c r="BR253" s="21" t="n"/>
      <c r="BS253" s="21" t="n"/>
      <c r="BT253" s="21" t="n"/>
      <c r="BU253" s="21" t="n"/>
      <c r="BV253" s="21" t="n"/>
      <c r="BW253" s="21" t="n"/>
      <c r="BX253" s="21" t="n"/>
      <c r="BY253" s="21" t="n"/>
      <c r="BZ253" s="21" t="n"/>
      <c r="CA253" s="21" t="n"/>
      <c r="CB253" s="21" t="n"/>
      <c r="CC253" s="21" t="n"/>
    </row>
    <row r="254">
      <c r="A254" s="21" t="n"/>
      <c r="B254" s="21" t="n"/>
      <c r="C254" s="19" t="n"/>
      <c r="D254" s="19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  <c r="AA254" s="21" t="n"/>
      <c r="AB254" s="21" t="n"/>
      <c r="AC254" s="21" t="n"/>
      <c r="AD254" s="21" t="n"/>
      <c r="AE254" s="21" t="n"/>
      <c r="AF254" s="21" t="n"/>
      <c r="AG254" s="21" t="n"/>
      <c r="AH254" s="21" t="n"/>
      <c r="AI254" s="21" t="n"/>
      <c r="AJ254" s="21" t="n"/>
      <c r="AK254" s="21" t="n"/>
      <c r="AL254" s="21" t="n"/>
      <c r="AM254" s="21" t="n"/>
      <c r="AN254" s="21" t="n"/>
      <c r="AO254" s="21" t="n"/>
      <c r="AP254" s="21" t="n"/>
      <c r="AQ254" s="21" t="n"/>
      <c r="AR254" s="21" t="n"/>
      <c r="AS254" s="21" t="n"/>
      <c r="AT254" s="21" t="n"/>
      <c r="AU254" s="21" t="n"/>
      <c r="AV254" s="21" t="n"/>
      <c r="AW254" s="21" t="n"/>
      <c r="AX254" s="21" t="n"/>
      <c r="AY254" s="21" t="n"/>
      <c r="AZ254" s="21" t="n"/>
      <c r="BA254" s="21" t="n"/>
      <c r="BB254" s="21" t="n"/>
      <c r="BC254" s="21" t="n"/>
      <c r="BD254" s="21" t="n"/>
      <c r="BE254" s="21" t="n"/>
      <c r="BF254" s="21" t="n"/>
      <c r="BG254" s="21" t="n"/>
      <c r="BH254" s="21" t="n"/>
      <c r="BI254" s="21" t="n"/>
      <c r="BJ254" s="21" t="n"/>
      <c r="BK254" s="21" t="n"/>
      <c r="BL254" s="21" t="n"/>
      <c r="BM254" s="21" t="n"/>
      <c r="BN254" s="21" t="n"/>
      <c r="BO254" s="21" t="n"/>
      <c r="BP254" s="21" t="n"/>
      <c r="BQ254" s="21" t="n"/>
      <c r="BR254" s="21" t="n"/>
      <c r="BS254" s="21" t="n"/>
      <c r="BT254" s="21" t="n"/>
      <c r="BU254" s="21" t="n"/>
      <c r="BV254" s="21" t="n"/>
      <c r="BW254" s="21" t="n"/>
      <c r="BX254" s="21" t="n"/>
      <c r="BY254" s="21" t="n"/>
      <c r="BZ254" s="21" t="n"/>
      <c r="CA254" s="21" t="n"/>
      <c r="CB254" s="21" t="n"/>
      <c r="CC254" s="21" t="n"/>
    </row>
    <row r="255">
      <c r="A255" s="21" t="n"/>
      <c r="B255" s="21" t="n"/>
      <c r="C255" s="19" t="n"/>
      <c r="D255" s="19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  <c r="AA255" s="21" t="n"/>
      <c r="AB255" s="21" t="n"/>
      <c r="AC255" s="21" t="n"/>
      <c r="AD255" s="21" t="n"/>
      <c r="AE255" s="21" t="n"/>
      <c r="AF255" s="21" t="n"/>
      <c r="AG255" s="21" t="n"/>
      <c r="AH255" s="21" t="n"/>
      <c r="AI255" s="21" t="n"/>
      <c r="AJ255" s="21" t="n"/>
      <c r="AK255" s="21" t="n"/>
      <c r="AL255" s="21" t="n"/>
      <c r="AM255" s="21" t="n"/>
      <c r="AN255" s="21" t="n"/>
      <c r="AO255" s="21" t="n"/>
      <c r="AP255" s="21" t="n"/>
      <c r="AQ255" s="21" t="n"/>
      <c r="AR255" s="21" t="n"/>
      <c r="AS255" s="21" t="n"/>
      <c r="AT255" s="21" t="n"/>
      <c r="AU255" s="21" t="n"/>
      <c r="AV255" s="21" t="n"/>
      <c r="AW255" s="21" t="n"/>
      <c r="AX255" s="21" t="n"/>
      <c r="AY255" s="21" t="n"/>
      <c r="AZ255" s="21" t="n"/>
      <c r="BA255" s="21" t="n"/>
      <c r="BB255" s="21" t="n"/>
      <c r="BC255" s="21" t="n"/>
      <c r="BD255" s="21" t="n"/>
      <c r="BE255" s="21" t="n"/>
      <c r="BF255" s="21" t="n"/>
      <c r="BG255" s="21" t="n"/>
      <c r="BH255" s="21" t="n"/>
      <c r="BI255" s="21" t="n"/>
      <c r="BJ255" s="21" t="n"/>
      <c r="BK255" s="21" t="n"/>
      <c r="BL255" s="21" t="n"/>
      <c r="BM255" s="21" t="n"/>
      <c r="BN255" s="21" t="n"/>
      <c r="BO255" s="21" t="n"/>
      <c r="BP255" s="21" t="n"/>
      <c r="BQ255" s="21" t="n"/>
      <c r="BR255" s="21" t="n"/>
      <c r="BS255" s="21" t="n"/>
      <c r="BT255" s="21" t="n"/>
      <c r="BU255" s="21" t="n"/>
      <c r="BV255" s="21" t="n"/>
      <c r="BW255" s="21" t="n"/>
      <c r="BX255" s="21" t="n"/>
      <c r="BY255" s="21" t="n"/>
      <c r="BZ255" s="21" t="n"/>
      <c r="CA255" s="21" t="n"/>
      <c r="CB255" s="21" t="n"/>
      <c r="CC255" s="21" t="n"/>
    </row>
    <row r="256">
      <c r="A256" s="21" t="n"/>
      <c r="B256" s="21" t="n"/>
      <c r="C256" s="19" t="n"/>
      <c r="D256" s="19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  <c r="AA256" s="21" t="n"/>
      <c r="AB256" s="21" t="n"/>
      <c r="AC256" s="21" t="n"/>
      <c r="AD256" s="21" t="n"/>
      <c r="AE256" s="21" t="n"/>
      <c r="AF256" s="21" t="n"/>
      <c r="AG256" s="21" t="n"/>
      <c r="AH256" s="21" t="n"/>
      <c r="AI256" s="21" t="n"/>
      <c r="AJ256" s="21" t="n"/>
      <c r="AK256" s="21" t="n"/>
      <c r="AL256" s="21" t="n"/>
      <c r="AM256" s="21" t="n"/>
      <c r="AN256" s="21" t="n"/>
      <c r="AO256" s="21" t="n"/>
      <c r="AP256" s="21" t="n"/>
      <c r="AQ256" s="21" t="n"/>
      <c r="AR256" s="21" t="n"/>
      <c r="AS256" s="21" t="n"/>
      <c r="AT256" s="21" t="n"/>
      <c r="AU256" s="21" t="n"/>
      <c r="AV256" s="21" t="n"/>
      <c r="AW256" s="21" t="n"/>
      <c r="AX256" s="21" t="n"/>
      <c r="AY256" s="21" t="n"/>
      <c r="AZ256" s="21" t="n"/>
      <c r="BA256" s="21" t="n"/>
      <c r="BB256" s="21" t="n"/>
      <c r="BC256" s="21" t="n"/>
      <c r="BD256" s="21" t="n"/>
      <c r="BE256" s="21" t="n"/>
      <c r="BF256" s="21" t="n"/>
      <c r="BG256" s="21" t="n"/>
      <c r="BH256" s="21" t="n"/>
      <c r="BI256" s="21" t="n"/>
      <c r="BJ256" s="21" t="n"/>
      <c r="BK256" s="21" t="n"/>
      <c r="BL256" s="21" t="n"/>
      <c r="BM256" s="21" t="n"/>
      <c r="BN256" s="21" t="n"/>
      <c r="BO256" s="21" t="n"/>
      <c r="BP256" s="21" t="n"/>
      <c r="BQ256" s="21" t="n"/>
      <c r="BR256" s="21" t="n"/>
      <c r="BS256" s="21" t="n"/>
      <c r="BT256" s="21" t="n"/>
      <c r="BU256" s="21" t="n"/>
      <c r="BV256" s="21" t="n"/>
      <c r="BW256" s="21" t="n"/>
      <c r="BX256" s="21" t="n"/>
      <c r="BY256" s="21" t="n"/>
      <c r="BZ256" s="21" t="n"/>
      <c r="CA256" s="21" t="n"/>
      <c r="CB256" s="21" t="n"/>
      <c r="CC256" s="21" t="n"/>
    </row>
    <row r="257">
      <c r="A257" s="21" t="n"/>
      <c r="B257" s="21" t="n"/>
      <c r="C257" s="19" t="n"/>
      <c r="D257" s="19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  <c r="AA257" s="21" t="n"/>
      <c r="AB257" s="21" t="n"/>
      <c r="AC257" s="21" t="n"/>
      <c r="AD257" s="21" t="n"/>
      <c r="AE257" s="21" t="n"/>
      <c r="AF257" s="21" t="n"/>
      <c r="AG257" s="21" t="n"/>
      <c r="AH257" s="21" t="n"/>
      <c r="AI257" s="21" t="n"/>
      <c r="AJ257" s="21" t="n"/>
      <c r="AK257" s="21" t="n"/>
      <c r="AL257" s="21" t="n"/>
      <c r="AM257" s="21" t="n"/>
      <c r="AN257" s="21" t="n"/>
      <c r="AO257" s="21" t="n"/>
      <c r="AP257" s="21" t="n"/>
      <c r="AQ257" s="21" t="n"/>
      <c r="AR257" s="21" t="n"/>
      <c r="AS257" s="21" t="n"/>
      <c r="AT257" s="21" t="n"/>
      <c r="AU257" s="21" t="n"/>
      <c r="AV257" s="21" t="n"/>
      <c r="AW257" s="21" t="n"/>
      <c r="AX257" s="21" t="n"/>
      <c r="AY257" s="21" t="n"/>
      <c r="AZ257" s="21" t="n"/>
      <c r="BA257" s="21" t="n"/>
      <c r="BB257" s="21" t="n"/>
      <c r="BC257" s="21" t="n"/>
      <c r="BD257" s="21" t="n"/>
      <c r="BE257" s="21" t="n"/>
      <c r="BF257" s="21" t="n"/>
      <c r="BG257" s="21" t="n"/>
      <c r="BH257" s="21" t="n"/>
      <c r="BI257" s="21" t="n"/>
      <c r="BJ257" s="21" t="n"/>
      <c r="BK257" s="21" t="n"/>
      <c r="BL257" s="21" t="n"/>
      <c r="BM257" s="21" t="n"/>
      <c r="BN257" s="21" t="n"/>
      <c r="BO257" s="21" t="n"/>
      <c r="BP257" s="21" t="n"/>
      <c r="BQ257" s="21" t="n"/>
      <c r="BR257" s="21" t="n"/>
      <c r="BS257" s="21" t="n"/>
      <c r="BT257" s="21" t="n"/>
      <c r="BU257" s="21" t="n"/>
      <c r="BV257" s="21" t="n"/>
      <c r="BW257" s="21" t="n"/>
      <c r="BX257" s="21" t="n"/>
      <c r="BY257" s="21" t="n"/>
      <c r="BZ257" s="21" t="n"/>
      <c r="CA257" s="21" t="n"/>
      <c r="CB257" s="21" t="n"/>
      <c r="CC257" s="21" t="n"/>
    </row>
    <row r="258">
      <c r="A258" s="21" t="n"/>
      <c r="B258" s="21" t="n"/>
      <c r="C258" s="19" t="n"/>
      <c r="D258" s="19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  <c r="AA258" s="21" t="n"/>
      <c r="AB258" s="21" t="n"/>
      <c r="AC258" s="21" t="n"/>
      <c r="AD258" s="21" t="n"/>
      <c r="AE258" s="21" t="n"/>
      <c r="AF258" s="21" t="n"/>
      <c r="AG258" s="21" t="n"/>
      <c r="AH258" s="21" t="n"/>
      <c r="AI258" s="21" t="n"/>
      <c r="AJ258" s="21" t="n"/>
      <c r="AK258" s="21" t="n"/>
      <c r="AL258" s="21" t="n"/>
      <c r="AM258" s="21" t="n"/>
      <c r="AN258" s="21" t="n"/>
      <c r="AO258" s="21" t="n"/>
      <c r="AP258" s="21" t="n"/>
      <c r="AQ258" s="21" t="n"/>
      <c r="AR258" s="21" t="n"/>
      <c r="AS258" s="21" t="n"/>
      <c r="AT258" s="21" t="n"/>
      <c r="AU258" s="21" t="n"/>
      <c r="AV258" s="21" t="n"/>
      <c r="AW258" s="21" t="n"/>
      <c r="AX258" s="21" t="n"/>
      <c r="AY258" s="21" t="n"/>
      <c r="AZ258" s="21" t="n"/>
      <c r="BA258" s="21" t="n"/>
      <c r="BB258" s="21" t="n"/>
      <c r="BC258" s="21" t="n"/>
      <c r="BD258" s="21" t="n"/>
      <c r="BE258" s="21" t="n"/>
      <c r="BF258" s="21" t="n"/>
      <c r="BG258" s="21" t="n"/>
      <c r="BH258" s="21" t="n"/>
      <c r="BI258" s="21" t="n"/>
      <c r="BJ258" s="21" t="n"/>
      <c r="BK258" s="21" t="n"/>
      <c r="BL258" s="21" t="n"/>
      <c r="BM258" s="21" t="n"/>
      <c r="BN258" s="21" t="n"/>
      <c r="BO258" s="21" t="n"/>
      <c r="BP258" s="21" t="n"/>
      <c r="BQ258" s="21" t="n"/>
      <c r="BR258" s="21" t="n"/>
      <c r="BS258" s="21" t="n"/>
      <c r="BT258" s="21" t="n"/>
      <c r="BU258" s="21" t="n"/>
      <c r="BV258" s="21" t="n"/>
      <c r="BW258" s="21" t="n"/>
      <c r="BX258" s="21" t="n"/>
      <c r="BY258" s="21" t="n"/>
      <c r="BZ258" s="21" t="n"/>
      <c r="CA258" s="21" t="n"/>
      <c r="CB258" s="21" t="n"/>
      <c r="CC258" s="21" t="n"/>
    </row>
    <row r="259">
      <c r="A259" s="21" t="n"/>
      <c r="B259" s="21" t="n"/>
      <c r="C259" s="19" t="n"/>
      <c r="D259" s="19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  <c r="AA259" s="21" t="n"/>
      <c r="AB259" s="21" t="n"/>
      <c r="AC259" s="21" t="n"/>
      <c r="AD259" s="21" t="n"/>
      <c r="AE259" s="21" t="n"/>
      <c r="AF259" s="21" t="n"/>
      <c r="AG259" s="21" t="n"/>
      <c r="AH259" s="21" t="n"/>
      <c r="AI259" s="21" t="n"/>
      <c r="AJ259" s="21" t="n"/>
      <c r="AK259" s="21" t="n"/>
      <c r="AL259" s="21" t="n"/>
      <c r="AM259" s="21" t="n"/>
      <c r="AN259" s="21" t="n"/>
      <c r="AO259" s="21" t="n"/>
      <c r="AP259" s="21" t="n"/>
      <c r="AQ259" s="21" t="n"/>
      <c r="AR259" s="21" t="n"/>
      <c r="AS259" s="21" t="n"/>
      <c r="AT259" s="21" t="n"/>
      <c r="AU259" s="21" t="n"/>
      <c r="AV259" s="21" t="n"/>
      <c r="AW259" s="21" t="n"/>
      <c r="AX259" s="21" t="n"/>
      <c r="AY259" s="21" t="n"/>
      <c r="AZ259" s="21" t="n"/>
      <c r="BA259" s="21" t="n"/>
      <c r="BB259" s="21" t="n"/>
      <c r="BC259" s="21" t="n"/>
      <c r="BD259" s="21" t="n"/>
      <c r="BE259" s="21" t="n"/>
      <c r="BF259" s="21" t="n"/>
      <c r="BG259" s="21" t="n"/>
      <c r="BH259" s="21" t="n"/>
      <c r="BI259" s="21" t="n"/>
      <c r="BJ259" s="21" t="n"/>
      <c r="BK259" s="21" t="n"/>
      <c r="BL259" s="21" t="n"/>
      <c r="BM259" s="21" t="n"/>
      <c r="BN259" s="21" t="n"/>
      <c r="BO259" s="21" t="n"/>
      <c r="BP259" s="21" t="n"/>
      <c r="BQ259" s="21" t="n"/>
      <c r="BR259" s="21" t="n"/>
      <c r="BS259" s="21" t="n"/>
      <c r="BT259" s="21" t="n"/>
      <c r="BU259" s="21" t="n"/>
      <c r="BV259" s="21" t="n"/>
      <c r="BW259" s="21" t="n"/>
      <c r="BX259" s="21" t="n"/>
      <c r="BY259" s="21" t="n"/>
      <c r="BZ259" s="21" t="n"/>
      <c r="CA259" s="21" t="n"/>
      <c r="CB259" s="21" t="n"/>
      <c r="CC259" s="21" t="n"/>
    </row>
    <row r="260">
      <c r="BD260" s="21" t="n"/>
      <c r="BE260" s="21" t="n"/>
      <c r="BF260" s="21" t="n"/>
      <c r="BG260" s="21" t="n"/>
      <c r="BH260" s="21" t="n"/>
      <c r="BI260" s="21" t="n"/>
      <c r="BJ260" s="21" t="n"/>
      <c r="BK260" s="21" t="n"/>
      <c r="BL260" s="21" t="n"/>
      <c r="BM260" s="21" t="n"/>
      <c r="BN260" s="21" t="n"/>
      <c r="BO260" s="21" t="n"/>
      <c r="BP260" s="21" t="n"/>
      <c r="BQ260" s="21" t="n"/>
      <c r="BR260" s="21" t="n"/>
      <c r="BS260" s="21" t="n"/>
      <c r="BT260" s="21" t="n"/>
      <c r="BU260" s="21" t="n"/>
      <c r="BV260" s="21" t="n"/>
      <c r="BW260" s="21" t="n"/>
      <c r="BX260" s="21" t="n"/>
      <c r="BY260" s="21" t="n"/>
      <c r="BZ260" s="21" t="n"/>
      <c r="CA260" s="21" t="n"/>
      <c r="CB260" s="21" t="n"/>
      <c r="CC260" s="21" t="n"/>
    </row>
    <row r="261">
      <c r="BD261" s="21" t="n"/>
      <c r="BE261" s="21" t="n"/>
      <c r="BF261" s="21" t="n"/>
      <c r="BG261" s="21" t="n"/>
      <c r="BH261" s="21" t="n"/>
      <c r="BI261" s="21" t="n"/>
      <c r="BJ261" s="21" t="n"/>
      <c r="BK261" s="21" t="n"/>
      <c r="BL261" s="21" t="n"/>
      <c r="BM261" s="21" t="n"/>
      <c r="BN261" s="21" t="n"/>
      <c r="BO261" s="21" t="n"/>
      <c r="BP261" s="21" t="n"/>
      <c r="BQ261" s="21" t="n"/>
      <c r="BR261" s="21" t="n"/>
      <c r="BS261" s="21" t="n"/>
      <c r="BT261" s="21" t="n"/>
      <c r="BU261" s="21" t="n"/>
      <c r="BV261" s="21" t="n"/>
      <c r="BW261" s="21" t="n"/>
      <c r="BX261" s="21" t="n"/>
      <c r="BY261" s="21" t="n"/>
      <c r="BZ261" s="21" t="n"/>
      <c r="CA261" s="21" t="n"/>
      <c r="CB261" s="21" t="n"/>
      <c r="CC261" s="21" t="n"/>
    </row>
    <row r="262">
      <c r="BD262" s="21" t="n"/>
      <c r="BE262" s="21" t="n"/>
      <c r="BF262" s="21" t="n"/>
      <c r="BG262" s="21" t="n"/>
      <c r="BH262" s="21" t="n"/>
      <c r="BI262" s="21" t="n"/>
      <c r="BJ262" s="21" t="n"/>
      <c r="BK262" s="21" t="n"/>
      <c r="BL262" s="21" t="n"/>
      <c r="BM262" s="21" t="n"/>
      <c r="BN262" s="21" t="n"/>
      <c r="BO262" s="21" t="n"/>
      <c r="BP262" s="21" t="n"/>
      <c r="BQ262" s="21" t="n"/>
      <c r="BR262" s="21" t="n"/>
      <c r="BS262" s="21" t="n"/>
      <c r="BT262" s="21" t="n"/>
      <c r="BU262" s="21" t="n"/>
      <c r="BV262" s="21" t="n"/>
      <c r="BW262" s="21" t="n"/>
      <c r="BX262" s="21" t="n"/>
      <c r="BY262" s="21" t="n"/>
      <c r="BZ262" s="21" t="n"/>
      <c r="CA262" s="21" t="n"/>
      <c r="CB262" s="21" t="n"/>
      <c r="CC262" s="21" t="n"/>
    </row>
    <row r="263">
      <c r="BD263" s="21" t="n"/>
      <c r="BE263" s="21" t="n"/>
      <c r="BF263" s="21" t="n"/>
      <c r="BG263" s="21" t="n"/>
      <c r="BH263" s="21" t="n"/>
      <c r="BI263" s="21" t="n"/>
      <c r="BJ263" s="21" t="n"/>
      <c r="BK263" s="21" t="n"/>
      <c r="BL263" s="21" t="n"/>
      <c r="BM263" s="21" t="n"/>
      <c r="BN263" s="21" t="n"/>
      <c r="BO263" s="21" t="n"/>
      <c r="BP263" s="21" t="n"/>
      <c r="BQ263" s="21" t="n"/>
      <c r="BR263" s="21" t="n"/>
      <c r="BS263" s="21" t="n"/>
      <c r="BT263" s="21" t="n"/>
      <c r="BU263" s="21" t="n"/>
      <c r="BV263" s="21" t="n"/>
      <c r="BW263" s="21" t="n"/>
      <c r="BX263" s="21" t="n"/>
      <c r="BY263" s="21" t="n"/>
      <c r="BZ263" s="21" t="n"/>
      <c r="CA263" s="21" t="n"/>
      <c r="CB263" s="21" t="n"/>
      <c r="CC263" s="21" t="n"/>
    </row>
    <row r="264">
      <c r="BD264" s="21" t="n"/>
      <c r="BE264" s="21" t="n"/>
      <c r="BF264" s="21" t="n"/>
      <c r="BG264" s="21" t="n"/>
      <c r="BH264" s="21" t="n"/>
      <c r="BI264" s="21" t="n"/>
      <c r="BJ264" s="21" t="n"/>
      <c r="BK264" s="21" t="n"/>
      <c r="BL264" s="21" t="n"/>
      <c r="BM264" s="21" t="n"/>
      <c r="BN264" s="21" t="n"/>
      <c r="BO264" s="21" t="n"/>
      <c r="BP264" s="21" t="n"/>
      <c r="BQ264" s="21" t="n"/>
      <c r="BR264" s="21" t="n"/>
      <c r="BS264" s="21" t="n"/>
      <c r="BT264" s="21" t="n"/>
      <c r="BU264" s="21" t="n"/>
      <c r="BV264" s="21" t="n"/>
      <c r="BW264" s="21" t="n"/>
      <c r="BX264" s="21" t="n"/>
      <c r="BY264" s="21" t="n"/>
      <c r="BZ264" s="21" t="n"/>
      <c r="CA264" s="21" t="n"/>
      <c r="CB264" s="21" t="n"/>
      <c r="CC264" s="21" t="n"/>
    </row>
    <row r="265">
      <c r="BD265" s="21" t="n"/>
      <c r="BE265" s="21" t="n"/>
      <c r="BF265" s="21" t="n"/>
      <c r="BG265" s="21" t="n"/>
      <c r="BH265" s="21" t="n"/>
      <c r="BI265" s="21" t="n"/>
      <c r="BJ265" s="21" t="n"/>
      <c r="BK265" s="21" t="n"/>
      <c r="BL265" s="21" t="n"/>
      <c r="BM265" s="21" t="n"/>
      <c r="BN265" s="21" t="n"/>
      <c r="BO265" s="21" t="n"/>
      <c r="BP265" s="21" t="n"/>
      <c r="BQ265" s="21" t="n"/>
      <c r="BR265" s="21" t="n"/>
      <c r="BS265" s="21" t="n"/>
      <c r="BT265" s="21" t="n"/>
      <c r="BU265" s="21" t="n"/>
      <c r="BV265" s="21" t="n"/>
      <c r="BW265" s="21" t="n"/>
      <c r="BX265" s="21" t="n"/>
      <c r="BY265" s="21" t="n"/>
      <c r="BZ265" s="21" t="n"/>
      <c r="CA265" s="21" t="n"/>
      <c r="CB265" s="21" t="n"/>
      <c r="CC265" s="21" t="n"/>
    </row>
    <row r="266">
      <c r="BD266" s="21" t="n"/>
      <c r="BE266" s="21" t="n"/>
      <c r="BF266" s="21" t="n"/>
      <c r="BG266" s="21" t="n"/>
      <c r="BH266" s="21" t="n"/>
      <c r="BI266" s="21" t="n"/>
      <c r="BJ266" s="21" t="n"/>
      <c r="BK266" s="21" t="n"/>
      <c r="BL266" s="21" t="n"/>
      <c r="BM266" s="21" t="n"/>
      <c r="BN266" s="21" t="n"/>
      <c r="BO266" s="21" t="n"/>
      <c r="BP266" s="21" t="n"/>
      <c r="BQ266" s="21" t="n"/>
      <c r="BR266" s="21" t="n"/>
      <c r="BS266" s="21" t="n"/>
      <c r="BT266" s="21" t="n"/>
      <c r="BU266" s="21" t="n"/>
      <c r="BV266" s="21" t="n"/>
      <c r="BW266" s="21" t="n"/>
      <c r="BX266" s="21" t="n"/>
      <c r="BY266" s="21" t="n"/>
      <c r="BZ266" s="21" t="n"/>
      <c r="CA266" s="21" t="n"/>
      <c r="CB266" s="21" t="n"/>
      <c r="CC266" s="21" t="n"/>
    </row>
    <row r="267">
      <c r="BD267" s="21" t="n"/>
      <c r="BE267" s="21" t="n"/>
      <c r="BF267" s="21" t="n"/>
      <c r="BG267" s="21" t="n"/>
      <c r="BH267" s="21" t="n"/>
      <c r="BI267" s="21" t="n"/>
      <c r="BJ267" s="21" t="n"/>
      <c r="BK267" s="21" t="n"/>
      <c r="BL267" s="21" t="n"/>
      <c r="BM267" s="21" t="n"/>
      <c r="BN267" s="21" t="n"/>
      <c r="BO267" s="21" t="n"/>
      <c r="BP267" s="21" t="n"/>
      <c r="BQ267" s="21" t="n"/>
      <c r="BR267" s="21" t="n"/>
      <c r="BS267" s="21" t="n"/>
      <c r="BT267" s="21" t="n"/>
      <c r="BU267" s="21" t="n"/>
      <c r="BV267" s="21" t="n"/>
      <c r="BW267" s="21" t="n"/>
      <c r="BX267" s="21" t="n"/>
      <c r="BY267" s="21" t="n"/>
      <c r="BZ267" s="21" t="n"/>
      <c r="CA267" s="21" t="n"/>
      <c r="CB267" s="21" t="n"/>
      <c r="CC267" s="21" t="n"/>
    </row>
    <row r="268">
      <c r="BD268" s="21" t="n"/>
      <c r="BE268" s="21" t="n"/>
      <c r="BF268" s="21" t="n"/>
      <c r="BG268" s="21" t="n"/>
      <c r="BH268" s="21" t="n"/>
      <c r="BI268" s="21" t="n"/>
      <c r="BJ268" s="21" t="n"/>
      <c r="BK268" s="21" t="n"/>
      <c r="BL268" s="21" t="n"/>
      <c r="BM268" s="21" t="n"/>
      <c r="BN268" s="21" t="n"/>
      <c r="BO268" s="21" t="n"/>
      <c r="BP268" s="21" t="n"/>
      <c r="BQ268" s="21" t="n"/>
      <c r="BR268" s="21" t="n"/>
      <c r="BS268" s="21" t="n"/>
      <c r="BT268" s="21" t="n"/>
      <c r="BU268" s="21" t="n"/>
      <c r="BV268" s="21" t="n"/>
      <c r="BW268" s="21" t="n"/>
      <c r="BX268" s="21" t="n"/>
      <c r="BY268" s="21" t="n"/>
      <c r="BZ268" s="21" t="n"/>
      <c r="CA268" s="21" t="n"/>
      <c r="CB268" s="21" t="n"/>
      <c r="CC268" s="21" t="n"/>
    </row>
    <row r="269">
      <c r="BD269" s="21" t="n"/>
      <c r="BE269" s="21" t="n"/>
      <c r="BF269" s="21" t="n"/>
      <c r="BG269" s="21" t="n"/>
      <c r="BH269" s="21" t="n"/>
      <c r="BI269" s="21" t="n"/>
      <c r="BJ269" s="21" t="n"/>
      <c r="BK269" s="21" t="n"/>
      <c r="BL269" s="21" t="n"/>
      <c r="BM269" s="21" t="n"/>
      <c r="BN269" s="21" t="n"/>
      <c r="BO269" s="21" t="n"/>
      <c r="BP269" s="21" t="n"/>
      <c r="BQ269" s="21" t="n"/>
      <c r="BR269" s="21" t="n"/>
      <c r="BS269" s="21" t="n"/>
      <c r="BT269" s="21" t="n"/>
      <c r="BU269" s="21" t="n"/>
      <c r="BV269" s="21" t="n"/>
      <c r="BW269" s="21" t="n"/>
      <c r="BX269" s="21" t="n"/>
      <c r="BY269" s="21" t="n"/>
      <c r="BZ269" s="21" t="n"/>
      <c r="CA269" s="21" t="n"/>
      <c r="CB269" s="21" t="n"/>
      <c r="CC269" s="21" t="n"/>
    </row>
    <row r="270">
      <c r="BD270" s="21" t="n"/>
      <c r="BE270" s="21" t="n"/>
      <c r="BF270" s="21" t="n"/>
      <c r="BG270" s="21" t="n"/>
      <c r="BH270" s="21" t="n"/>
      <c r="BI270" s="21" t="n"/>
      <c r="BJ270" s="21" t="n"/>
      <c r="BK270" s="21" t="n"/>
      <c r="BL270" s="21" t="n"/>
      <c r="BM270" s="21" t="n"/>
      <c r="BN270" s="21" t="n"/>
      <c r="BO270" s="21" t="n"/>
      <c r="BP270" s="21" t="n"/>
      <c r="BQ270" s="21" t="n"/>
      <c r="BR270" s="21" t="n"/>
      <c r="BS270" s="21" t="n"/>
      <c r="BT270" s="21" t="n"/>
      <c r="BU270" s="21" t="n"/>
      <c r="BV270" s="21" t="n"/>
      <c r="BW270" s="21" t="n"/>
      <c r="BX270" s="21" t="n"/>
      <c r="BY270" s="21" t="n"/>
      <c r="BZ270" s="21" t="n"/>
      <c r="CA270" s="21" t="n"/>
      <c r="CB270" s="21" t="n"/>
      <c r="CC270" s="21" t="n"/>
    </row>
    <row r="271">
      <c r="BD271" s="21" t="n"/>
      <c r="BE271" s="21" t="n"/>
      <c r="BF271" s="21" t="n"/>
      <c r="BG271" s="21" t="n"/>
      <c r="BH271" s="21" t="n"/>
      <c r="BI271" s="21" t="n"/>
      <c r="BJ271" s="21" t="n"/>
      <c r="BK271" s="21" t="n"/>
      <c r="BL271" s="21" t="n"/>
      <c r="BM271" s="21" t="n"/>
      <c r="BN271" s="21" t="n"/>
      <c r="BO271" s="21" t="n"/>
      <c r="BP271" s="21" t="n"/>
      <c r="BQ271" s="21" t="n"/>
      <c r="BR271" s="21" t="n"/>
      <c r="BS271" s="21" t="n"/>
      <c r="BT271" s="21" t="n"/>
      <c r="BU271" s="21" t="n"/>
      <c r="BV271" s="21" t="n"/>
      <c r="BW271" s="21" t="n"/>
      <c r="BX271" s="21" t="n"/>
      <c r="BY271" s="21" t="n"/>
      <c r="BZ271" s="21" t="n"/>
      <c r="CA271" s="21" t="n"/>
      <c r="CB271" s="21" t="n"/>
      <c r="CC271" s="21" t="n"/>
    </row>
    <row r="272">
      <c r="BD272" s="21" t="n"/>
      <c r="BE272" s="21" t="n"/>
      <c r="BF272" s="21" t="n"/>
      <c r="BG272" s="21" t="n"/>
      <c r="BH272" s="21" t="n"/>
      <c r="BI272" s="21" t="n"/>
      <c r="BJ272" s="21" t="n"/>
      <c r="BK272" s="21" t="n"/>
      <c r="BL272" s="21" t="n"/>
      <c r="BM272" s="21" t="n"/>
      <c r="BN272" s="21" t="n"/>
      <c r="BO272" s="21" t="n"/>
      <c r="BP272" s="21" t="n"/>
      <c r="BQ272" s="21" t="n"/>
      <c r="BR272" s="21" t="n"/>
      <c r="BS272" s="21" t="n"/>
      <c r="BT272" s="21" t="n"/>
      <c r="BU272" s="21" t="n"/>
      <c r="BV272" s="21" t="n"/>
      <c r="BW272" s="21" t="n"/>
      <c r="BX272" s="21" t="n"/>
      <c r="BY272" s="21" t="n"/>
      <c r="BZ272" s="21" t="n"/>
      <c r="CA272" s="21" t="n"/>
      <c r="CB272" s="21" t="n"/>
      <c r="CC272" s="21" t="n"/>
    </row>
  </sheetData>
  <autoFilter ref="A1:CD272">
    <filterColumn colId="0" hiddenButton="0" showButton="0"/>
    <filterColumn colId="1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3" hiddenButton="0" showButton="0"/>
    <filterColumn colId="14" hiddenButton="0" showButton="0"/>
    <filterColumn colId="15" hiddenButton="0" showButton="0"/>
    <filterColumn colId="16" hiddenButton="0" showButton="0"/>
    <filterColumn colId="18" hiddenButton="0" showButton="0"/>
    <filterColumn colId="19" hiddenButton="0" showButton="0"/>
    <filterColumn colId="20" hiddenButton="0" showButton="0"/>
    <filterColumn colId="21" hiddenButton="0" showButton="0"/>
    <filterColumn colId="23" hiddenButton="0" showButton="0"/>
    <filterColumn colId="24" hiddenButton="0" showButton="0"/>
    <filterColumn colId="25" hiddenButton="0" showButton="0"/>
    <filterColumn colId="26" hiddenButton="0" showButton="0"/>
    <filterColumn colId="28" hiddenButton="0" showButton="0"/>
    <filterColumn colId="30" hiddenButton="0" showButton="0"/>
    <filterColumn colId="31" hiddenButton="0" showButton="0"/>
    <filterColumn colId="32" hiddenButton="0" showButton="0"/>
    <filterColumn colId="33" hiddenButton="0" showButton="0"/>
    <filterColumn colId="35" hiddenButton="0" showButton="0"/>
    <filterColumn colId="36" hiddenButton="0" showButton="0"/>
    <filterColumn colId="37" hiddenButton="0" showButton="0"/>
    <filterColumn colId="38" hiddenButton="0" showButton="0"/>
    <filterColumn colId="40" hiddenButton="0" showButton="0"/>
    <filterColumn colId="41" hiddenButton="0" showButton="0"/>
    <filterColumn colId="42" hiddenButton="0" showButton="0"/>
    <filterColumn colId="43" hiddenButton="0" showButton="0"/>
    <filterColumn colId="45" hiddenButton="0" showButton="0"/>
    <filterColumn colId="46" hiddenButton="0" showButton="0"/>
    <filterColumn colId="47" hiddenButton="0" showButton="0"/>
    <filterColumn colId="48" hiddenButton="0" showButton="0"/>
    <filterColumn colId="50" hiddenButton="0" showButton="0"/>
    <filterColumn colId="51" hiddenButton="0" showButton="0"/>
    <filterColumn colId="52" hiddenButton="0" showButton="0"/>
    <filterColumn colId="53" hiddenButton="0" showButton="0"/>
  </autoFilter>
  <mergeCells count="66">
    <mergeCell ref="CC1:CC2"/>
    <mergeCell ref="BR1:BR2"/>
    <mergeCell ref="BL1:BL2"/>
    <mergeCell ref="A4:A11"/>
    <mergeCell ref="BV1:BV2"/>
    <mergeCell ref="A29:A38"/>
    <mergeCell ref="B18:B19"/>
    <mergeCell ref="BX1:BX2"/>
    <mergeCell ref="CD1:CD2"/>
    <mergeCell ref="BM1:BM2"/>
    <mergeCell ref="D1:H1"/>
    <mergeCell ref="B12:B15"/>
    <mergeCell ref="A39:A46"/>
    <mergeCell ref="CA1:CA2"/>
    <mergeCell ref="A3:C3"/>
    <mergeCell ref="BE1:BE2"/>
    <mergeCell ref="BG1:BG2"/>
    <mergeCell ref="BQ1:BQ2"/>
    <mergeCell ref="B57:B58"/>
    <mergeCell ref="B39:B40"/>
    <mergeCell ref="BS1:BS2"/>
    <mergeCell ref="BU1:BU2"/>
    <mergeCell ref="B8:B11"/>
    <mergeCell ref="A1:C2"/>
    <mergeCell ref="BD1:BD2"/>
    <mergeCell ref="B24:B28"/>
    <mergeCell ref="A20:A28"/>
    <mergeCell ref="B29:B32"/>
    <mergeCell ref="B6:B7"/>
    <mergeCell ref="B37:B38"/>
    <mergeCell ref="B53:B54"/>
    <mergeCell ref="N1:R1"/>
    <mergeCell ref="BN1:BN2"/>
    <mergeCell ref="BH1:BH2"/>
    <mergeCell ref="BP1:BP2"/>
    <mergeCell ref="B49:B50"/>
    <mergeCell ref="BT1:BT2"/>
    <mergeCell ref="BZ1:BZ2"/>
    <mergeCell ref="A12:A19"/>
    <mergeCell ref="BI1:BI2"/>
    <mergeCell ref="CB1:CB2"/>
    <mergeCell ref="AC1:AD1"/>
    <mergeCell ref="AE1:AI1"/>
    <mergeCell ref="B55:B56"/>
    <mergeCell ref="B33:B36"/>
    <mergeCell ref="AO1:AS1"/>
    <mergeCell ref="B20:B21"/>
    <mergeCell ref="I1:M1"/>
    <mergeCell ref="AY1:BC1"/>
    <mergeCell ref="BK1:BK2"/>
    <mergeCell ref="B45:B46"/>
    <mergeCell ref="BO1:BO2"/>
    <mergeCell ref="B4:B5"/>
    <mergeCell ref="BW1:BW2"/>
    <mergeCell ref="X1:AB1"/>
    <mergeCell ref="BF1:BF2"/>
    <mergeCell ref="BY1:BY2"/>
    <mergeCell ref="B51:B52"/>
    <mergeCell ref="B22:B23"/>
    <mergeCell ref="S1:W1"/>
    <mergeCell ref="AJ1:AN1"/>
    <mergeCell ref="B16:B17"/>
    <mergeCell ref="AT1:AX1"/>
    <mergeCell ref="B41:B44"/>
    <mergeCell ref="B59:B60"/>
    <mergeCell ref="BJ1:BJ2"/>
  </mergeCells>
  <conditionalFormatting sqref="A1:B4 A12:B12 A15:E15 A20:B20 A29:B29 A39:B39 B16 B22 B24 B33:D33 B41 C4:C6 C8 C9:D10 C11:C13 C14:E14 C16:C31 C32:D32 C34:E34 C35:C40 C43 D6:D8 D11:D12 D12:E12 D16:E17 D19:E19 D20:D23 D25 D27:D30 D39:D41 D45:D46 E1:H1 E13 E18 F4:G7 F9:F10 F19:F25 F27:F29 F29:G32 F33:H33 F35:H35 F39:F42 F41:K41 F44:G44 F46 G9:G24 G28 H8:K8 H9 H11:Q11 H12:R13 H15:O15 H16:I16 H18:I23 H26:L26 H27 H31:I31 H39:J40 H43:I43 H44:J46 I4:I8 I6:J6 I7:M7 I10:N10 I14:N14 I28:N28 I32:I33 I42:J42 J1:M1 J4:K5 J9:P9 J16:R17 J18:L20 J22:L22 J24:K25 J27:N27 J30:M31 J34:J35 K21:L21 K23:M23 K29:N29 K33:S33 K35:L35 K36:M37 L6:M6 L32 L34 L40:M40 L42:O42 L43:M43 L46:M46 M8:N8 M18:O18 M19:N22 M24:N26 M38:M39 M41 M44:M45 N4:N8 N29:N31 N32:AD32 N34:P41 N43:P46 O1:R1 O4:R7 O9:R10 O19:P19 O20:R21 O22:P25 O27:O31 P8:W8 P14:R15 P26:P28 P29:R30 P30:P31 P31:T31 Q18:R18 Q20:R22 Q23 Q24:U24 Q25:R27 Q28:Q32 Q34:AD34 Q35:T35 Q36:R41 Q43:V43 Q45:R45 R19 R28 R29:U32 R37:U37 R42:X42 R44:R46 S4:W5 S6:S13 S7:T7 S15:S21 S22:T23 S25:T31 S26:W26 S38:U40 S46:U46 T1:W1 T6:W6 T12:W12 T13:T19 T20:Z21 T27:U27 T28:W28 T36:V36 T41:U41 T45:U45 U11:V11 U13:V13 U14:W17 U18:U19 U23:U25 U33:AD33 V10 V23:X23 V28:V31 V31:W31 V37:AA38 V39:V46 W27 W35:Y35 W39:W40 W41:Y41 W43:W46 X4:Y7 X9:X10 X11:Y12 X14:Y19 X24:Z25 X29:AD31 Y13 Y33:Z34 Z4:AD5 Z7:AA9 Z10 Z12:AA17 Z22:AD23 Z26:Z28 Z36:Z40 Z39:AA40 Z42:Z43 Z42:AD42 Z45:AG45 AA18:AA19 AA24:AA28 AA35:AE35 AA36:AD37 AA39:AD41 AA44:AD46 AB6:AD8 AB9:AG9 AB10:AE10 AB11:AL11 AB12:AV13 AB14:AG15 AB17:AD19 AB24:AD24 AB26:AE26 AB28:AD28 AB38:AD38 AB43:AG43 AB46:AF46 AC1 AC8:AT8 AC20:AD21 AC25:AD25 AC27:AC29 AC27:AE27 AD16 AE4:AP7 AE12:AE17 AE19:AE41 AE44:AH44 AF16:AF41 AG10 AG16:AH16 AG17:AJ18 AG19:AU19 AG20:AG23 AG25:AG37 AG38:AH42 AH20:AL22 AH23:AJ23 AH26 AH27:AK28 AH29:AW31 AH32:AK32 AH33:AR36 AH37 AH45:AH46 AI9:AR10 AI14:AO14 AI24:AL24 AI25:AR25 AI38:AI46 AJ26:AK26 AJ37:AS37 AJ38:AK40 AJ41:AM42 AJ43:AL43 AJ44:AN44 AJ46:AV46 AK1:BC1 AK15:AU16 AK17:AZ17 AK18 AK41:AS41 AL23:AV23 AL24:AL25 AL28:AM28 AL45 AM22:AV22 AM27:AP27 AM32:AR32 AM38:AO38 AM39:AS40 AM55:AN55 AN11:AQ11 AN18:AP18 AN20:AV21 AN24:AV24 AN26:AX26 AN42:AR42 AN43:AS44 AN45:AT45 AO27:BC28 AP7:AT7 AP18:AP21 AQ4:AZ6 AQ24:AQ25 AQ38:AT38 AR14:AU14 AS11:AT11 AS18:AU18 AT9:AT10 AT25:AV25 AV39:AW39 AW20:BC25 AW31:AW41 AX18:BA18 AX19:AY19 AX29:BC36 AX38:BC44 AX46:BC46 AY7:AZ16 AY45:BC45 AZ18:AZ20 AZ37:BC37 BA4:BC18 BA26:BC26 BC19 BO49:BP61">
    <cfRule type="containsText" priority="33240" operator="containsText" dxfId="17" text="VACATION">
      <formula>NOT(ISERROR(SEARCH(("VACATION"),(A1))))</formula>
    </cfRule>
  </conditionalFormatting>
  <conditionalFormatting sqref="A1:B4 A12:B12 A15:E15 A20:B20 A29:B29 A39:B39 A62:B62 B16 B22 B24 B33:D33 B41 C1:C6 C8 C9:D12 C13 C14:E14 C16:C31 C32:D32 C34:E34 C35:C40 C43 C48:C62 D1:X1 D6:D8 D14:D17 D19:D23 D25:D30 D39:D41 D45:D46 D62:AL62 E12:E13 E16:E19 E47 F4:G7 F9:F10 F19:F29 F30:G32 F33:H33 F35:H35 F37:F42 F41:K41 F44:G44 F46 G9:G24 G28:G29 G36:G38 G43:I43 G58:H58 H6:J6 H8:K8 H9 H11:H13 H15:O15 H16:R16 H17:H22 H18:L19 H21:I21 H23:I23 H26:L26 H27 H31:J31 H39:J40 H44:J46 I4:I8 I4:K5 I7:T7 I10:N10 I11:Q11 I12:R13 I14:N14 I20:J20 I22:J22 I28:I29 I32:I33 I36:I38 I42:J42 J9:P9 J17:R17 J24:J25 J27:J28 J30:J31 J30:K30 J34:J35 K20:K31 K33:S33 K35:L37 L6:N6 L20:L25 L27:N28 L29:L32 L34 L40:M40 L42:O42 L43:V43 L46 M8:N8 M18:O18 M19:N22 M23:M24 M25:N26 M29:N31 M36:M39 M41 M44:M46 N4:N8 N24 N32:AD32 N34:P41 N44:P44 N45:R45 N46:U46 O4:S6 O9:S10 O19:P19 O20:R21 O22:P25 O27:O31 P8:W8 P14:Q15 P26:P28 P29:AD29 P30:Q31 P30:V30 P31:T31 Q18:R18 Q20:R22 Q23 Q24:V24 Q25:U25 Q26:W26 Q27:U27 Q34:AD34 Q35:Q39 Q36:R36 Q37:AC37 Q38:R41 R14:R17 R19 R28:U32 R35:T35 R42:X42 R44 S4:AD5 S11:S13 S15:S21 S22:T22 S23:X23 S38:U40 T6:Y6 T12:Y12 T13:T19 T20:Z21 T36:V36 T41:U41 T45:U45 U11:V11 U13:V13 U14:W17 U18:U19 U33:AD33 V10 V28:W28 V31:AD31 V38:AB38 V39:V46 W27 W35:Y35 W39:W40 W41:Y41 W43:W45 W46:X46 X4:X7 X7:Z7 X9:X10 X11:Y11 X14:Y19 X24:Z25 X30:AD30 Y13 Y36:AD36 Z7:AA9 Z10 Z12:AA17 Z22:AE23 Z25:AA28 Z38:Z40 Z39:AA40 Z42:Z43 Z42:AD42 Z45:AA45 AA18:AA19 AA28:AE28 AA35:AD35 AA41 AA44:AD46 AB6:AD8 AB9:AG9 AB10:AE10 AB11:AL11 AB12:AV13 AB14:AG15 AB17:AZ17 AB18:AD18 AB19:AU19 AB20:AF20 AB24:AD24 AB39:AB41 AB43:AG43 AB46:AF46 AC1 AC8:AT8 AC21:AE21 AC25:AD25 AC26:AE27 AC36:AD41 AD16:AD17 AD30:AD31 AE4:AP7 AE12:AE17 AE19:AE41 AE44:AS44 AE45:AI45 AF16:AH16 AF18:AK18 AF21:AF41 AG10 AG20:AG23 AG25:AG37 AG38:AK38 AG39:AH41 AG42:AR42 AH20:AL22 AH23:AJ23 AH26 AH27:AK28 AH29:AW31 AH32:AK32 AH33:AR36 AH37 AH46:AV46 AI9:AR10 AI14:AO14 AI24:AL24 AI25:AR25 AI39:AK39 AI40:AL40 AI41:AS41 AI43:AL43 AJ1:BC1 AJ26:AK26 AJ37:AS37 AK15:AU16 AL23:AV23 AL28:AM28 AL45 AM22:AO22 AM27:AP27 AM32:AR32 AM38:AO38 AM39:AS40 AM55:AN55 AN11:AQ11 AN18:AP18 AN20:AV21 AN26:AX26 AN43:AS43 AN45:AT45 AO24:AQ25 AO27:AO29 AO27:BC28 AP7:AT7 AP16:AP26 AQ4:AZ6 AQ22:AV22 AQ38:AT38 AR14:AU14 AR24:AV24 AR36:AR39 AS11:AT11 AS18:AU18 AT9:AT10 AT16:AT24 AT25:AV25 AV39:AW39 AW20:BC25 AW31:AW41 AX18:BA18 AX19:AY19 AX29:BC36 AX38:BC44 AX46:BC46 AY7:AZ16 AY45:BC45 AZ16:AZ22 AZ37:BC37 BA4:BC18 BA26:BC26 BC19 BD47:CD47 BD62:CD62">
    <cfRule type="containsText" priority="33241" operator="containsText" dxfId="16" text="ED">
      <formula>NOT(ISERROR(SEARCH(("ED"),(A1))))</formula>
    </cfRule>
  </conditionalFormatting>
  <conditionalFormatting sqref="A1:B4 A12:B12 A15:E15 A20:B20 A29:B29 A39:B39 B16 B22 B24 B33:D33 B41 C1:C6 C8 C9:D12 C13 C14:E14 C16:C31 C32:D32 C34:E34 C35:C40 C43 D1:X1 D6:D8 D14:D17 D19:D23 D25:D30 D39:D41 D45:D46 E12:E13 E16:E19 F4:G7 F9:F10 F19:F35 F32:G32 F33:H33 F37:F42 F41:K41 F44:G44 F46 G9:G24 G28:G31 G35:H35 G36:G38 G43:I43 G58:H58 H6:J6 H8:K8 H9 H11:H13 H15:O15 H16:R16 H17:H22 H18:L19 H21:I21 H23:I23 H26:L26 H27 H31:J31 H39:J40 H44:J46 I4:I8 I4:K5 I7:T7 I10:N10 I11:Q11 I12:R13 I14:N14 I20:J20 I22:J22 I28:I29 I32:I33 I36:I38 I42:J42 J9:P9 J17:R17 J24:J25 J27:J28 J30:J31 J30:K30 J34:J35 K20:K31 K33:S33 K35:L37 L6:N6 L20:L25 L27:N28 L29:L32 L34 L40:M40 L42:O42 L43:V43 L46 M8:N8 M18:O18 M19:N22 M23:M24 M25:N26 M29:N31 M36:M39 M41 M44:M46 N4:N8 N24 N32:AD32 N34:P41 N44:P44 N45:R45 N46:U46 O4:S6 O9:S10 O19:P19 O20:R21 O22:P25 O27:O31 P8:W8 P14:Q15 P26:P28 P29:V30 P30:Q31 P31:T31 Q18:R18 Q20:R22 Q23 Q24:V24 Q25:U25 Q26:W26 Q27:U27 Q34:AD34 Q35:Q39 Q36:R36 Q37:AC37 Q38:R41 R14:R17 R19 R28:U32 R35:T35 R42:X42 R44 S4:AD5 S11:S13 S15:S21 S22:T22 S23:V23 S38:U40 T6:Y6 T12:Y12 T13:T19 T20:U21 T36:V36 T41:U41 T45:U45 U11:V11 U33:AD33 V10 V28:W28 V31:AD31 V38:AB38 V39:V46 W27 W35:Y35 W39:W40 W41:Y41 W43:W45 W46:X46 X4:X7 X7:Z7 X9:X10 X11:Y11 X14:Y19 X24:Z25 X30:AD30 Y13 Y29:AD29 Y36:AD36 Z7:AA9 Z10 Z12:AA17 Z20:Z21 Z22:AE23 Z25:AA28 Z38:Z40 Z39:AA40 Z42:Z43 Z42:AD42 Z45:AA45 AA18:AA19 AA28:AE28 AA35:AD35 AA41 AA44:AD46 AB6:AD8 AB9:AG9 AB10:AE10 AB11:AL11 AB12:AV13 AB14:AG15 AB17:AZ17 AB18:AD18 AB19:AU19 AB20:AF20 AB24:AD24 AB39:AB41 AB43:AG43 AB46:AF46 AC1 AC8:AT8 AC21:AE21 AC25:AD25 AC26:AE27 AC36:AD41 AD16:AD17 AD30:AD31 AE4:AP7 AE12:AE17 AE19:AE41 AE44:AS44 AE45:AI45 AF16:AH16 AF18:AK18 AF21:AF41 AG10 AG20:AG23 AG25:AG37 AG38:AK38 AG39:AH41 AG42:AR42 AH20:AL22 AH23:AJ23 AH26 AH27:AK28 AH29:AW31 AH32:AK32 AH33:AR36 AH37 AH46:AV46 AI9:AR10 AI14:AO14 AI24:AL24 AI25:AR25 AI39:AK39 AI40:AL40 AI41:AS41 AI43:AL43 AJ1:BC1 AJ26:AK26 AJ37:AS37 AK15:AU16 AL23:AV23 AL28:AM28 AL45 AM22:AO22 AM27:AP27 AM32:AR32 AM38:AO38 AM39:AS40 AN11:AQ11 AN18:AP18 AN20:AV21 AN26:AX26 AN43:AS43 AN45:AT45 AO24:AQ25 AO27:AO29 AO27:BC28 AP7:AT7 AP16:AP26 AQ4:AZ6 AQ22:AV22 AQ38:AT38 AR14:AU14 AR24:AV24 AR36:AR39 AS11:AT11 AS18:AU18 AT9:AT10 AT16:AT24 AT25:AV25 AV39:AW39 AW20:BC25 AW31:AW41 AX18:BA18 AX19:AY19 AX29:BC36 AX38:BC44 AX46:BC46 AY7:AZ16 AY45:BC45 AZ16:AZ22 AZ37:BC37 BA4:BC18 BA26:BC26 BC19">
    <cfRule type="containsText" priority="33242" operator="containsText" dxfId="15" text="GERIATRIC">
      <formula>NOT(ISERROR(SEARCH(("GERIATRIC"),(A1))))</formula>
    </cfRule>
  </conditionalFormatting>
  <conditionalFormatting sqref="C1:C3 D1 D26 F37:F38 G58:H58 H21:I21 H26:I26 H27 H35 I1 I29 I36:I38 J9:L9 J27:J28 J34:J35 J45 K11:L11 K26 L28 L40 N1 S1 S37:T37 T12:T13 T16:T21 V36:V38 X1 X37:Z38 Z45 AA28:AB28 AJ1 AJ34:AL35 AJ36:AJ38 AL28:AL29">
    <cfRule type="containsText" priority="33243" operator="containsText" dxfId="17" text="VACATION">
      <formula>NOT(ISERROR(SEARCH(("VACATION"),(C1))))</formula>
    </cfRule>
  </conditionalFormatting>
  <conditionalFormatting sqref="A47:B61 D47:BC47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M62:BC62 AN56:AQ58 AN59 AO59:AQ60 AP50:AS50 AP52:AQ52 AP54:AQ55 AQ61 AR53:AU54 AR55:AS55 AR57:AU61 AS49:AU49 AS51:AW51 AS52:AU52 AU55:AU56 AV49:AY50 AV52:AY60 AW61:AX61 AZ51:BC51 AZ54:BC61 BA50:BC50">
    <cfRule type="containsText" priority="33244" operator="containsText" dxfId="16" text="ED">
      <formula>NOT(ISERROR(SEARCH(("ED"),(A47))))</formula>
    </cfRule>
  </conditionalFormatting>
  <conditionalFormatting sqref="A48:B61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N56:AQ58 AN59 AO59:AQ60 AP50:AS50 AP52:AQ52 AP54:AQ55 AQ61 AR53:AU54 AR55:AS55 AR57:AU61 AS49:AU49 AS51:AW51 AS52:AU52 AU55:AU56 AV49:AY50 AV52:AY60 AW61:AX61 AZ51:BC51 AZ54:BC61 BA50:BC50">
    <cfRule type="containsText" priority="33245" operator="containsText" dxfId="17" text="VACATION">
      <formula>NOT(ISERROR(SEARCH(("VACATION"),(A48))))</formula>
    </cfRule>
  </conditionalFormatting>
  <conditionalFormatting sqref="A1:B4 A12:B12 A15:E15 A20:B20 A29:B29 A39:B39 B16 B22 B24 B33:D33 C1:C6 C8 C9:D12 C13 C14:E14 C16:C31 C32:D32 C34:E34 C35:C40 C43 D1:X1 D6:D8 D14:D17 D19:D23 D25:D30 D39:D41 D45:D46 E12:E13 E16:E19 F4:G7 F9:F10 F19:F35 F32:G32 F33:H33 F37:F42 F41:K41 F44:G44 F46 G9:G24 G28:G31 G35:H35 G36:G38 G43:I43 G58:H58 H6:J6 H8:K8 H9 H11:Q11 H12:R13 H15:O15 H16:R16 H17:H22 H18:O18 H21:I21 H23:I23 H26:L26 H27 H31:J31 H39:J40 H44:J46 I4:K5 I7:T7 I10:N10 I14:O14 I19:L19 I20:J20 I22:J22 I28:I29 I32:I33 I36:I38 I42:J42 J9:P9 J16:J19 J17:R17 J24:J25 J27:J28 J30:J31 J30:K30 J34:J35 K20:K31 K33:S33 K35:L37 L6:N6 L20:L25 L27:N28 L29:L32 L34 L40:M40 L42:O42 L43:V43 L46 M8:N8 M19:N22 M23:M24 M25:N26 M29:N31 M36:M39 M41 M44:M46 N4:N5 N24 N32:AD32 N34:P41 N44:P44 N45:R45 N46:U46 O4:R6 O9:R10 O16:O19 O19:P19 O20:R21 O22:P25 O27:O31 P8:W8 P14:Q15 P26:P28 P28:W28 P29:V30 P30:Q31 P31:T31 Q18:R18 Q20:R22 Q23 Q24:V24 Q25:U25 Q26:W26 Q27:U27 Q34:AD34 Q35:T35 Q36:R36 Q37:U37 Q38:R41 R6:Y6 R14:R17 R19 R29:U32 R42:X42 R44 S4:AD5 S9:S13 S15:S21 S22:T22 S23:V23 S38:U40 T12:Y12 T13:T19 T20:U21 T36:V36 T41:U41 T45:U45 U11:V11 U33:AD33 V10 V31:AD31 V37:AA38 V39:V46 W27 W35:Y35 W39:W40 W41:Y41 W43:W45 W46:X46 X7:Z7 X9:X10 X11:Y11 X14:Y19 X24:Z25 X30 X36:AC36 Y13 Y29:AD30 Z7:AA9 Z10 Z12:AA17 Z20:Z24 Z26:Z28 Z39:AA40 Z42:Z43 Z42:AD42 Z45:AA45 AA18:AA19 AA22:AE23 AA24:AA28 AA35:AE35 AA41 AA44:AD46 AB6:AD8 AB9:AG9 AB10:AE10 AB11:AL11 AB12:AV13 AB14:AG15 AB17:AD18 AB19:AF20 AB24:AD24 AB28 AB36:AC37 AB38:AB41 AB43:AG43 AB46:AF46 AC1 AC8:AT8 AC21:AE21 AC25:AD25 AC26:AE28 AC36:AC42 AC41:AD41 AD16 AD17:AF17 AD35:AD41 AE4:AP7 AE12:AE17 AE19:AE41 AE44:AN44 AE45:AI45 AF16:AH16 AF18:AG18 AF21:AF41 AG10 AG17:AJ19 AG20:AG23 AG25:AG37 AG38:AK39 AG40:AL40 AG41:AS41 AG42:AR42 AH20:AL22 AH23:AJ23 AH26 AH27:AK28 AH29:AM31 AH32:AK32 AH33:AR36 AH37 AH46:AV46 AI9:AR10 AI14:AO14 AI24:AL24 AI25:AR25 AI43:AL43 AJ1:BC1 AJ15:AY15 AJ26:AK26 AJ37:AT37 AK16:AR17 AK18 AK19:AO19 AL23:AR23 AL28:AM28 AL45 AM22:AR22 AM27:AP27 AM32 AM38 AM39:AS41 AN11:AQ11 AN18:AP18 AN19:AR21 AN24:AR24 AN26:AU26 AN28:AN30 AN31:AR32 AN36:AN40 AN43:AS44 AN45:AT45 AO27:AU28 AO29:AR30 AO38 AP7:AT7 AQ4:AZ6 AQ19:AU19 AQ38:AT38 AR14:AU14 AS11:AT11 AS16:AS24 AS17:AZ17 AS29:AW31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BH61 BE3:BR4 BI48:CA48 BI49:BN61 BP1 BQ49:BZ61 BS4:CC4 CA48:CC61 CD48">
    <cfRule type="containsText" priority="33246" operator="containsText" dxfId="7" text="PATH">
      <formula>NOT(ISERROR(SEARCH(("PATH"),(A1))))</formula>
    </cfRule>
    <cfRule type="containsText" priority="33247" operator="containsText" dxfId="7" text="NEPHRO">
      <formula>NOT(ISERROR(SEARCH(("NEPHRO"),(A1))))</formula>
    </cfRule>
    <cfRule type="containsText" priority="33248" operator="containsText" dxfId="7" text="PULM">
      <formula>NOT(ISERROR(SEARCH(("PULM"),(A1))))</formula>
    </cfRule>
    <cfRule type="containsText" priority="33249" operator="containsText" dxfId="7" text="RADIOLOGY">
      <formula>NOT(ISERROR(SEARCH(("RADIOLOGY"),(A1))))</formula>
    </cfRule>
    <cfRule type="containsText" priority="33250" operator="containsText" dxfId="7" text="HEM/ONC">
      <formula>NOT(ISERROR(SEARCH(("HEM/ONC"),(A1))))</formula>
    </cfRule>
    <cfRule type="containsText" priority="33251" operator="containsText" dxfId="7" text="CARDIO">
      <formula>NOT(ISERROR(SEARCH(("CARDIO"),(A1))))</formula>
    </cfRule>
    <cfRule type="containsText" priority="33252" operator="containsText" dxfId="7" text="ID">
      <formula>NOT(ISERROR(SEARCH(("ID"),(A1))))</formula>
    </cfRule>
    <cfRule type="containsText" priority="33253" operator="containsText" dxfId="7" text="NEURO">
      <formula>NOT(ISERROR(SEARCH(("NEURO"),(A1))))</formula>
    </cfRule>
    <cfRule type="containsText" priority="33257" operator="containsText" dxfId="3" text="ICU">
      <formula>NOT(ISERROR(SEARCH(("ICU"),(A1))))</formula>
    </cfRule>
    <cfRule type="containsText" priority="33258" operator="containsText" dxfId="0" text="SWING">
      <formula>NOT(ISERROR(SEARCH(("SWING"),(A1))))</formula>
    </cfRule>
    <cfRule type="containsText" priority="33259" operator="containsText" dxfId="0" text="NF">
      <formula>NOT(ISERROR(SEARCH(("NF"),(A1))))</formula>
    </cfRule>
  </conditionalFormatting>
  <conditionalFormatting sqref="A1:B4 A12:B12 A15:E15 A20:B20 A29:B29 A39:B39 B16 B22 B24 B33:D33 C1:C6 C8 C9:D12 C13 C14:E14 C16:C31 C32:D32 C34:E34 C35:C40 C43 D1:X1 D6:D8 D14:D17 D19:D23 D25:D30 D39:D41 D45:D46 E12:E13 E16:E19 F4:G7 F9:F10 F19:F35 F32:G32 F33:H33 F37:F42 F41:K41 F44:G44 F46 G9:G24 G28:G31 G35:H35 G36:G38 G43:I43 G58:H58 H6:J6 H8:K8 H9 H11:Q11 H12:R13 H15:O15 H16:R16 H17:H22 H18:O18 H21:I21 H23:I23 H26:L26 H27 H31:J31 H39:J40 H44:J46 I4:K5 I7:T7 I10:N10 I14:O14 I19:L19 I20:J20 I22:J22 I28:I29 I32:I33 I36:I38 I42:J42 J9:P9 J16:J19 J17:R17 J24:J25 J27:J28 J30:J31 J30:K30 J34:J35 K20:K31 K33:S33 K35:L37 L6:N6 L20:L25 L27:N28 L29:L32 L34 L40:M40 L42:O42 L43:V43 L46 M8:N8 M19:N22 M23:M24 M25:N26 M29:N31 M36:M39 M41 M44:M46 N4:N5 N24 N32:AD32 N34:P41 N44:P44 N45:R45 N46:U46 O4:R6 O9:R10 O16:O19 O19:P19 O20:R21 O22:P25 O27:O31 P8:W8 P14:Q15 P26:P28 P28:W28 P29:V30 P30:Q31 P31:T31 Q18:R18 Q20:R22 Q23 Q24:V24 Q25:U25 Q26:W26 Q27:U27 Q34:AD34 Q35:T35 Q36:R36 Q37:U37 Q38:R41 R6:Y6 R14:R17 R19 R29:U32 R42:X42 R44 S4:AD5 S9:S13 S15:S21 S22:T22 S23:V23 S38:U40 T12:Y12 T13:T19 T20:U21 T36:V36 T41:U41 T45:U45 U11:V11 U33:AD33 V10 V31:AD31 V37:AA38 V39:V46 W27 W35:Y35 W39:W40 W41:Y41 W43:W45 W46:X46 X7:Z7 X9:X10 X11:Y11 X14:Y19 X24:Z25 X30 X36:AC36 Y13 Y29:AD30 Z7:AA9 Z10 Z12:AA17 Z20:Z24 Z26:Z28 Z39:AA40 Z42:Z43 Z42:AD42 Z45:AA45 AA18:AA19 AA22:AE23 AA24:AA28 AA35:AE35 AA41 AA44:AD46 AB6:AD8 AB9:AG9 AB10:AE10 AB11:AL11 AB12:AV13 AB14:AG15 AB17:AF17 AB18:AD18 AB19:AF20 AB24:AD24 AB26:AE26 AB28:AE28 AB36:AC37 AB38:AB41 AB43:AG43 AB46:AF46 AC1 AC8:AT8 AC21:AE21 AC25:AD25 AC27:AC29 AC27:AE27 AC36:AC42 AC41:AD41 AD16:AD17 AD35:AD41 AE4:AP7 AE12:AE17 AE19:AE41 AE44:AN44 AE45:AI45 AF16:AH16 AF18:AG18 AF21:AF41 AG10 AG17:AJ19 AG20:AG23 AG25:AG37 AG38:AK39 AG40:AL40 AG41:AS41 AG42:AR42 AH20:AL22 AH23:AJ23 AH26 AH27:AK28 AH29:AM31 AH32:AK32 AH33:AR36 AH37 AH46:AV46 AI9:AR10 AI14:AO14 AI24:AL24 AI25:AR25 AI43:AL43 AJ1:BC1 AJ15:AY15 AJ26:AK26 AJ37:AT37 AK16:AR17 AK18 AK19:AO19 AL23:AR23 AL28:AM28 AL45 AM22:AR22 AM27:AP27 AM32 AM38 AM39:AS41 AN11:AQ11 AN18:AP18 AN19:AR21 AN24:AR24 AN26:AU26 AN28:AN30 AN31:AR32 AN36:AN40 AN43:AS44 AN45:AT45 AO27:AU28 AO29:AR30 AO38 AP7:AT7 AQ4:AZ6 AQ19:AU19 AQ38:AT38 AR14:AU14 AS11:AT11 AS16:AS24 AS17:AZ17 AS29:AW31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BH61 BE3:BR4 BI48:CA48 BI49:BN61 BP1 BQ49:BZ61 BS4:CC4 CA48:CC61 CD48">
    <cfRule type="containsText" priority="33254" operator="containsText" dxfId="6" text="NEURO">
      <formula>NOT(ISERROR(SEARCH(("NEURO"),(A1))))</formula>
    </cfRule>
    <cfRule type="containsText" priority="33255" operator="containsText" dxfId="5" text="NEURO">
      <formula>NOT(ISERROR(SEARCH(("NEURO"),(A1))))</formula>
    </cfRule>
  </conditionalFormatting>
  <conditionalFormatting sqref="A1:B4 A12:B12 A15:E15 A20:B20 A29:B29 A39:B39 A62:AL62 B16 B22 B24 B33:D33 C1:C6 C8 C9:D12 C13 C14:E14 C16:C31 C32:D32 C34:E34 C35:C40 C43 D1:X1 D6:D8 D12:E12 D14:D17 D16:E17 D19:D23 D19:E19 D25:D30 D39:D41 D45:D46 E13 E18 F4:G7 F9:F10 F19:F35 F32:G32 F33:H33 F37:F42 F41:K41 F44:G44 F46 G9:G24 G22:J22 G23:I23 G28:G31 G35:H35 G36:G38 G43:I43 G58:H58 H8:K8 H9 H11:J13 H11:Q11 H12:R13 H15:O15 H16:R16 H18:I21 H18:M18 H26:L26 H27 H31:J31 H39:I40 H44:J46 I4:I8 I4:K5 I6:J6 I7:T7 I10:N10 I14:N14 I19:L19 I20:J20 I22:I24 I28:I29 I32:I33 I36:I38 I40:J40 I42:J42 J9:P9 J16:J20 J17:R17 J25:K25 J27:J28 J30:J31 J30:K30 J34:J35 J39 K16:K24 K26:K31 K33:S33 K35:L35 K36:K37 L6:N6 L20:L25 L27:N28 L29:L32 L34:L37 L40 L42:O42 L43:M43 M8:N8 M19:O22 M23:M24 M25:N26 M29:N31 M36:M41 M44:M46 N4:N8 N11:N13 N16:O18 N24 N32:AD32 N34:P41 N43:P46 O4:R6 O9:R10 O19:P19 O20:R21 O22:P25 O27:O31 P8:W8 P14:Q15 P20:P23 P26:P29 P29:AD29 P30:Q31 P30:V30 P31:T31 Q18:R18 Q20:R22 Q23 Q24:V24 Q25:U25 Q26:W26 Q27:U27 Q28:Q32 Q34:AD34 Q35:Q41 Q36:R36 Q37:U37 Q38:R41 Q43:V43 Q45:R45 R14:R17 R19 R28:W28 R29:U32 R35:T35 R42:X42 R44:R46 S4:S13 S4:AD5 S15:S21 S22:T23 S23:X23 S25:T31 S38:U40 S46:U46 T6:Y6 T12:Y12 T13:T19 T20:Z21 T36:V36 T41:U41 T45:U45 U11:V11 U13:V13 U14:W17 U18:U19 U33:AD33 V10 V28:V31 V31:AD31 V37:AA38 V39:V46 W27 W35:Y35 W39:W40 W41:Y41 W43:W45 W46:X46 X4:X7 X7:Z7 X9:X12 X11:Y11 X14:Y19 X24:Z25 X30:AD30 Y13 Y33:Z34 Y36:Z36 Z7:AA9 Z10 Z12:AA17 Z22:AE23 Z26:Z28 Z37:Z40 Z39:AA40 Z42:Z43 Z42:AD42 Z45:AA45 AA18:AA19 AA24:AA28 AA35:AE35 AA36:AA41 AA44:AD46 AB6:AD8 AB9:AG9 AB10:AE10 AB11:AL11 AB12:AV13 AB14:AG15 AB17:AD18 AB19:AF20 AB24:AD24 AB28 AB36:AC37 AB38:AB41 AB43:AG43 AB46:AF46 AC1 AC8:AT8 AC21:AE21 AC25:AD25 AC26:AE28 AC36:AC42 AC41:AD41 AD16 AD17:AF17 AD35:AD41 AE4:AP7 AE12:AE17 AE19:AE41 AE44:AN44 AE45:AI45 AF16:AH16 AF18:AG18 AF21:AF41 AG10 AG17:AJ19 AG20:AG23 AG25:AG37 AG38:AK39 AG40:AL40 AG41:AS41 AG42:AR42 AH20:AL22 AH23:AJ23 AH26 AH27:AK28 AH29:AM29 AH30:AH31 AH30:AL30 AH31:AW31 AH32:AK32 AH33:AR36 AH37 AH46:AV46 AI9:AR10 AI14:AO14 AI24:AL24 AI25:AR25 AI43:AL43 AJ1:BC1 AJ15:AY15 AJ26:AK26 AJ29:AJ31 AJ37:AS37 AK16:AR17 AK18 AK19:AM19 AK29:AK30 AL23:AR23 AL28 AL45 AM22:AR22 AM27:AP27 AM28:AM31 AM32:AR32 AM38:AO38 AM39:AS40 AM55:AN55 AN11:AQ11 AN18:AP18 AN19:AR21 AN24:AR24 AN26:AU26 AN28:AN30 AN43:AS44 AN45:AT45 AO27:AU28 AO29:AW30 AP7:AT7 AQ4:AZ6 AQ19:AU19 AQ38:AT38 AR14:AU14 AS11:AT11 AS16:AS24 AS17:AZ17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CC61 BD62:CD62 BE3:BR4 BP1 BS4:CC4 CD48">
    <cfRule type="containsText" priority="33256" operator="containsText" dxfId="0" text="ICU N">
      <formula>NOT(ISERROR(SEARCH(("ICU N"),(A1))))</formula>
    </cfRule>
  </conditionalFormatting>
  <conditionalFormatting sqref="C1:C3 D1 D26 F37:F38 G58:H58 H21:I21 H26:I26 H27 H35 I1 I29 I36:I38 J9:L9 J27:J28 J34:J35 J45 K11:L11 K26 L28 L40 N1 S1 S37:T37 T12:T13 T16:T21 V36:V38 X1 X37:Z38 Z45 AA28:AB28 AJ1 AJ34:AL35 AJ36:AJ38 AL28:AL29 AP46:AR46 AS8 AS11 AS12:AT13 AW38 BA20 BA27 BA37 BA38:BB38 BA41:BB41 BA44:BA45 BB10:BC10 BB18:BC18 BB24:BC25 BB27:BC28 BC18:BC19 BC34:BC35">
    <cfRule type="containsText" priority="33260" operator="containsText" dxfId="0" text="ICU N">
      <formula>NOT(ISERROR(SEARCH(("ICU N"),(C1))))</formula>
    </cfRule>
  </conditionalFormatting>
  <conditionalFormatting sqref="A48:B61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M62:BC62 AN56:AQ58 AN59 AO59:AQ60 AP50:AS50 AP52:AQ52 AP54:AQ55 AQ61 AR53:AU54 AR55:AS55 AR57:AU61 AS49:AU49 AS51:AW51 AS52:AU52 AU55:AU56 AV49:AY50 AV52:AY60 AW61:AX61 AZ51:BC51 AZ54:BC61 BA50:BC50">
    <cfRule type="containsText" priority="33261" operator="containsText" dxfId="0" text="ICU N">
      <formula>NOT(ISERROR(SEARCH(("ICU N"),(A48))))</formula>
    </cfRule>
  </conditionalFormatting>
  <conditionalFormatting sqref="J60">
    <cfRule type="containsText" priority="33278" operator="containsText" dxfId="16" text="ED">
      <formula>NOT(ISERROR(SEARCH(("ED"),(J60))))</formula>
    </cfRule>
    <cfRule type="containsText" priority="33279" operator="containsText" dxfId="15" text="GERIATRIC">
      <formula>NOT(ISERROR(SEARCH(("GERIATRIC"),(J60))))</formula>
    </cfRule>
    <cfRule type="containsText" priority="33280" operator="containsText" dxfId="17" text="VACATION">
      <formula>NOT(ISERROR(SEARCH(("VACATION"),(J60))))</formula>
    </cfRule>
    <cfRule type="containsText" priority="33281" operator="containsText" dxfId="7" text="PATH">
      <formula>NOT(ISERROR(SEARCH(("PATH"),(J60))))</formula>
    </cfRule>
    <cfRule type="containsText" priority="33282" operator="containsText" dxfId="7" text="NEPHRO">
      <formula>NOT(ISERROR(SEARCH(("NEPHRO"),(J60))))</formula>
    </cfRule>
    <cfRule type="containsText" priority="33283" operator="containsText" dxfId="7" text="PULM">
      <formula>NOT(ISERROR(SEARCH(("PULM"),(J60))))</formula>
    </cfRule>
    <cfRule type="containsText" priority="33284" operator="containsText" dxfId="7" text="RADIOLOGY">
      <formula>NOT(ISERROR(SEARCH(("RADIOLOGY"),(J60))))</formula>
    </cfRule>
    <cfRule type="containsText" priority="33285" operator="containsText" dxfId="7" text="HEM/ONC">
      <formula>NOT(ISERROR(SEARCH(("HEM/ONC"),(J60))))</formula>
    </cfRule>
    <cfRule type="containsText" priority="33286" operator="containsText" dxfId="7" text="CARDIO">
      <formula>NOT(ISERROR(SEARCH(("CARDIO"),(J60))))</formula>
    </cfRule>
    <cfRule type="containsText" priority="33287" operator="containsText" dxfId="7" text="ID">
      <formula>NOT(ISERROR(SEARCH(("ID"),(J60))))</formula>
    </cfRule>
    <cfRule type="containsText" priority="33288" operator="containsText" dxfId="7" text="NEURO">
      <formula>NOT(ISERROR(SEARCH(("NEURO"),(J60))))</formula>
    </cfRule>
    <cfRule type="containsText" priority="33289" operator="containsText" dxfId="6" text="NEURO">
      <formula>NOT(ISERROR(SEARCH(("NEURO"),(J60))))</formula>
    </cfRule>
    <cfRule type="containsText" priority="33290" operator="containsText" dxfId="5" text="NEURO">
      <formula>NOT(ISERROR(SEARCH(("NEURO"),(J60))))</formula>
    </cfRule>
    <cfRule type="containsText" priority="33291" operator="containsText" dxfId="0" text="ICU N">
      <formula>NOT(ISERROR(SEARCH(("ICU N"),(J60))))</formula>
    </cfRule>
    <cfRule type="containsText" priority="33292" operator="containsText" dxfId="3" text="ICU">
      <formula>NOT(ISERROR(SEARCH(("ICU"),(J60))))</formula>
    </cfRule>
    <cfRule type="containsText" priority="33293" operator="containsText" dxfId="0" text="SWING">
      <formula>NOT(ISERROR(SEARCH(("SWING"),(J60))))</formula>
    </cfRule>
    <cfRule type="containsText" priority="33294" operator="containsText" dxfId="0" text="NF">
      <formula>NOT(ISERROR(SEARCH(("NF"),(J60))))</formula>
    </cfRule>
    <cfRule type="containsText" priority="33295" operator="containsText" dxfId="0" text="ICU N">
      <formula>NOT(ISERROR(SEARCH(("ICU N"),(J60))))</formula>
    </cfRule>
  </conditionalFormatting>
  <conditionalFormatting sqref="L60">
    <cfRule type="containsText" priority="33296" operator="containsText" dxfId="16" text="ED">
      <formula>NOT(ISERROR(SEARCH(("ED"),(L60))))</formula>
    </cfRule>
    <cfRule type="containsText" priority="33297" operator="containsText" dxfId="15" text="GERIATRIC">
      <formula>NOT(ISERROR(SEARCH(("GERIATRIC"),(L60))))</formula>
    </cfRule>
    <cfRule type="containsText" priority="33298" operator="containsText" dxfId="17" text="VACATION">
      <formula>NOT(ISERROR(SEARCH(("VACATION"),(L60))))</formula>
    </cfRule>
    <cfRule type="containsText" priority="33299" operator="containsText" dxfId="7" text="PATH">
      <formula>NOT(ISERROR(SEARCH(("PATH"),(L60))))</formula>
    </cfRule>
    <cfRule type="containsText" priority="33300" operator="containsText" dxfId="7" text="NEPHRO">
      <formula>NOT(ISERROR(SEARCH(("NEPHRO"),(L60))))</formula>
    </cfRule>
    <cfRule type="containsText" priority="33301" operator="containsText" dxfId="7" text="PULM">
      <formula>NOT(ISERROR(SEARCH(("PULM"),(L60))))</formula>
    </cfRule>
    <cfRule type="containsText" priority="33302" operator="containsText" dxfId="7" text="RADIOLOGY">
      <formula>NOT(ISERROR(SEARCH(("RADIOLOGY"),(L60))))</formula>
    </cfRule>
    <cfRule type="containsText" priority="33303" operator="containsText" dxfId="7" text="HEM/ONC">
      <formula>NOT(ISERROR(SEARCH(("HEM/ONC"),(L60))))</formula>
    </cfRule>
    <cfRule type="containsText" priority="33304" operator="containsText" dxfId="7" text="CARDIO">
      <formula>NOT(ISERROR(SEARCH(("CARDIO"),(L60))))</formula>
    </cfRule>
    <cfRule type="containsText" priority="33305" operator="containsText" dxfId="7" text="ID">
      <formula>NOT(ISERROR(SEARCH(("ID"),(L60))))</formula>
    </cfRule>
    <cfRule type="containsText" priority="33306" operator="containsText" dxfId="7" text="NEURO">
      <formula>NOT(ISERROR(SEARCH(("NEURO"),(L60))))</formula>
    </cfRule>
    <cfRule type="containsText" priority="33307" operator="containsText" dxfId="6" text="NEURO">
      <formula>NOT(ISERROR(SEARCH(("NEURO"),(L60))))</formula>
    </cfRule>
    <cfRule type="containsText" priority="33308" operator="containsText" dxfId="5" text="NEURO">
      <formula>NOT(ISERROR(SEARCH(("NEURO"),(L60))))</formula>
    </cfRule>
    <cfRule type="containsText" priority="33309" operator="containsText" dxfId="0" text="ICU N">
      <formula>NOT(ISERROR(SEARCH(("ICU N"),(L60))))</formula>
    </cfRule>
    <cfRule type="containsText" priority="33310" operator="containsText" dxfId="3" text="ICU">
      <formula>NOT(ISERROR(SEARCH(("ICU"),(L60))))</formula>
    </cfRule>
    <cfRule type="containsText" priority="33311" operator="containsText" dxfId="0" text="SWING">
      <formula>NOT(ISERROR(SEARCH(("SWING"),(L60))))</formula>
    </cfRule>
    <cfRule type="containsText" priority="33312" operator="containsText" dxfId="0" text="NF">
      <formula>NOT(ISERROR(SEARCH(("NF"),(L60))))</formula>
    </cfRule>
    <cfRule type="containsText" priority="33313" operator="containsText" dxfId="0" text="ICU N">
      <formula>NOT(ISERROR(SEARCH(("ICU N"),(L60))))</formula>
    </cfRule>
  </conditionalFormatting>
  <conditionalFormatting sqref="K60">
    <cfRule type="containsText" priority="33314" operator="containsText" dxfId="16" text="ED">
      <formula>NOT(ISERROR(SEARCH(("ED"),(K60))))</formula>
    </cfRule>
    <cfRule type="containsText" priority="33315" operator="containsText" dxfId="15" text="GERIATRIC">
      <formula>NOT(ISERROR(SEARCH(("GERIATRIC"),(K60))))</formula>
    </cfRule>
    <cfRule type="containsText" priority="33316" operator="containsText" dxfId="17" text="VACATION">
      <formula>NOT(ISERROR(SEARCH(("VACATION"),(K60))))</formula>
    </cfRule>
    <cfRule type="containsText" priority="33317" operator="containsText" dxfId="7" text="PATH">
      <formula>NOT(ISERROR(SEARCH(("PATH"),(K60))))</formula>
    </cfRule>
    <cfRule type="containsText" priority="33318" operator="containsText" dxfId="7" text="NEPHRO">
      <formula>NOT(ISERROR(SEARCH(("NEPHRO"),(K60))))</formula>
    </cfRule>
    <cfRule type="containsText" priority="33319" operator="containsText" dxfId="7" text="PULM">
      <formula>NOT(ISERROR(SEARCH(("PULM"),(K60))))</formula>
    </cfRule>
    <cfRule type="containsText" priority="33320" operator="containsText" dxfId="7" text="RADIOLOGY">
      <formula>NOT(ISERROR(SEARCH(("RADIOLOGY"),(K60))))</formula>
    </cfRule>
    <cfRule type="containsText" priority="33321" operator="containsText" dxfId="7" text="HEM/ONC">
      <formula>NOT(ISERROR(SEARCH(("HEM/ONC"),(K60))))</formula>
    </cfRule>
    <cfRule type="containsText" priority="33322" operator="containsText" dxfId="7" text="CARDIO">
      <formula>NOT(ISERROR(SEARCH(("CARDIO"),(K60))))</formula>
    </cfRule>
    <cfRule type="containsText" priority="33323" operator="containsText" dxfId="7" text="ID">
      <formula>NOT(ISERROR(SEARCH(("ID"),(K60))))</formula>
    </cfRule>
    <cfRule type="containsText" priority="33324" operator="containsText" dxfId="7" text="NEURO">
      <formula>NOT(ISERROR(SEARCH(("NEURO"),(K60))))</formula>
    </cfRule>
    <cfRule type="containsText" priority="33325" operator="containsText" dxfId="6" text="NEURO">
      <formula>NOT(ISERROR(SEARCH(("NEURO"),(K60))))</formula>
    </cfRule>
    <cfRule type="containsText" priority="33326" operator="containsText" dxfId="5" text="NEURO">
      <formula>NOT(ISERROR(SEARCH(("NEURO"),(K60))))</formula>
    </cfRule>
    <cfRule type="containsText" priority="33327" operator="containsText" dxfId="0" text="ICU N">
      <formula>NOT(ISERROR(SEARCH(("ICU N"),(K60))))</formula>
    </cfRule>
    <cfRule type="containsText" priority="33328" operator="containsText" dxfId="3" text="ICU">
      <formula>NOT(ISERROR(SEARCH(("ICU"),(K60))))</formula>
    </cfRule>
    <cfRule type="containsText" priority="33329" operator="containsText" dxfId="0" text="SWING">
      <formula>NOT(ISERROR(SEARCH(("SWING"),(K60))))</formula>
    </cfRule>
    <cfRule type="containsText" priority="33330" operator="containsText" dxfId="0" text="NF">
      <formula>NOT(ISERROR(SEARCH(("NF"),(K60))))</formula>
    </cfRule>
    <cfRule type="containsText" priority="33331" operator="containsText" dxfId="0" text="ICU N">
      <formula>NOT(ISERROR(SEARCH(("ICU N"),(K60))))</formula>
    </cfRule>
  </conditionalFormatting>
  <conditionalFormatting sqref="G60">
    <cfRule type="containsText" priority="33386" operator="containsText" dxfId="16" text="ED">
      <formula>NOT(ISERROR(SEARCH(("ED"),(G60))))</formula>
    </cfRule>
    <cfRule type="containsText" priority="33387" operator="containsText" dxfId="15" text="GERIATRIC">
      <formula>NOT(ISERROR(SEARCH(("GERIATRIC"),(G60))))</formula>
    </cfRule>
    <cfRule type="containsText" priority="33388" operator="containsText" dxfId="17" text="VACATION">
      <formula>NOT(ISERROR(SEARCH(("VACATION"),(G60))))</formula>
    </cfRule>
    <cfRule type="containsText" priority="33389" operator="containsText" dxfId="7" text="PATH">
      <formula>NOT(ISERROR(SEARCH(("PATH"),(G60))))</formula>
    </cfRule>
    <cfRule type="containsText" priority="33390" operator="containsText" dxfId="7" text="NEPHRO">
      <formula>NOT(ISERROR(SEARCH(("NEPHRO"),(G60))))</formula>
    </cfRule>
    <cfRule type="containsText" priority="33391" operator="containsText" dxfId="7" text="PULM">
      <formula>NOT(ISERROR(SEARCH(("PULM"),(G60))))</formula>
    </cfRule>
    <cfRule type="containsText" priority="33392" operator="containsText" dxfId="7" text="RADIOLOGY">
      <formula>NOT(ISERROR(SEARCH(("RADIOLOGY"),(G60))))</formula>
    </cfRule>
    <cfRule type="containsText" priority="33393" operator="containsText" dxfId="7" text="HEM/ONC">
      <formula>NOT(ISERROR(SEARCH(("HEM/ONC"),(G60))))</formula>
    </cfRule>
    <cfRule type="containsText" priority="33394" operator="containsText" dxfId="7" text="CARDIO">
      <formula>NOT(ISERROR(SEARCH(("CARDIO"),(G60))))</formula>
    </cfRule>
    <cfRule type="containsText" priority="33395" operator="containsText" dxfId="7" text="ID">
      <formula>NOT(ISERROR(SEARCH(("ID"),(G60))))</formula>
    </cfRule>
    <cfRule type="containsText" priority="33396" operator="containsText" dxfId="7" text="NEURO">
      <formula>NOT(ISERROR(SEARCH(("NEURO"),(G60))))</formula>
    </cfRule>
    <cfRule type="containsText" priority="33397" operator="containsText" dxfId="6" text="NEURO">
      <formula>NOT(ISERROR(SEARCH(("NEURO"),(G60))))</formula>
    </cfRule>
    <cfRule type="containsText" priority="33398" operator="containsText" dxfId="5" text="NEURO">
      <formula>NOT(ISERROR(SEARCH(("NEURO"),(G60))))</formula>
    </cfRule>
    <cfRule type="containsText" priority="33399" operator="containsText" dxfId="0" text="ICU N">
      <formula>NOT(ISERROR(SEARCH(("ICU N"),(G60))))</formula>
    </cfRule>
    <cfRule type="containsText" priority="33400" operator="containsText" dxfId="3" text="ICU">
      <formula>NOT(ISERROR(SEARCH(("ICU"),(G60))))</formula>
    </cfRule>
    <cfRule type="containsText" priority="33401" operator="containsText" dxfId="0" text="SWING">
      <formula>NOT(ISERROR(SEARCH(("SWING"),(G60))))</formula>
    </cfRule>
    <cfRule type="containsText" priority="33402" operator="containsText" dxfId="0" text="NF">
      <formula>NOT(ISERROR(SEARCH(("NF"),(G60))))</formula>
    </cfRule>
    <cfRule type="containsText" priority="33403" operator="containsText" dxfId="0" text="ICU N">
      <formula>NOT(ISERROR(SEARCH(("ICU N"),(G60))))</formula>
    </cfRule>
  </conditionalFormatting>
  <conditionalFormatting sqref="L50:N50">
    <cfRule type="containsText" priority="33422" operator="containsText" dxfId="16" text="ED">
      <formula>NOT(ISERROR(SEARCH(("ED"),(L50))))</formula>
    </cfRule>
    <cfRule type="containsText" priority="33423" operator="containsText" dxfId="15" text="GERIATRIC">
      <formula>NOT(ISERROR(SEARCH(("GERIATRIC"),(L50))))</formula>
    </cfRule>
    <cfRule type="containsText" priority="33424" operator="containsText" dxfId="17" text="VACATION">
      <formula>NOT(ISERROR(SEARCH(("VACATION"),(L50))))</formula>
    </cfRule>
    <cfRule type="containsText" priority="33425" operator="containsText" dxfId="7" text="PATH">
      <formula>NOT(ISERROR(SEARCH(("PATH"),(L50))))</formula>
    </cfRule>
    <cfRule type="containsText" priority="33426" operator="containsText" dxfId="7" text="NEPHRO">
      <formula>NOT(ISERROR(SEARCH(("NEPHRO"),(L50))))</formula>
    </cfRule>
    <cfRule type="containsText" priority="33427" operator="containsText" dxfId="7" text="PULM">
      <formula>NOT(ISERROR(SEARCH(("PULM"),(L50))))</formula>
    </cfRule>
    <cfRule type="containsText" priority="33428" operator="containsText" dxfId="7" text="RADIOLOGY">
      <formula>NOT(ISERROR(SEARCH(("RADIOLOGY"),(L50))))</formula>
    </cfRule>
    <cfRule type="containsText" priority="33429" operator="containsText" dxfId="7" text="HEM/ONC">
      <formula>NOT(ISERROR(SEARCH(("HEM/ONC"),(L50))))</formula>
    </cfRule>
    <cfRule type="containsText" priority="33430" operator="containsText" dxfId="7" text="CARDIO">
      <formula>NOT(ISERROR(SEARCH(("CARDIO"),(L50))))</formula>
    </cfRule>
    <cfRule type="containsText" priority="33431" operator="containsText" dxfId="7" text="ID">
      <formula>NOT(ISERROR(SEARCH(("ID"),(L50))))</formula>
    </cfRule>
    <cfRule type="containsText" priority="33432" operator="containsText" dxfId="7" text="NEURO">
      <formula>NOT(ISERROR(SEARCH(("NEURO"),(L50))))</formula>
    </cfRule>
    <cfRule type="containsText" priority="33433" operator="containsText" dxfId="6" text="NEURO">
      <formula>NOT(ISERROR(SEARCH(("NEURO"),(L50))))</formula>
    </cfRule>
    <cfRule type="containsText" priority="33434" operator="containsText" dxfId="5" text="NEURO">
      <formula>NOT(ISERROR(SEARCH(("NEURO"),(L50))))</formula>
    </cfRule>
    <cfRule type="containsText" priority="33435" operator="containsText" dxfId="0" text="ICU N">
      <formula>NOT(ISERROR(SEARCH(("ICU N"),(L50))))</formula>
    </cfRule>
    <cfRule type="containsText" priority="33436" operator="containsText" dxfId="3" text="ICU">
      <formula>NOT(ISERROR(SEARCH(("ICU"),(L50))))</formula>
    </cfRule>
    <cfRule type="containsText" priority="33437" operator="containsText" dxfId="0" text="SWING">
      <formula>NOT(ISERROR(SEARCH(("SWING"),(L50))))</formula>
    </cfRule>
    <cfRule type="containsText" priority="33438" operator="containsText" dxfId="0" text="NF">
      <formula>NOT(ISERROR(SEARCH(("NF"),(L50))))</formula>
    </cfRule>
    <cfRule type="containsText" priority="33439" operator="containsText" dxfId="0" text="ICU N">
      <formula>NOT(ISERROR(SEARCH(("ICU N"),(L50))))</formula>
    </cfRule>
  </conditionalFormatting>
  <conditionalFormatting sqref="L54:M54">
    <cfRule type="containsText" priority="33440" operator="containsText" dxfId="16" text="ED">
      <formula>NOT(ISERROR(SEARCH(("ED"),(L54))))</formula>
    </cfRule>
    <cfRule type="containsText" priority="33441" operator="containsText" dxfId="15" text="GERIATRIC">
      <formula>NOT(ISERROR(SEARCH(("GERIATRIC"),(L54))))</formula>
    </cfRule>
    <cfRule type="containsText" priority="33442" operator="containsText" dxfId="17" text="VACATION">
      <formula>NOT(ISERROR(SEARCH(("VACATION"),(L54))))</formula>
    </cfRule>
    <cfRule type="containsText" priority="33443" operator="containsText" dxfId="7" text="PATH">
      <formula>NOT(ISERROR(SEARCH(("PATH"),(L54))))</formula>
    </cfRule>
    <cfRule type="containsText" priority="33444" operator="containsText" dxfId="7" text="NEPHRO">
      <formula>NOT(ISERROR(SEARCH(("NEPHRO"),(L54))))</formula>
    </cfRule>
    <cfRule type="containsText" priority="33445" operator="containsText" dxfId="7" text="PULM">
      <formula>NOT(ISERROR(SEARCH(("PULM"),(L54))))</formula>
    </cfRule>
    <cfRule type="containsText" priority="33446" operator="containsText" dxfId="7" text="RADIOLOGY">
      <formula>NOT(ISERROR(SEARCH(("RADIOLOGY"),(L54))))</formula>
    </cfRule>
    <cfRule type="containsText" priority="33447" operator="containsText" dxfId="7" text="HEM/ONC">
      <formula>NOT(ISERROR(SEARCH(("HEM/ONC"),(L54))))</formula>
    </cfRule>
    <cfRule type="containsText" priority="33448" operator="containsText" dxfId="7" text="CARDIO">
      <formula>NOT(ISERROR(SEARCH(("CARDIO"),(L54))))</formula>
    </cfRule>
    <cfRule type="containsText" priority="33449" operator="containsText" dxfId="7" text="ID">
      <formula>NOT(ISERROR(SEARCH(("ID"),(L54))))</formula>
    </cfRule>
    <cfRule type="containsText" priority="33450" operator="containsText" dxfId="7" text="NEURO">
      <formula>NOT(ISERROR(SEARCH(("NEURO"),(L54))))</formula>
    </cfRule>
    <cfRule type="containsText" priority="33451" operator="containsText" dxfId="6" text="NEURO">
      <formula>NOT(ISERROR(SEARCH(("NEURO"),(L54))))</formula>
    </cfRule>
    <cfRule type="containsText" priority="33452" operator="containsText" dxfId="5" text="NEURO">
      <formula>NOT(ISERROR(SEARCH(("NEURO"),(L54))))</formula>
    </cfRule>
    <cfRule type="containsText" priority="33453" operator="containsText" dxfId="0" text="ICU N">
      <formula>NOT(ISERROR(SEARCH(("ICU N"),(L54))))</formula>
    </cfRule>
    <cfRule type="containsText" priority="33454" operator="containsText" dxfId="3" text="ICU">
      <formula>NOT(ISERROR(SEARCH(("ICU"),(L54))))</formula>
    </cfRule>
    <cfRule type="containsText" priority="33455" operator="containsText" dxfId="0" text="SWING">
      <formula>NOT(ISERROR(SEARCH(("SWING"),(L54))))</formula>
    </cfRule>
    <cfRule type="containsText" priority="33456" operator="containsText" dxfId="0" text="NF">
      <formula>NOT(ISERROR(SEARCH(("NF"),(L54))))</formula>
    </cfRule>
    <cfRule type="containsText" priority="33457" operator="containsText" dxfId="0" text="ICU N">
      <formula>NOT(ISERROR(SEARCH(("ICU N"),(L54))))</formula>
    </cfRule>
  </conditionalFormatting>
  <conditionalFormatting sqref="N49:O49">
    <cfRule type="containsText" priority="33458" operator="containsText" dxfId="16" text="ED">
      <formula>NOT(ISERROR(SEARCH(("ED"),(N49))))</formula>
    </cfRule>
    <cfRule type="containsText" priority="33459" operator="containsText" dxfId="15" text="GERIATRIC">
      <formula>NOT(ISERROR(SEARCH(("GERIATRIC"),(N49))))</formula>
    </cfRule>
    <cfRule type="containsText" priority="33460" operator="containsText" dxfId="17" text="VACATION">
      <formula>NOT(ISERROR(SEARCH(("VACATION"),(N49))))</formula>
    </cfRule>
    <cfRule type="containsText" priority="33461" operator="containsText" dxfId="7" text="PATH">
      <formula>NOT(ISERROR(SEARCH(("PATH"),(N49))))</formula>
    </cfRule>
    <cfRule type="containsText" priority="33462" operator="containsText" dxfId="7" text="NEPHRO">
      <formula>NOT(ISERROR(SEARCH(("NEPHRO"),(N49))))</formula>
    </cfRule>
    <cfRule type="containsText" priority="33463" operator="containsText" dxfId="7" text="PULM">
      <formula>NOT(ISERROR(SEARCH(("PULM"),(N49))))</formula>
    </cfRule>
    <cfRule type="containsText" priority="33464" operator="containsText" dxfId="7" text="RADIOLOGY">
      <formula>NOT(ISERROR(SEARCH(("RADIOLOGY"),(N49))))</formula>
    </cfRule>
    <cfRule type="containsText" priority="33465" operator="containsText" dxfId="7" text="HEM/ONC">
      <formula>NOT(ISERROR(SEARCH(("HEM/ONC"),(N49))))</formula>
    </cfRule>
    <cfRule type="containsText" priority="33466" operator="containsText" dxfId="7" text="CARDIO">
      <formula>NOT(ISERROR(SEARCH(("CARDIO"),(N49))))</formula>
    </cfRule>
    <cfRule type="containsText" priority="33467" operator="containsText" dxfId="7" text="ID">
      <formula>NOT(ISERROR(SEARCH(("ID"),(N49))))</formula>
    </cfRule>
    <cfRule type="containsText" priority="33468" operator="containsText" dxfId="7" text="NEURO">
      <formula>NOT(ISERROR(SEARCH(("NEURO"),(N49))))</formula>
    </cfRule>
    <cfRule type="containsText" priority="33469" operator="containsText" dxfId="6" text="NEURO">
      <formula>NOT(ISERROR(SEARCH(("NEURO"),(N49))))</formula>
    </cfRule>
    <cfRule type="containsText" priority="33470" operator="containsText" dxfId="5" text="NEURO">
      <formula>NOT(ISERROR(SEARCH(("NEURO"),(N49))))</formula>
    </cfRule>
    <cfRule type="containsText" priority="33471" operator="containsText" dxfId="0" text="ICU N">
      <formula>NOT(ISERROR(SEARCH(("ICU N"),(N49))))</formula>
    </cfRule>
    <cfRule type="containsText" priority="33472" operator="containsText" dxfId="3" text="ICU">
      <formula>NOT(ISERROR(SEARCH(("ICU"),(N49))))</formula>
    </cfRule>
    <cfRule type="containsText" priority="33473" operator="containsText" dxfId="0" text="SWING">
      <formula>NOT(ISERROR(SEARCH(("SWING"),(N49))))</formula>
    </cfRule>
    <cfRule type="containsText" priority="33474" operator="containsText" dxfId="0" text="NF">
      <formula>NOT(ISERROR(SEARCH(("NF"),(N49))))</formula>
    </cfRule>
    <cfRule type="containsText" priority="33475" operator="containsText" dxfId="0" text="ICU N">
      <formula>NOT(ISERROR(SEARCH(("ICU N"),(N49))))</formula>
    </cfRule>
  </conditionalFormatting>
  <conditionalFormatting sqref="Q52">
    <cfRule type="containsText" priority="33476" operator="containsText" dxfId="16" text="ED">
      <formula>NOT(ISERROR(SEARCH(("ED"),(Q52))))</formula>
    </cfRule>
    <cfRule type="containsText" priority="33477" operator="containsText" dxfId="15" text="GERIATRIC">
      <formula>NOT(ISERROR(SEARCH(("GERIATRIC"),(Q52))))</formula>
    </cfRule>
    <cfRule type="containsText" priority="33478" operator="containsText" dxfId="17" text="VACATION">
      <formula>NOT(ISERROR(SEARCH(("VACATION"),(Q52))))</formula>
    </cfRule>
    <cfRule type="containsText" priority="33479" operator="containsText" dxfId="7" text="PATH">
      <formula>NOT(ISERROR(SEARCH(("PATH"),(Q52))))</formula>
    </cfRule>
    <cfRule type="containsText" priority="33480" operator="containsText" dxfId="7" text="NEPHRO">
      <formula>NOT(ISERROR(SEARCH(("NEPHRO"),(Q52))))</formula>
    </cfRule>
    <cfRule type="containsText" priority="33481" operator="containsText" dxfId="7" text="PULM">
      <formula>NOT(ISERROR(SEARCH(("PULM"),(Q52))))</formula>
    </cfRule>
    <cfRule type="containsText" priority="33482" operator="containsText" dxfId="7" text="RADIOLOGY">
      <formula>NOT(ISERROR(SEARCH(("RADIOLOGY"),(Q52))))</formula>
    </cfRule>
    <cfRule type="containsText" priority="33483" operator="containsText" dxfId="7" text="HEM/ONC">
      <formula>NOT(ISERROR(SEARCH(("HEM/ONC"),(Q52))))</formula>
    </cfRule>
    <cfRule type="containsText" priority="33484" operator="containsText" dxfId="7" text="CARDIO">
      <formula>NOT(ISERROR(SEARCH(("CARDIO"),(Q52))))</formula>
    </cfRule>
    <cfRule type="containsText" priority="33485" operator="containsText" dxfId="7" text="ID">
      <formula>NOT(ISERROR(SEARCH(("ID"),(Q52))))</formula>
    </cfRule>
    <cfRule type="containsText" priority="33486" operator="containsText" dxfId="7" text="NEURO">
      <formula>NOT(ISERROR(SEARCH(("NEURO"),(Q52))))</formula>
    </cfRule>
    <cfRule type="containsText" priority="33487" operator="containsText" dxfId="6" text="NEURO">
      <formula>NOT(ISERROR(SEARCH(("NEURO"),(Q52))))</formula>
    </cfRule>
    <cfRule type="containsText" priority="33488" operator="containsText" dxfId="5" text="NEURO">
      <formula>NOT(ISERROR(SEARCH(("NEURO"),(Q52))))</formula>
    </cfRule>
    <cfRule type="containsText" priority="33489" operator="containsText" dxfId="0" text="ICU N">
      <formula>NOT(ISERROR(SEARCH(("ICU N"),(Q52))))</formula>
    </cfRule>
    <cfRule type="containsText" priority="33490" operator="containsText" dxfId="3" text="ICU">
      <formula>NOT(ISERROR(SEARCH(("ICU"),(Q52))))</formula>
    </cfRule>
    <cfRule type="containsText" priority="33491" operator="containsText" dxfId="0" text="SWING">
      <formula>NOT(ISERROR(SEARCH(("SWING"),(Q52))))</formula>
    </cfRule>
    <cfRule type="containsText" priority="33492" operator="containsText" dxfId="0" text="NF">
      <formula>NOT(ISERROR(SEARCH(("NF"),(Q52))))</formula>
    </cfRule>
    <cfRule type="containsText" priority="33493" operator="containsText" dxfId="0" text="ICU N">
      <formula>NOT(ISERROR(SEARCH(("ICU N"),(Q52))))</formula>
    </cfRule>
  </conditionalFormatting>
  <conditionalFormatting sqref="Q53">
    <cfRule type="containsText" priority="33494" operator="containsText" dxfId="16" text="ED">
      <formula>NOT(ISERROR(SEARCH(("ED"),(Q53))))</formula>
    </cfRule>
    <cfRule type="containsText" priority="33495" operator="containsText" dxfId="15" text="GERIATRIC">
      <formula>NOT(ISERROR(SEARCH(("GERIATRIC"),(Q53))))</formula>
    </cfRule>
    <cfRule type="containsText" priority="33496" operator="containsText" dxfId="17" text="VACATION">
      <formula>NOT(ISERROR(SEARCH(("VACATION"),(Q53))))</formula>
    </cfRule>
    <cfRule type="containsText" priority="33497" operator="containsText" dxfId="7" text="PATH">
      <formula>NOT(ISERROR(SEARCH(("PATH"),(Q53))))</formula>
    </cfRule>
    <cfRule type="containsText" priority="33498" operator="containsText" dxfId="7" text="NEPHRO">
      <formula>NOT(ISERROR(SEARCH(("NEPHRO"),(Q53))))</formula>
    </cfRule>
    <cfRule type="containsText" priority="33499" operator="containsText" dxfId="7" text="PULM">
      <formula>NOT(ISERROR(SEARCH(("PULM"),(Q53))))</formula>
    </cfRule>
    <cfRule type="containsText" priority="33500" operator="containsText" dxfId="7" text="RADIOLOGY">
      <formula>NOT(ISERROR(SEARCH(("RADIOLOGY"),(Q53))))</formula>
    </cfRule>
    <cfRule type="containsText" priority="33501" operator="containsText" dxfId="7" text="HEM/ONC">
      <formula>NOT(ISERROR(SEARCH(("HEM/ONC"),(Q53))))</formula>
    </cfRule>
    <cfRule type="containsText" priority="33502" operator="containsText" dxfId="7" text="CARDIO">
      <formula>NOT(ISERROR(SEARCH(("CARDIO"),(Q53))))</formula>
    </cfRule>
    <cfRule type="containsText" priority="33503" operator="containsText" dxfId="7" text="ID">
      <formula>NOT(ISERROR(SEARCH(("ID"),(Q53))))</formula>
    </cfRule>
    <cfRule type="containsText" priority="33504" operator="containsText" dxfId="7" text="NEURO">
      <formula>NOT(ISERROR(SEARCH(("NEURO"),(Q53))))</formula>
    </cfRule>
    <cfRule type="containsText" priority="33505" operator="containsText" dxfId="6" text="NEURO">
      <formula>NOT(ISERROR(SEARCH(("NEURO"),(Q53))))</formula>
    </cfRule>
    <cfRule type="containsText" priority="33506" operator="containsText" dxfId="5" text="NEURO">
      <formula>NOT(ISERROR(SEARCH(("NEURO"),(Q53))))</formula>
    </cfRule>
    <cfRule type="containsText" priority="33507" operator="containsText" dxfId="0" text="ICU N">
      <formula>NOT(ISERROR(SEARCH(("ICU N"),(Q53))))</formula>
    </cfRule>
    <cfRule type="containsText" priority="33508" operator="containsText" dxfId="3" text="ICU">
      <formula>NOT(ISERROR(SEARCH(("ICU"),(Q53))))</formula>
    </cfRule>
    <cfRule type="containsText" priority="33509" operator="containsText" dxfId="0" text="SWING">
      <formula>NOT(ISERROR(SEARCH(("SWING"),(Q53))))</formula>
    </cfRule>
    <cfRule type="containsText" priority="33510" operator="containsText" dxfId="0" text="NF">
      <formula>NOT(ISERROR(SEARCH(("NF"),(Q53))))</formula>
    </cfRule>
    <cfRule type="containsText" priority="33511" operator="containsText" dxfId="0" text="ICU N">
      <formula>NOT(ISERROR(SEARCH(("ICU N"),(Q53))))</formula>
    </cfRule>
  </conditionalFormatting>
  <conditionalFormatting sqref="M58:N58 M59">
    <cfRule type="containsText" priority="33530" operator="containsText" dxfId="16" text="ED">
      <formula>NOT(ISERROR(SEARCH(("ED"),(M58))))</formula>
    </cfRule>
    <cfRule type="containsText" priority="33531" operator="containsText" dxfId="15" text="GERIATRIC">
      <formula>NOT(ISERROR(SEARCH(("GERIATRIC"),(M58))))</formula>
    </cfRule>
    <cfRule type="containsText" priority="33532" operator="containsText" dxfId="17" text="VACATION">
      <formula>NOT(ISERROR(SEARCH(("VACATION"),(M58))))</formula>
    </cfRule>
    <cfRule type="containsText" priority="33533" operator="containsText" dxfId="7" text="PATH">
      <formula>NOT(ISERROR(SEARCH(("PATH"),(M58))))</formula>
    </cfRule>
    <cfRule type="containsText" priority="33534" operator="containsText" dxfId="7" text="NEPHRO">
      <formula>NOT(ISERROR(SEARCH(("NEPHRO"),(M58))))</formula>
    </cfRule>
    <cfRule type="containsText" priority="33535" operator="containsText" dxfId="7" text="PULM">
      <formula>NOT(ISERROR(SEARCH(("PULM"),(M58))))</formula>
    </cfRule>
    <cfRule type="containsText" priority="33536" operator="containsText" dxfId="7" text="RADIOLOGY">
      <formula>NOT(ISERROR(SEARCH(("RADIOLOGY"),(M58))))</formula>
    </cfRule>
    <cfRule type="containsText" priority="33537" operator="containsText" dxfId="7" text="HEM/ONC">
      <formula>NOT(ISERROR(SEARCH(("HEM/ONC"),(M58))))</formula>
    </cfRule>
    <cfRule type="containsText" priority="33538" operator="containsText" dxfId="7" text="CARDIO">
      <formula>NOT(ISERROR(SEARCH(("CARDIO"),(M58))))</formula>
    </cfRule>
    <cfRule type="containsText" priority="33539" operator="containsText" dxfId="7" text="ID">
      <formula>NOT(ISERROR(SEARCH(("ID"),(M58))))</formula>
    </cfRule>
    <cfRule type="containsText" priority="33540" operator="containsText" dxfId="7" text="NEURO">
      <formula>NOT(ISERROR(SEARCH(("NEURO"),(M58))))</formula>
    </cfRule>
    <cfRule type="containsText" priority="33541" operator="containsText" dxfId="6" text="NEURO">
      <formula>NOT(ISERROR(SEARCH(("NEURO"),(M58))))</formula>
    </cfRule>
    <cfRule type="containsText" priority="33542" operator="containsText" dxfId="5" text="NEURO">
      <formula>NOT(ISERROR(SEARCH(("NEURO"),(M58))))</formula>
    </cfRule>
    <cfRule type="containsText" priority="33543" operator="containsText" dxfId="0" text="ICU N">
      <formula>NOT(ISERROR(SEARCH(("ICU N"),(M58))))</formula>
    </cfRule>
    <cfRule type="containsText" priority="33544" operator="containsText" dxfId="3" text="ICU">
      <formula>NOT(ISERROR(SEARCH(("ICU"),(M58))))</formula>
    </cfRule>
    <cfRule type="containsText" priority="33545" operator="containsText" dxfId="0" text="SWING">
      <formula>NOT(ISERROR(SEARCH(("SWING"),(M58))))</formula>
    </cfRule>
    <cfRule type="containsText" priority="33546" operator="containsText" dxfId="0" text="NF">
      <formula>NOT(ISERROR(SEARCH(("NF"),(M58))))</formula>
    </cfRule>
    <cfRule type="containsText" priority="33547" operator="containsText" dxfId="0" text="ICU N">
      <formula>NOT(ISERROR(SEARCH(("ICU N"),(M58))))</formula>
    </cfRule>
  </conditionalFormatting>
  <conditionalFormatting sqref="D61:F61">
    <cfRule type="containsText" priority="33548" operator="containsText" dxfId="16" text="ED">
      <formula>NOT(ISERROR(SEARCH(("ED"),(D61))))</formula>
    </cfRule>
    <cfRule type="containsText" priority="33549" operator="containsText" dxfId="15" text="GERIATRIC">
      <formula>NOT(ISERROR(SEARCH(("GERIATRIC"),(D61))))</formula>
    </cfRule>
    <cfRule type="containsText" priority="33550" operator="containsText" dxfId="17" text="VACATION">
      <formula>NOT(ISERROR(SEARCH(("VACATION"),(D61))))</formula>
    </cfRule>
    <cfRule type="containsText" priority="33551" operator="containsText" dxfId="7" text="PATH">
      <formula>NOT(ISERROR(SEARCH(("PATH"),(D61))))</formula>
    </cfRule>
    <cfRule type="containsText" priority="33552" operator="containsText" dxfId="7" text="NEPHRO">
      <formula>NOT(ISERROR(SEARCH(("NEPHRO"),(D61))))</formula>
    </cfRule>
    <cfRule type="containsText" priority="33553" operator="containsText" dxfId="7" text="PULM">
      <formula>NOT(ISERROR(SEARCH(("PULM"),(D61))))</formula>
    </cfRule>
    <cfRule type="containsText" priority="33554" operator="containsText" dxfId="7" text="RADIOLOGY">
      <formula>NOT(ISERROR(SEARCH(("RADIOLOGY"),(D61))))</formula>
    </cfRule>
    <cfRule type="containsText" priority="33555" operator="containsText" dxfId="7" text="HEM/ONC">
      <formula>NOT(ISERROR(SEARCH(("HEM/ONC"),(D61))))</formula>
    </cfRule>
    <cfRule type="containsText" priority="33556" operator="containsText" dxfId="7" text="CARDIO">
      <formula>NOT(ISERROR(SEARCH(("CARDIO"),(D61))))</formula>
    </cfRule>
    <cfRule type="containsText" priority="33557" operator="containsText" dxfId="7" text="ID">
      <formula>NOT(ISERROR(SEARCH(("ID"),(D61))))</formula>
    </cfRule>
    <cfRule type="containsText" priority="33558" operator="containsText" dxfId="7" text="NEURO">
      <formula>NOT(ISERROR(SEARCH(("NEURO"),(D61))))</formula>
    </cfRule>
    <cfRule type="containsText" priority="33559" operator="containsText" dxfId="6" text="NEURO">
      <formula>NOT(ISERROR(SEARCH(("NEURO"),(D61))))</formula>
    </cfRule>
    <cfRule type="containsText" priority="33560" operator="containsText" dxfId="5" text="NEURO">
      <formula>NOT(ISERROR(SEARCH(("NEURO"),(D61))))</formula>
    </cfRule>
    <cfRule type="containsText" priority="33561" operator="containsText" dxfId="0" text="ICU N">
      <formula>NOT(ISERROR(SEARCH(("ICU N"),(D61))))</formula>
    </cfRule>
    <cfRule type="containsText" priority="33562" operator="containsText" dxfId="3" text="ICU">
      <formula>NOT(ISERROR(SEARCH(("ICU"),(D61))))</formula>
    </cfRule>
    <cfRule type="containsText" priority="33563" operator="containsText" dxfId="0" text="SWING">
      <formula>NOT(ISERROR(SEARCH(("SWING"),(D61))))</formula>
    </cfRule>
    <cfRule type="containsText" priority="33564" operator="containsText" dxfId="0" text="NF">
      <formula>NOT(ISERROR(SEARCH(("NF"),(D61))))</formula>
    </cfRule>
    <cfRule type="containsText" priority="33565" operator="containsText" dxfId="0" text="ICU N">
      <formula>NOT(ISERROR(SEARCH(("ICU N"),(D61))))</formula>
    </cfRule>
  </conditionalFormatting>
  <conditionalFormatting sqref="I50">
    <cfRule type="containsText" priority="33566" operator="containsText" dxfId="16" text="ED">
      <formula>NOT(ISERROR(SEARCH(("ED"),(I50))))</formula>
    </cfRule>
    <cfRule type="containsText" priority="33567" operator="containsText" dxfId="15" text="GERIATRIC">
      <formula>NOT(ISERROR(SEARCH(("GERIATRIC"),(I50))))</formula>
    </cfRule>
    <cfRule type="containsText" priority="33568" operator="containsText" dxfId="17" text="VACATION">
      <formula>NOT(ISERROR(SEARCH(("VACATION"),(I50))))</formula>
    </cfRule>
    <cfRule type="containsText" priority="33569" operator="containsText" dxfId="7" text="PATH">
      <formula>NOT(ISERROR(SEARCH(("PATH"),(I50))))</formula>
    </cfRule>
    <cfRule type="containsText" priority="33570" operator="containsText" dxfId="7" text="NEPHRO">
      <formula>NOT(ISERROR(SEARCH(("NEPHRO"),(I50))))</formula>
    </cfRule>
    <cfRule type="containsText" priority="33571" operator="containsText" dxfId="7" text="PULM">
      <formula>NOT(ISERROR(SEARCH(("PULM"),(I50))))</formula>
    </cfRule>
    <cfRule type="containsText" priority="33572" operator="containsText" dxfId="7" text="RADIOLOGY">
      <formula>NOT(ISERROR(SEARCH(("RADIOLOGY"),(I50))))</formula>
    </cfRule>
    <cfRule type="containsText" priority="33573" operator="containsText" dxfId="7" text="HEM/ONC">
      <formula>NOT(ISERROR(SEARCH(("HEM/ONC"),(I50))))</formula>
    </cfRule>
    <cfRule type="containsText" priority="33574" operator="containsText" dxfId="7" text="CARDIO">
      <formula>NOT(ISERROR(SEARCH(("CARDIO"),(I50))))</formula>
    </cfRule>
    <cfRule type="containsText" priority="33575" operator="containsText" dxfId="7" text="ID">
      <formula>NOT(ISERROR(SEARCH(("ID"),(I50))))</formula>
    </cfRule>
    <cfRule type="containsText" priority="33576" operator="containsText" dxfId="7" text="NEURO">
      <formula>NOT(ISERROR(SEARCH(("NEURO"),(I50))))</formula>
    </cfRule>
    <cfRule type="containsText" priority="33577" operator="containsText" dxfId="6" text="NEURO">
      <formula>NOT(ISERROR(SEARCH(("NEURO"),(I50))))</formula>
    </cfRule>
    <cfRule type="containsText" priority="33578" operator="containsText" dxfId="5" text="NEURO">
      <formula>NOT(ISERROR(SEARCH(("NEURO"),(I50))))</formula>
    </cfRule>
    <cfRule type="containsText" priority="33579" operator="containsText" dxfId="0" text="ICU N">
      <formula>NOT(ISERROR(SEARCH(("ICU N"),(I50))))</formula>
    </cfRule>
    <cfRule type="containsText" priority="33580" operator="containsText" dxfId="3" text="ICU">
      <formula>NOT(ISERROR(SEARCH(("ICU"),(I50))))</formula>
    </cfRule>
    <cfRule type="containsText" priority="33581" operator="containsText" dxfId="0" text="SWING">
      <formula>NOT(ISERROR(SEARCH(("SWING"),(I50))))</formula>
    </cfRule>
    <cfRule type="containsText" priority="33582" operator="containsText" dxfId="0" text="NF">
      <formula>NOT(ISERROR(SEARCH(("NF"),(I50))))</formula>
    </cfRule>
    <cfRule type="containsText" priority="33583" operator="containsText" dxfId="0" text="ICU N">
      <formula>NOT(ISERROR(SEARCH(("ICU N"),(I50))))</formula>
    </cfRule>
  </conditionalFormatting>
  <conditionalFormatting sqref="D46">
    <cfRule type="containsText" priority="33599" operator="containsText" dxfId="7" text="PATH">
      <formula>NOT(ISERROR(SEARCH(("PATH"),(D46))))</formula>
    </cfRule>
    <cfRule type="containsText" priority="33600" operator="containsText" dxfId="7" text="NEPHRO">
      <formula>NOT(ISERROR(SEARCH(("NEPHRO"),(D46))))</formula>
    </cfRule>
    <cfRule type="containsText" priority="33601" operator="containsText" dxfId="7" text="PULM">
      <formula>NOT(ISERROR(SEARCH(("PULM"),(D46))))</formula>
    </cfRule>
    <cfRule type="containsText" priority="33602" operator="containsText" dxfId="7" text="RADIOLOGY">
      <formula>NOT(ISERROR(SEARCH(("RADIOLOGY"),(D46))))</formula>
    </cfRule>
    <cfRule type="containsText" priority="33603" operator="containsText" dxfId="7" text="HEM/ONC">
      <formula>NOT(ISERROR(SEARCH(("HEM/ONC"),(D46))))</formula>
    </cfRule>
    <cfRule type="containsText" priority="33604" operator="containsText" dxfId="7" text="CARDIO">
      <formula>NOT(ISERROR(SEARCH(("CARDIO"),(D46))))</formula>
    </cfRule>
    <cfRule type="containsText" priority="33605" operator="containsText" dxfId="7" text="ID">
      <formula>NOT(ISERROR(SEARCH(("ID"),(D46))))</formula>
    </cfRule>
    <cfRule type="containsText" priority="33606" operator="containsText" dxfId="7" text="NEURO">
      <formula>NOT(ISERROR(SEARCH(("NEURO"),(D46))))</formula>
    </cfRule>
    <cfRule type="containsText" priority="33607" operator="containsText" dxfId="6" text="NEURO">
      <formula>NOT(ISERROR(SEARCH(("NEURO"),(D46))))</formula>
    </cfRule>
    <cfRule type="containsText" priority="33608" operator="containsText" dxfId="5" text="NEURO">
      <formula>NOT(ISERROR(SEARCH(("NEURO"),(D46))))</formula>
    </cfRule>
    <cfRule type="containsText" priority="33609" operator="containsText" dxfId="0" text="ICU N">
      <formula>NOT(ISERROR(SEARCH(("ICU N"),(D46))))</formula>
    </cfRule>
    <cfRule type="containsText" priority="33610" operator="containsText" dxfId="3" text="ICU">
      <formula>NOT(ISERROR(SEARCH(("ICU"),(D46))))</formula>
    </cfRule>
    <cfRule type="containsText" priority="33611" operator="containsText" dxfId="0" text="SWING">
      <formula>NOT(ISERROR(SEARCH(("SWING"),(D46))))</formula>
    </cfRule>
    <cfRule type="containsText" priority="33612" operator="containsText" dxfId="0" text="NF">
      <formula>NOT(ISERROR(SEARCH(("NF"),(D46))))</formula>
    </cfRule>
    <cfRule type="containsText" priority="33613" operator="containsText" dxfId="0" text="ICU N">
      <formula>NOT(ISERROR(SEARCH(("ICU N"),(D46))))</formula>
    </cfRule>
  </conditionalFormatting>
  <conditionalFormatting sqref="J45">
    <cfRule type="containsText" priority="33629" operator="containsText" dxfId="7" text="PATH">
      <formula>NOT(ISERROR(SEARCH(("PATH"),(J45))))</formula>
    </cfRule>
    <cfRule type="containsText" priority="33630" operator="containsText" dxfId="7" text="NEPHRO">
      <formula>NOT(ISERROR(SEARCH(("NEPHRO"),(J45))))</formula>
    </cfRule>
    <cfRule type="containsText" priority="33631" operator="containsText" dxfId="7" text="PULM">
      <formula>NOT(ISERROR(SEARCH(("PULM"),(J45))))</formula>
    </cfRule>
    <cfRule type="containsText" priority="33632" operator="containsText" dxfId="7" text="RADIOLOGY">
      <formula>NOT(ISERROR(SEARCH(("RADIOLOGY"),(J45))))</formula>
    </cfRule>
    <cfRule type="containsText" priority="33633" operator="containsText" dxfId="7" text="HEM/ONC">
      <formula>NOT(ISERROR(SEARCH(("HEM/ONC"),(J45))))</formula>
    </cfRule>
    <cfRule type="containsText" priority="33634" operator="containsText" dxfId="7" text="CARDIO">
      <formula>NOT(ISERROR(SEARCH(("CARDIO"),(J45))))</formula>
    </cfRule>
    <cfRule type="containsText" priority="33635" operator="containsText" dxfId="7" text="ID">
      <formula>NOT(ISERROR(SEARCH(("ID"),(J45))))</formula>
    </cfRule>
    <cfRule type="containsText" priority="33636" operator="containsText" dxfId="7" text="NEURO">
      <formula>NOT(ISERROR(SEARCH(("NEURO"),(J45))))</formula>
    </cfRule>
    <cfRule type="containsText" priority="33637" operator="containsText" dxfId="6" text="NEURO">
      <formula>NOT(ISERROR(SEARCH(("NEURO"),(J45))))</formula>
    </cfRule>
    <cfRule type="containsText" priority="33638" operator="containsText" dxfId="5" text="NEURO">
      <formula>NOT(ISERROR(SEARCH(("NEURO"),(J45))))</formula>
    </cfRule>
    <cfRule type="containsText" priority="33639" operator="containsText" dxfId="0" text="ICU N">
      <formula>NOT(ISERROR(SEARCH(("ICU N"),(J45))))</formula>
    </cfRule>
    <cfRule type="containsText" priority="33640" operator="containsText" dxfId="3" text="ICU">
      <formula>NOT(ISERROR(SEARCH(("ICU"),(J45))))</formula>
    </cfRule>
    <cfRule type="containsText" priority="33641" operator="containsText" dxfId="0" text="SWING">
      <formula>NOT(ISERROR(SEARCH(("SWING"),(J45))))</formula>
    </cfRule>
    <cfRule type="containsText" priority="33642" operator="containsText" dxfId="0" text="NF">
      <formula>NOT(ISERROR(SEARCH(("NF"),(J45))))</formula>
    </cfRule>
    <cfRule type="containsText" priority="33643" operator="containsText" dxfId="0" text="ICU N">
      <formula>NOT(ISERROR(SEARCH(("ICU N"),(J45))))</formula>
    </cfRule>
  </conditionalFormatting>
  <conditionalFormatting sqref="Z45">
    <cfRule type="containsText" priority="33794" operator="containsText" dxfId="7" text="PATH">
      <formula>NOT(ISERROR(SEARCH(("PATH"),(Z45))))</formula>
    </cfRule>
    <cfRule type="containsText" priority="33795" operator="containsText" dxfId="7" text="NEPHRO">
      <formula>NOT(ISERROR(SEARCH(("NEPHRO"),(Z45))))</formula>
    </cfRule>
    <cfRule type="containsText" priority="33796" operator="containsText" dxfId="7" text="PULM">
      <formula>NOT(ISERROR(SEARCH(("PULM"),(Z45))))</formula>
    </cfRule>
    <cfRule type="containsText" priority="33797" operator="containsText" dxfId="7" text="RADIOLOGY">
      <formula>NOT(ISERROR(SEARCH(("RADIOLOGY"),(Z45))))</formula>
    </cfRule>
    <cfRule type="containsText" priority="33798" operator="containsText" dxfId="7" text="HEM/ONC">
      <formula>NOT(ISERROR(SEARCH(("HEM/ONC"),(Z45))))</formula>
    </cfRule>
    <cfRule type="containsText" priority="33799" operator="containsText" dxfId="7" text="CARDIO">
      <formula>NOT(ISERROR(SEARCH(("CARDIO"),(Z45))))</formula>
    </cfRule>
    <cfRule type="containsText" priority="33800" operator="containsText" dxfId="7" text="ID">
      <formula>NOT(ISERROR(SEARCH(("ID"),(Z45))))</formula>
    </cfRule>
    <cfRule type="containsText" priority="33801" operator="containsText" dxfId="7" text="NEURO">
      <formula>NOT(ISERROR(SEARCH(("NEURO"),(Z45))))</formula>
    </cfRule>
    <cfRule type="containsText" priority="33802" operator="containsText" dxfId="6" text="NEURO">
      <formula>NOT(ISERROR(SEARCH(("NEURO"),(Z45))))</formula>
    </cfRule>
    <cfRule type="containsText" priority="33803" operator="containsText" dxfId="5" text="NEURO">
      <formula>NOT(ISERROR(SEARCH(("NEURO"),(Z45))))</formula>
    </cfRule>
    <cfRule type="containsText" priority="33804" operator="containsText" dxfId="0" text="ICU N">
      <formula>NOT(ISERROR(SEARCH(("ICU N"),(Z45))))</formula>
    </cfRule>
    <cfRule type="containsText" priority="33805" operator="containsText" dxfId="3" text="ICU">
      <formula>NOT(ISERROR(SEARCH(("ICU"),(Z45))))</formula>
    </cfRule>
    <cfRule type="containsText" priority="33806" operator="containsText" dxfId="0" text="SWING">
      <formula>NOT(ISERROR(SEARCH(("SWING"),(Z45))))</formula>
    </cfRule>
    <cfRule type="containsText" priority="33807" operator="containsText" dxfId="0" text="NF">
      <formula>NOT(ISERROR(SEARCH(("NF"),(Z45))))</formula>
    </cfRule>
    <cfRule type="containsText" priority="33808" operator="containsText" dxfId="0" text="ICU N">
      <formula>NOT(ISERROR(SEARCH(("ICU N"),(Z45))))</formula>
    </cfRule>
    <cfRule type="containsText" priority="25906" operator="containsText" dxfId="7" text="PATH">
      <formula>NOT(ISERROR(SEARCH(("PATH"),(Z45))))</formula>
    </cfRule>
    <cfRule type="containsText" priority="25907" operator="containsText" dxfId="7" text="NEPHRO">
      <formula>NOT(ISERROR(SEARCH(("NEPHRO"),(Z45))))</formula>
    </cfRule>
    <cfRule type="containsText" priority="25908" operator="containsText" dxfId="7" text="PULM">
      <formula>NOT(ISERROR(SEARCH(("PULM"),(Z45))))</formula>
    </cfRule>
    <cfRule type="containsText" priority="25909" operator="containsText" dxfId="7" text="RADIOLOGY">
      <formula>NOT(ISERROR(SEARCH(("RADIOLOGY"),(Z45))))</formula>
    </cfRule>
    <cfRule type="containsText" priority="25910" operator="containsText" dxfId="7" text="HEM/ONC">
      <formula>NOT(ISERROR(SEARCH(("HEM/ONC"),(Z45))))</formula>
    </cfRule>
    <cfRule type="containsText" priority="25911" operator="containsText" dxfId="7" text="CARDIO">
      <formula>NOT(ISERROR(SEARCH(("CARDIO"),(Z45))))</formula>
    </cfRule>
    <cfRule type="containsText" priority="25912" operator="containsText" dxfId="7" text="ID">
      <formula>NOT(ISERROR(SEARCH(("ID"),(Z45))))</formula>
    </cfRule>
    <cfRule type="containsText" priority="25913" operator="containsText" dxfId="7" text="NEURO">
      <formula>NOT(ISERROR(SEARCH(("NEURO"),(Z45))))</formula>
    </cfRule>
    <cfRule type="containsText" priority="25914" operator="containsText" dxfId="6" text="NEURO">
      <formula>NOT(ISERROR(SEARCH(("NEURO"),(Z45))))</formula>
    </cfRule>
    <cfRule type="containsText" priority="25915" operator="containsText" dxfId="5" text="NEURO">
      <formula>NOT(ISERROR(SEARCH(("NEURO"),(Z45))))</formula>
    </cfRule>
    <cfRule type="containsText" priority="25916" operator="containsText" dxfId="0" text="ICU N">
      <formula>NOT(ISERROR(SEARCH(("ICU N"),(Z45))))</formula>
    </cfRule>
    <cfRule type="containsText" priority="25917" operator="containsText" dxfId="3" text="ICU">
      <formula>NOT(ISERROR(SEARCH(("ICU"),(Z45))))</formula>
    </cfRule>
    <cfRule type="containsText" priority="25918" operator="containsText" dxfId="0" text="SWING">
      <formula>NOT(ISERROR(SEARCH(("SWING"),(Z45))))</formula>
    </cfRule>
    <cfRule type="containsText" priority="25919" operator="containsText" dxfId="0" text="NF">
      <formula>NOT(ISERROR(SEARCH(("NF"),(Z45))))</formula>
    </cfRule>
    <cfRule type="containsText" priority="25920" operator="containsText" dxfId="0" text="ICU N">
      <formula>NOT(ISERROR(SEARCH(("ICU N"),(Z45))))</formula>
    </cfRule>
    <cfRule type="containsText" priority="25891" operator="containsText" dxfId="7" text="PATH">
      <formula>NOT(ISERROR(SEARCH(("PATH"),(Z45))))</formula>
    </cfRule>
    <cfRule type="containsText" priority="25892" operator="containsText" dxfId="7" text="NEPHRO">
      <formula>NOT(ISERROR(SEARCH(("NEPHRO"),(Z45))))</formula>
    </cfRule>
    <cfRule type="containsText" priority="25893" operator="containsText" dxfId="7" text="PULM">
      <formula>NOT(ISERROR(SEARCH(("PULM"),(Z45))))</formula>
    </cfRule>
    <cfRule type="containsText" priority="25894" operator="containsText" dxfId="7" text="RADIOLOGY">
      <formula>NOT(ISERROR(SEARCH(("RADIOLOGY"),(Z45))))</formula>
    </cfRule>
    <cfRule type="containsText" priority="25895" operator="containsText" dxfId="7" text="HEM/ONC">
      <formula>NOT(ISERROR(SEARCH(("HEM/ONC"),(Z45))))</formula>
    </cfRule>
    <cfRule type="containsText" priority="25896" operator="containsText" dxfId="7" text="CARDIO">
      <formula>NOT(ISERROR(SEARCH(("CARDIO"),(Z45))))</formula>
    </cfRule>
    <cfRule type="containsText" priority="25897" operator="containsText" dxfId="7" text="ID">
      <formula>NOT(ISERROR(SEARCH(("ID"),(Z45))))</formula>
    </cfRule>
    <cfRule type="containsText" priority="25898" operator="containsText" dxfId="7" text="NEURO">
      <formula>NOT(ISERROR(SEARCH(("NEURO"),(Z45))))</formula>
    </cfRule>
    <cfRule type="containsText" priority="25899" operator="containsText" dxfId="6" text="NEURO">
      <formula>NOT(ISERROR(SEARCH(("NEURO"),(Z45))))</formula>
    </cfRule>
    <cfRule type="containsText" priority="25900" operator="containsText" dxfId="5" text="NEURO">
      <formula>NOT(ISERROR(SEARCH(("NEURO"),(Z45))))</formula>
    </cfRule>
    <cfRule type="containsText" priority="25901" operator="containsText" dxfId="0" text="ICU N">
      <formula>NOT(ISERROR(SEARCH(("ICU N"),(Z45))))</formula>
    </cfRule>
    <cfRule type="containsText" priority="25902" operator="containsText" dxfId="3" text="ICU">
      <formula>NOT(ISERROR(SEARCH(("ICU"),(Z45))))</formula>
    </cfRule>
    <cfRule type="containsText" priority="25903" operator="containsText" dxfId="0" text="SWING">
      <formula>NOT(ISERROR(SEARCH(("SWING"),(Z45))))</formula>
    </cfRule>
    <cfRule type="containsText" priority="25904" operator="containsText" dxfId="0" text="NF">
      <formula>NOT(ISERROR(SEARCH(("NF"),(Z45))))</formula>
    </cfRule>
    <cfRule type="containsText" priority="25905" operator="containsText" dxfId="0" text="ICU N">
      <formula>NOT(ISERROR(SEARCH(("ICU N"),(Z45))))</formula>
    </cfRule>
  </conditionalFormatting>
  <conditionalFormatting sqref="AP46:AR46">
    <cfRule type="containsText" priority="33929" operator="containsText" dxfId="7" text="PATH">
      <formula>NOT(ISERROR(SEARCH(("PATH"),(AP46))))</formula>
    </cfRule>
    <cfRule type="containsText" priority="33930" operator="containsText" dxfId="7" text="NEPHRO">
      <formula>NOT(ISERROR(SEARCH(("NEPHRO"),(AP46))))</formula>
    </cfRule>
    <cfRule type="containsText" priority="33931" operator="containsText" dxfId="7" text="PULM">
      <formula>NOT(ISERROR(SEARCH(("PULM"),(AP46))))</formula>
    </cfRule>
    <cfRule type="containsText" priority="33932" operator="containsText" dxfId="7" text="RADIOLOGY">
      <formula>NOT(ISERROR(SEARCH(("RADIOLOGY"),(AP46))))</formula>
    </cfRule>
    <cfRule type="containsText" priority="33933" operator="containsText" dxfId="7" text="HEM/ONC">
      <formula>NOT(ISERROR(SEARCH(("HEM/ONC"),(AP46))))</formula>
    </cfRule>
    <cfRule type="containsText" priority="33934" operator="containsText" dxfId="7" text="CARDIO">
      <formula>NOT(ISERROR(SEARCH(("CARDIO"),(AP46))))</formula>
    </cfRule>
    <cfRule type="containsText" priority="33935" operator="containsText" dxfId="7" text="ID">
      <formula>NOT(ISERROR(SEARCH(("ID"),(AP46))))</formula>
    </cfRule>
    <cfRule type="containsText" priority="33936" operator="containsText" dxfId="7" text="NEURO">
      <formula>NOT(ISERROR(SEARCH(("NEURO"),(AP46))))</formula>
    </cfRule>
    <cfRule type="containsText" priority="33937" operator="containsText" dxfId="6" text="NEURO">
      <formula>NOT(ISERROR(SEARCH(("NEURO"),(AP46))))</formula>
    </cfRule>
    <cfRule type="containsText" priority="33938" operator="containsText" dxfId="5" text="NEURO">
      <formula>NOT(ISERROR(SEARCH(("NEURO"),(AP46))))</formula>
    </cfRule>
    <cfRule type="containsText" priority="33939" operator="containsText" dxfId="0" text="ICU N">
      <formula>NOT(ISERROR(SEARCH(("ICU N"),(AP46))))</formula>
    </cfRule>
    <cfRule type="containsText" priority="33940" operator="containsText" dxfId="3" text="ICU">
      <formula>NOT(ISERROR(SEARCH(("ICU"),(AP46))))</formula>
    </cfRule>
    <cfRule type="containsText" priority="33941" operator="containsText" dxfId="0" text="SWING">
      <formula>NOT(ISERROR(SEARCH(("SWING"),(AP46))))</formula>
    </cfRule>
    <cfRule type="containsText" priority="33942" operator="containsText" dxfId="0" text="NF">
      <formula>NOT(ISERROR(SEARCH(("NF"),(AP46))))</formula>
    </cfRule>
    <cfRule type="containsText" priority="33943" operator="containsText" dxfId="0" text="ICU N">
      <formula>NOT(ISERROR(SEARCH(("ICU N"),(AP46))))</formula>
    </cfRule>
  </conditionalFormatting>
  <conditionalFormatting sqref="AN46:AR46">
    <cfRule type="containsText" priority="33944" operator="containsText" dxfId="7" text="PATH">
      <formula>NOT(ISERROR(SEARCH(("PATH"),(AN46))))</formula>
    </cfRule>
    <cfRule type="containsText" priority="33945" operator="containsText" dxfId="7" text="NEPHRO">
      <formula>NOT(ISERROR(SEARCH(("NEPHRO"),(AN46))))</formula>
    </cfRule>
    <cfRule type="containsText" priority="33946" operator="containsText" dxfId="7" text="PULM">
      <formula>NOT(ISERROR(SEARCH(("PULM"),(AN46))))</formula>
    </cfRule>
    <cfRule type="containsText" priority="33947" operator="containsText" dxfId="7" text="RADIOLOGY">
      <formula>NOT(ISERROR(SEARCH(("RADIOLOGY"),(AN46))))</formula>
    </cfRule>
    <cfRule type="containsText" priority="33948" operator="containsText" dxfId="7" text="HEM/ONC">
      <formula>NOT(ISERROR(SEARCH(("HEM/ONC"),(AN46))))</formula>
    </cfRule>
    <cfRule type="containsText" priority="33949" operator="containsText" dxfId="7" text="CARDIO">
      <formula>NOT(ISERROR(SEARCH(("CARDIO"),(AN46))))</formula>
    </cfRule>
    <cfRule type="containsText" priority="33950" operator="containsText" dxfId="7" text="ID">
      <formula>NOT(ISERROR(SEARCH(("ID"),(AN46))))</formula>
    </cfRule>
    <cfRule type="containsText" priority="33951" operator="containsText" dxfId="7" text="NEURO">
      <formula>NOT(ISERROR(SEARCH(("NEURO"),(AN46))))</formula>
    </cfRule>
    <cfRule type="containsText" priority="33952" operator="containsText" dxfId="6" text="NEURO">
      <formula>NOT(ISERROR(SEARCH(("NEURO"),(AN46))))</formula>
    </cfRule>
    <cfRule type="containsText" priority="33953" operator="containsText" dxfId="5" text="NEURO">
      <formula>NOT(ISERROR(SEARCH(("NEURO"),(AN46))))</formula>
    </cfRule>
    <cfRule type="containsText" priority="33954" operator="containsText" dxfId="0" text="ICU N">
      <formula>NOT(ISERROR(SEARCH(("ICU N"),(AN46))))</formula>
    </cfRule>
    <cfRule type="containsText" priority="33955" operator="containsText" dxfId="3" text="ICU">
      <formula>NOT(ISERROR(SEARCH(("ICU"),(AN46))))</formula>
    </cfRule>
    <cfRule type="containsText" priority="33956" operator="containsText" dxfId="0" text="SWING">
      <formula>NOT(ISERROR(SEARCH(("SWING"),(AN46))))</formula>
    </cfRule>
    <cfRule type="containsText" priority="33957" operator="containsText" dxfId="0" text="NF">
      <formula>NOT(ISERROR(SEARCH(("NF"),(AN46))))</formula>
    </cfRule>
    <cfRule type="containsText" priority="33958" operator="containsText" dxfId="0" text="ICU N">
      <formula>NOT(ISERROR(SEARCH(("ICU N"),(AN46))))</formula>
    </cfRule>
  </conditionalFormatting>
  <conditionalFormatting sqref="AQ45">
    <cfRule type="containsText" priority="33959" operator="containsText" dxfId="7" text="PATH">
      <formula>NOT(ISERROR(SEARCH(("PATH"),(AQ45))))</formula>
    </cfRule>
    <cfRule type="containsText" priority="33960" operator="containsText" dxfId="7" text="NEPHRO">
      <formula>NOT(ISERROR(SEARCH(("NEPHRO"),(AQ45))))</formula>
    </cfRule>
    <cfRule type="containsText" priority="33961" operator="containsText" dxfId="7" text="PULM">
      <formula>NOT(ISERROR(SEARCH(("PULM"),(AQ45))))</formula>
    </cfRule>
    <cfRule type="containsText" priority="33962" operator="containsText" dxfId="7" text="RADIOLOGY">
      <formula>NOT(ISERROR(SEARCH(("RADIOLOGY"),(AQ45))))</formula>
    </cfRule>
    <cfRule type="containsText" priority="33963" operator="containsText" dxfId="7" text="HEM/ONC">
      <formula>NOT(ISERROR(SEARCH(("HEM/ONC"),(AQ45))))</formula>
    </cfRule>
    <cfRule type="containsText" priority="33964" operator="containsText" dxfId="7" text="CARDIO">
      <formula>NOT(ISERROR(SEARCH(("CARDIO"),(AQ45))))</formula>
    </cfRule>
    <cfRule type="containsText" priority="33965" operator="containsText" dxfId="7" text="ID">
      <formula>NOT(ISERROR(SEARCH(("ID"),(AQ45))))</formula>
    </cfRule>
    <cfRule type="containsText" priority="33966" operator="containsText" dxfId="7" text="NEURO">
      <formula>NOT(ISERROR(SEARCH(("NEURO"),(AQ45))))</formula>
    </cfRule>
    <cfRule type="containsText" priority="33967" operator="containsText" dxfId="6" text="NEURO">
      <formula>NOT(ISERROR(SEARCH(("NEURO"),(AQ45))))</formula>
    </cfRule>
    <cfRule type="containsText" priority="33968" operator="containsText" dxfId="5" text="NEURO">
      <formula>NOT(ISERROR(SEARCH(("NEURO"),(AQ45))))</formula>
    </cfRule>
    <cfRule type="containsText" priority="33969" operator="containsText" dxfId="0" text="ICU N">
      <formula>NOT(ISERROR(SEARCH(("ICU N"),(AQ45))))</formula>
    </cfRule>
    <cfRule type="containsText" priority="33970" operator="containsText" dxfId="3" text="ICU">
      <formula>NOT(ISERROR(SEARCH(("ICU"),(AQ45))))</formula>
    </cfRule>
    <cfRule type="containsText" priority="33971" operator="containsText" dxfId="0" text="SWING">
      <formula>NOT(ISERROR(SEARCH(("SWING"),(AQ45))))</formula>
    </cfRule>
    <cfRule type="containsText" priority="33972" operator="containsText" dxfId="0" text="NF">
      <formula>NOT(ISERROR(SEARCH(("NF"),(AQ45))))</formula>
    </cfRule>
    <cfRule type="containsText" priority="33973" operator="containsText" dxfId="0" text="ICU N">
      <formula>NOT(ISERROR(SEARCH(("ICU N"),(AQ45))))</formula>
    </cfRule>
  </conditionalFormatting>
  <conditionalFormatting sqref="AR45:AS45">
    <cfRule type="containsText" priority="33974" operator="containsText" dxfId="7" text="PATH">
      <formula>NOT(ISERROR(SEARCH(("PATH"),(AR45))))</formula>
    </cfRule>
    <cfRule type="containsText" priority="33975" operator="containsText" dxfId="7" text="NEPHRO">
      <formula>NOT(ISERROR(SEARCH(("NEPHRO"),(AR45))))</formula>
    </cfRule>
    <cfRule type="containsText" priority="33976" operator="containsText" dxfId="7" text="PULM">
      <formula>NOT(ISERROR(SEARCH(("PULM"),(AR45))))</formula>
    </cfRule>
    <cfRule type="containsText" priority="33977" operator="containsText" dxfId="7" text="RADIOLOGY">
      <formula>NOT(ISERROR(SEARCH(("RADIOLOGY"),(AR45))))</formula>
    </cfRule>
    <cfRule type="containsText" priority="33978" operator="containsText" dxfId="7" text="HEM/ONC">
      <formula>NOT(ISERROR(SEARCH(("HEM/ONC"),(AR45))))</formula>
    </cfRule>
    <cfRule type="containsText" priority="33979" operator="containsText" dxfId="7" text="CARDIO">
      <formula>NOT(ISERROR(SEARCH(("CARDIO"),(AR45))))</formula>
    </cfRule>
    <cfRule type="containsText" priority="33980" operator="containsText" dxfId="7" text="ID">
      <formula>NOT(ISERROR(SEARCH(("ID"),(AR45))))</formula>
    </cfRule>
    <cfRule type="containsText" priority="33981" operator="containsText" dxfId="7" text="NEURO">
      <formula>NOT(ISERROR(SEARCH(("NEURO"),(AR45))))</formula>
    </cfRule>
    <cfRule type="containsText" priority="33982" operator="containsText" dxfId="6" text="NEURO">
      <formula>NOT(ISERROR(SEARCH(("NEURO"),(AR45))))</formula>
    </cfRule>
    <cfRule type="containsText" priority="33983" operator="containsText" dxfId="5" text="NEURO">
      <formula>NOT(ISERROR(SEARCH(("NEURO"),(AR45))))</formula>
    </cfRule>
    <cfRule type="containsText" priority="33984" operator="containsText" dxfId="0" text="ICU N">
      <formula>NOT(ISERROR(SEARCH(("ICU N"),(AR45))))</formula>
    </cfRule>
    <cfRule type="containsText" priority="33985" operator="containsText" dxfId="3" text="ICU">
      <formula>NOT(ISERROR(SEARCH(("ICU"),(AR45))))</formula>
    </cfRule>
    <cfRule type="containsText" priority="33986" operator="containsText" dxfId="0" text="SWING">
      <formula>NOT(ISERROR(SEARCH(("SWING"),(AR45))))</formula>
    </cfRule>
    <cfRule type="containsText" priority="33987" operator="containsText" dxfId="0" text="NF">
      <formula>NOT(ISERROR(SEARCH(("NF"),(AR45))))</formula>
    </cfRule>
    <cfRule type="containsText" priority="33988" operator="containsText" dxfId="0" text="ICU N">
      <formula>NOT(ISERROR(SEARCH(("ICU N"),(AR45))))</formula>
    </cfRule>
    <cfRule type="containsText" priority="32170" operator="containsText" dxfId="7" text="PATH">
      <formula>NOT(ISERROR(SEARCH(("PATH"),(AR45))))</formula>
    </cfRule>
    <cfRule type="containsText" priority="32171" operator="containsText" dxfId="7" text="NEPHRO">
      <formula>NOT(ISERROR(SEARCH(("NEPHRO"),(AR45))))</formula>
    </cfRule>
    <cfRule type="containsText" priority="32172" operator="containsText" dxfId="7" text="PULM">
      <formula>NOT(ISERROR(SEARCH(("PULM"),(AR45))))</formula>
    </cfRule>
    <cfRule type="containsText" priority="32173" operator="containsText" dxfId="7" text="RADIOLOGY">
      <formula>NOT(ISERROR(SEARCH(("RADIOLOGY"),(AR45))))</formula>
    </cfRule>
    <cfRule type="containsText" priority="32174" operator="containsText" dxfId="7" text="HEM/ONC">
      <formula>NOT(ISERROR(SEARCH(("HEM/ONC"),(AR45))))</formula>
    </cfRule>
    <cfRule type="containsText" priority="32175" operator="containsText" dxfId="7" text="CARDIO">
      <formula>NOT(ISERROR(SEARCH(("CARDIO"),(AR45))))</formula>
    </cfRule>
    <cfRule type="containsText" priority="32176" operator="containsText" dxfId="7" text="ID">
      <formula>NOT(ISERROR(SEARCH(("ID"),(AR45))))</formula>
    </cfRule>
    <cfRule type="containsText" priority="32177" operator="containsText" dxfId="7" text="NEURO">
      <formula>NOT(ISERROR(SEARCH(("NEURO"),(AR45))))</formula>
    </cfRule>
    <cfRule type="containsText" priority="32178" operator="containsText" dxfId="6" text="NEURO">
      <formula>NOT(ISERROR(SEARCH(("NEURO"),(AR45))))</formula>
    </cfRule>
    <cfRule type="containsText" priority="32179" operator="containsText" dxfId="5" text="NEURO">
      <formula>NOT(ISERROR(SEARCH(("NEURO"),(AR45))))</formula>
    </cfRule>
    <cfRule type="containsText" priority="32180" operator="containsText" dxfId="0" text="ICU N">
      <formula>NOT(ISERROR(SEARCH(("ICU N"),(AR45))))</formula>
    </cfRule>
    <cfRule type="containsText" priority="32181" operator="containsText" dxfId="3" text="ICU">
      <formula>NOT(ISERROR(SEARCH(("ICU"),(AR45))))</formula>
    </cfRule>
    <cfRule type="containsText" priority="32182" operator="containsText" dxfId="0" text="SWING">
      <formula>NOT(ISERROR(SEARCH(("SWING"),(AR45))))</formula>
    </cfRule>
    <cfRule type="containsText" priority="32183" operator="containsText" dxfId="0" text="NF">
      <formula>NOT(ISERROR(SEARCH(("NF"),(AR45))))</formula>
    </cfRule>
  </conditionalFormatting>
  <conditionalFormatting sqref="AN44:AR44">
    <cfRule type="containsText" priority="33989" operator="containsText" dxfId="7" text="PATH">
      <formula>NOT(ISERROR(SEARCH(("PATH"),(AN44))))</formula>
    </cfRule>
    <cfRule type="containsText" priority="33990" operator="containsText" dxfId="7" text="NEPHRO">
      <formula>NOT(ISERROR(SEARCH(("NEPHRO"),(AN44))))</formula>
    </cfRule>
    <cfRule type="containsText" priority="33991" operator="containsText" dxfId="7" text="PULM">
      <formula>NOT(ISERROR(SEARCH(("PULM"),(AN44))))</formula>
    </cfRule>
    <cfRule type="containsText" priority="33992" operator="containsText" dxfId="7" text="RADIOLOGY">
      <formula>NOT(ISERROR(SEARCH(("RADIOLOGY"),(AN44))))</formula>
    </cfRule>
    <cfRule type="containsText" priority="33993" operator="containsText" dxfId="7" text="HEM/ONC">
      <formula>NOT(ISERROR(SEARCH(("HEM/ONC"),(AN44))))</formula>
    </cfRule>
    <cfRule type="containsText" priority="33994" operator="containsText" dxfId="7" text="CARDIO">
      <formula>NOT(ISERROR(SEARCH(("CARDIO"),(AN44))))</formula>
    </cfRule>
    <cfRule type="containsText" priority="33995" operator="containsText" dxfId="7" text="ID">
      <formula>NOT(ISERROR(SEARCH(("ID"),(AN44))))</formula>
    </cfRule>
    <cfRule type="containsText" priority="33996" operator="containsText" dxfId="7" text="NEURO">
      <formula>NOT(ISERROR(SEARCH(("NEURO"),(AN44))))</formula>
    </cfRule>
    <cfRule type="containsText" priority="33997" operator="containsText" dxfId="6" text="NEURO">
      <formula>NOT(ISERROR(SEARCH(("NEURO"),(AN44))))</formula>
    </cfRule>
    <cfRule type="containsText" priority="33998" operator="containsText" dxfId="5" text="NEURO">
      <formula>NOT(ISERROR(SEARCH(("NEURO"),(AN44))))</formula>
    </cfRule>
    <cfRule type="containsText" priority="33999" operator="containsText" dxfId="0" text="ICU N">
      <formula>NOT(ISERROR(SEARCH(("ICU N"),(AN44))))</formula>
    </cfRule>
    <cfRule type="containsText" priority="34000" operator="containsText" dxfId="3" text="ICU">
      <formula>NOT(ISERROR(SEARCH(("ICU"),(AN44))))</formula>
    </cfRule>
    <cfRule type="containsText" priority="34001" operator="containsText" dxfId="0" text="SWING">
      <formula>NOT(ISERROR(SEARCH(("SWING"),(AN44))))</formula>
    </cfRule>
    <cfRule type="containsText" priority="34002" operator="containsText" dxfId="0" text="NF">
      <formula>NOT(ISERROR(SEARCH(("NF"),(AN44))))</formula>
    </cfRule>
    <cfRule type="containsText" priority="34003" operator="containsText" dxfId="0" text="ICU N">
      <formula>NOT(ISERROR(SEARCH(("ICU N"),(AN44))))</formula>
    </cfRule>
  </conditionalFormatting>
  <conditionalFormatting sqref="AR44:AS45">
    <cfRule type="containsText" priority="34004" operator="containsText" dxfId="7" text="PATH">
      <formula>NOT(ISERROR(SEARCH(("PATH"),(AR44))))</formula>
    </cfRule>
    <cfRule type="containsText" priority="34005" operator="containsText" dxfId="7" text="NEPHRO">
      <formula>NOT(ISERROR(SEARCH(("NEPHRO"),(AR44))))</formula>
    </cfRule>
    <cfRule type="containsText" priority="34006" operator="containsText" dxfId="7" text="PULM">
      <formula>NOT(ISERROR(SEARCH(("PULM"),(AR44))))</formula>
    </cfRule>
    <cfRule type="containsText" priority="34007" operator="containsText" dxfId="7" text="RADIOLOGY">
      <formula>NOT(ISERROR(SEARCH(("RADIOLOGY"),(AR44))))</formula>
    </cfRule>
    <cfRule type="containsText" priority="34008" operator="containsText" dxfId="7" text="HEM/ONC">
      <formula>NOT(ISERROR(SEARCH(("HEM/ONC"),(AR44))))</formula>
    </cfRule>
    <cfRule type="containsText" priority="34009" operator="containsText" dxfId="7" text="CARDIO">
      <formula>NOT(ISERROR(SEARCH(("CARDIO"),(AR44))))</formula>
    </cfRule>
    <cfRule type="containsText" priority="34010" operator="containsText" dxfId="7" text="ID">
      <formula>NOT(ISERROR(SEARCH(("ID"),(AR44))))</formula>
    </cfRule>
    <cfRule type="containsText" priority="34011" operator="containsText" dxfId="7" text="NEURO">
      <formula>NOT(ISERROR(SEARCH(("NEURO"),(AR44))))</formula>
    </cfRule>
    <cfRule type="containsText" priority="34012" operator="containsText" dxfId="6" text="NEURO">
      <formula>NOT(ISERROR(SEARCH(("NEURO"),(AR44))))</formula>
    </cfRule>
    <cfRule type="containsText" priority="34013" operator="containsText" dxfId="5" text="NEURO">
      <formula>NOT(ISERROR(SEARCH(("NEURO"),(AR44))))</formula>
    </cfRule>
    <cfRule type="containsText" priority="34014" operator="containsText" dxfId="0" text="ICU N">
      <formula>NOT(ISERROR(SEARCH(("ICU N"),(AR44))))</formula>
    </cfRule>
    <cfRule type="containsText" priority="34015" operator="containsText" dxfId="3" text="ICU">
      <formula>NOT(ISERROR(SEARCH(("ICU"),(AR44))))</formula>
    </cfRule>
    <cfRule type="containsText" priority="34016" operator="containsText" dxfId="0" text="SWING">
      <formula>NOT(ISERROR(SEARCH(("SWING"),(AR44))))</formula>
    </cfRule>
    <cfRule type="containsText" priority="34017" operator="containsText" dxfId="0" text="NF">
      <formula>NOT(ISERROR(SEARCH(("NF"),(AR44))))</formula>
    </cfRule>
    <cfRule type="containsText" priority="34018" operator="containsText" dxfId="0" text="ICU N">
      <formula>NOT(ISERROR(SEARCH(("ICU N"),(AR44))))</formula>
    </cfRule>
  </conditionalFormatting>
  <conditionalFormatting sqref="AY42:AY46 AZ45:BC46">
    <cfRule type="containsText" priority="34034" operator="containsText" dxfId="7" text="PATH">
      <formula>NOT(ISERROR(SEARCH(("PATH"),(AY42))))</formula>
    </cfRule>
    <cfRule type="containsText" priority="34035" operator="containsText" dxfId="7" text="NEPHRO">
      <formula>NOT(ISERROR(SEARCH(("NEPHRO"),(AY42))))</formula>
    </cfRule>
    <cfRule type="containsText" priority="34036" operator="containsText" dxfId="7" text="PULM">
      <formula>NOT(ISERROR(SEARCH(("PULM"),(AY42))))</formula>
    </cfRule>
    <cfRule type="containsText" priority="34037" operator="containsText" dxfId="7" text="RADIOLOGY">
      <formula>NOT(ISERROR(SEARCH(("RADIOLOGY"),(AY42))))</formula>
    </cfRule>
    <cfRule type="containsText" priority="34038" operator="containsText" dxfId="7" text="HEM/ONC">
      <formula>NOT(ISERROR(SEARCH(("HEM/ONC"),(AY42))))</formula>
    </cfRule>
    <cfRule type="containsText" priority="34039" operator="containsText" dxfId="7" text="CARDIO">
      <formula>NOT(ISERROR(SEARCH(("CARDIO"),(AY42))))</formula>
    </cfRule>
    <cfRule type="containsText" priority="34040" operator="containsText" dxfId="7" text="ID">
      <formula>NOT(ISERROR(SEARCH(("ID"),(AY42))))</formula>
    </cfRule>
    <cfRule type="containsText" priority="34041" operator="containsText" dxfId="7" text="NEURO">
      <formula>NOT(ISERROR(SEARCH(("NEURO"),(AY42))))</formula>
    </cfRule>
    <cfRule type="containsText" priority="34042" operator="containsText" dxfId="6" text="NEURO">
      <formula>NOT(ISERROR(SEARCH(("NEURO"),(AY42))))</formula>
    </cfRule>
    <cfRule type="containsText" priority="34043" operator="containsText" dxfId="5" text="NEURO">
      <formula>NOT(ISERROR(SEARCH(("NEURO"),(AY42))))</formula>
    </cfRule>
    <cfRule type="containsText" priority="34044" operator="containsText" dxfId="0" text="ICU N">
      <formula>NOT(ISERROR(SEARCH(("ICU N"),(AY42))))</formula>
    </cfRule>
    <cfRule type="containsText" priority="34045" operator="containsText" dxfId="3" text="ICU">
      <formula>NOT(ISERROR(SEARCH(("ICU"),(AY42))))</formula>
    </cfRule>
    <cfRule type="containsText" priority="34046" operator="containsText" dxfId="0" text="SWING">
      <formula>NOT(ISERROR(SEARCH(("SWING"),(AY42))))</formula>
    </cfRule>
    <cfRule type="containsText" priority="34047" operator="containsText" dxfId="0" text="NF">
      <formula>NOT(ISERROR(SEARCH(("NF"),(AY42))))</formula>
    </cfRule>
    <cfRule type="containsText" priority="34048" operator="containsText" dxfId="0" text="ICU N">
      <formula>NOT(ISERROR(SEARCH(("ICU N"),(AY42))))</formula>
    </cfRule>
  </conditionalFormatting>
  <conditionalFormatting sqref="AZ44:BC44">
    <cfRule type="containsText" priority="34049" operator="containsText" dxfId="7" text="PATH">
      <formula>NOT(ISERROR(SEARCH(("PATH"),(AZ44))))</formula>
    </cfRule>
    <cfRule type="containsText" priority="34050" operator="containsText" dxfId="7" text="NEPHRO">
      <formula>NOT(ISERROR(SEARCH(("NEPHRO"),(AZ44))))</formula>
    </cfRule>
    <cfRule type="containsText" priority="34051" operator="containsText" dxfId="7" text="PULM">
      <formula>NOT(ISERROR(SEARCH(("PULM"),(AZ44))))</formula>
    </cfRule>
    <cfRule type="containsText" priority="34052" operator="containsText" dxfId="7" text="RADIOLOGY">
      <formula>NOT(ISERROR(SEARCH(("RADIOLOGY"),(AZ44))))</formula>
    </cfRule>
    <cfRule type="containsText" priority="34053" operator="containsText" dxfId="7" text="HEM/ONC">
      <formula>NOT(ISERROR(SEARCH(("HEM/ONC"),(AZ44))))</formula>
    </cfRule>
    <cfRule type="containsText" priority="34054" operator="containsText" dxfId="7" text="CARDIO">
      <formula>NOT(ISERROR(SEARCH(("CARDIO"),(AZ44))))</formula>
    </cfRule>
    <cfRule type="containsText" priority="34055" operator="containsText" dxfId="7" text="ID">
      <formula>NOT(ISERROR(SEARCH(("ID"),(AZ44))))</formula>
    </cfRule>
    <cfRule type="containsText" priority="34056" operator="containsText" dxfId="7" text="NEURO">
      <formula>NOT(ISERROR(SEARCH(("NEURO"),(AZ44))))</formula>
    </cfRule>
    <cfRule type="containsText" priority="34057" operator="containsText" dxfId="6" text="NEURO">
      <formula>NOT(ISERROR(SEARCH(("NEURO"),(AZ44))))</formula>
    </cfRule>
    <cfRule type="containsText" priority="34058" operator="containsText" dxfId="5" text="NEURO">
      <formula>NOT(ISERROR(SEARCH(("NEURO"),(AZ44))))</formula>
    </cfRule>
    <cfRule type="containsText" priority="34059" operator="containsText" dxfId="0" text="ICU N">
      <formula>NOT(ISERROR(SEARCH(("ICU N"),(AZ44))))</formula>
    </cfRule>
    <cfRule type="containsText" priority="34060" operator="containsText" dxfId="3" text="ICU">
      <formula>NOT(ISERROR(SEARCH(("ICU"),(AZ44))))</formula>
    </cfRule>
    <cfRule type="containsText" priority="34061" operator="containsText" dxfId="0" text="SWING">
      <formula>NOT(ISERROR(SEARCH(("SWING"),(AZ44))))</formula>
    </cfRule>
    <cfRule type="containsText" priority="34062" operator="containsText" dxfId="0" text="NF">
      <formula>NOT(ISERROR(SEARCH(("NF"),(AZ44))))</formula>
    </cfRule>
    <cfRule type="containsText" priority="34063" operator="containsText" dxfId="0" text="ICU N">
      <formula>NOT(ISERROR(SEARCH(("ICU N"),(AZ44))))</formula>
    </cfRule>
  </conditionalFormatting>
  <conditionalFormatting sqref="AZ44:BA44">
    <cfRule type="containsText" priority="34064" operator="containsText" dxfId="7" text="PATH">
      <formula>NOT(ISERROR(SEARCH(("PATH"),(AZ44))))</formula>
    </cfRule>
    <cfRule type="containsText" priority="34065" operator="containsText" dxfId="7" text="NEPHRO">
      <formula>NOT(ISERROR(SEARCH(("NEPHRO"),(AZ44))))</formula>
    </cfRule>
    <cfRule type="containsText" priority="34066" operator="containsText" dxfId="7" text="PULM">
      <formula>NOT(ISERROR(SEARCH(("PULM"),(AZ44))))</formula>
    </cfRule>
    <cfRule type="containsText" priority="34067" operator="containsText" dxfId="7" text="RADIOLOGY">
      <formula>NOT(ISERROR(SEARCH(("RADIOLOGY"),(AZ44))))</formula>
    </cfRule>
    <cfRule type="containsText" priority="34068" operator="containsText" dxfId="7" text="HEM/ONC">
      <formula>NOT(ISERROR(SEARCH(("HEM/ONC"),(AZ44))))</formula>
    </cfRule>
    <cfRule type="containsText" priority="34069" operator="containsText" dxfId="7" text="CARDIO">
      <formula>NOT(ISERROR(SEARCH(("CARDIO"),(AZ44))))</formula>
    </cfRule>
    <cfRule type="containsText" priority="34070" operator="containsText" dxfId="7" text="ID">
      <formula>NOT(ISERROR(SEARCH(("ID"),(AZ44))))</formula>
    </cfRule>
    <cfRule type="containsText" priority="34071" operator="containsText" dxfId="7" text="NEURO">
      <formula>NOT(ISERROR(SEARCH(("NEURO"),(AZ44))))</formula>
    </cfRule>
    <cfRule type="containsText" priority="34072" operator="containsText" dxfId="6" text="NEURO">
      <formula>NOT(ISERROR(SEARCH(("NEURO"),(AZ44))))</formula>
    </cfRule>
    <cfRule type="containsText" priority="34073" operator="containsText" dxfId="5" text="NEURO">
      <formula>NOT(ISERROR(SEARCH(("NEURO"),(AZ44))))</formula>
    </cfRule>
    <cfRule type="containsText" priority="34074" operator="containsText" dxfId="0" text="ICU N">
      <formula>NOT(ISERROR(SEARCH(("ICU N"),(AZ44))))</formula>
    </cfRule>
    <cfRule type="containsText" priority="34075" operator="containsText" dxfId="3" text="ICU">
      <formula>NOT(ISERROR(SEARCH(("ICU"),(AZ44))))</formula>
    </cfRule>
    <cfRule type="containsText" priority="34076" operator="containsText" dxfId="0" text="SWING">
      <formula>NOT(ISERROR(SEARCH(("SWING"),(AZ44))))</formula>
    </cfRule>
    <cfRule type="containsText" priority="34077" operator="containsText" dxfId="0" text="NF">
      <formula>NOT(ISERROR(SEARCH(("NF"),(AZ44))))</formula>
    </cfRule>
    <cfRule type="containsText" priority="34078" operator="containsText" dxfId="0" text="ICU N">
      <formula>NOT(ISERROR(SEARCH(("ICU N"),(AZ44))))</formula>
    </cfRule>
    <cfRule type="containsText" priority="31262" operator="containsText" dxfId="7" text="PATH">
      <formula>NOT(ISERROR(SEARCH(("PATH"),(AZ44))))</formula>
    </cfRule>
    <cfRule type="containsText" priority="31263" operator="containsText" dxfId="7" text="NEPHRO">
      <formula>NOT(ISERROR(SEARCH(("NEPHRO"),(AZ44))))</formula>
    </cfRule>
    <cfRule type="containsText" priority="31264" operator="containsText" dxfId="7" text="PULM">
      <formula>NOT(ISERROR(SEARCH(("PULM"),(AZ44))))</formula>
    </cfRule>
    <cfRule type="containsText" priority="31265" operator="containsText" dxfId="7" text="RADIOLOGY">
      <formula>NOT(ISERROR(SEARCH(("RADIOLOGY"),(AZ44))))</formula>
    </cfRule>
    <cfRule type="containsText" priority="31266" operator="containsText" dxfId="7" text="HEM/ONC">
      <formula>NOT(ISERROR(SEARCH(("HEM/ONC"),(AZ44))))</formula>
    </cfRule>
    <cfRule type="containsText" priority="31267" operator="containsText" dxfId="7" text="CARDIO">
      <formula>NOT(ISERROR(SEARCH(("CARDIO"),(AZ44))))</formula>
    </cfRule>
    <cfRule type="containsText" priority="31268" operator="containsText" dxfId="7" text="ID">
      <formula>NOT(ISERROR(SEARCH(("ID"),(AZ44))))</formula>
    </cfRule>
    <cfRule type="containsText" priority="31269" operator="containsText" dxfId="7" text="NEURO">
      <formula>NOT(ISERROR(SEARCH(("NEURO"),(AZ44))))</formula>
    </cfRule>
    <cfRule type="containsText" priority="31270" operator="containsText" dxfId="6" text="NEURO">
      <formula>NOT(ISERROR(SEARCH(("NEURO"),(AZ44))))</formula>
    </cfRule>
    <cfRule type="containsText" priority="31271" operator="containsText" dxfId="5" text="NEURO">
      <formula>NOT(ISERROR(SEARCH(("NEURO"),(AZ44))))</formula>
    </cfRule>
    <cfRule type="containsText" priority="31272" operator="containsText" dxfId="0" text="ICU N">
      <formula>NOT(ISERROR(SEARCH(("ICU N"),(AZ44))))</formula>
    </cfRule>
    <cfRule type="containsText" priority="31273" operator="containsText" dxfId="3" text="ICU">
      <formula>NOT(ISERROR(SEARCH(("ICU"),(AZ44))))</formula>
    </cfRule>
    <cfRule type="containsText" priority="31274" operator="containsText" dxfId="0" text="SWING">
      <formula>NOT(ISERROR(SEARCH(("SWING"),(AZ44))))</formula>
    </cfRule>
    <cfRule type="containsText" priority="31275" operator="containsText" dxfId="0" text="NF">
      <formula>NOT(ISERROR(SEARCH(("NF"),(AZ44))))</formula>
    </cfRule>
    <cfRule type="containsText" priority="31276" operator="containsText" dxfId="0" text="ICU N">
      <formula>NOT(ISERROR(SEARCH(("ICU N"),(AZ44))))</formula>
    </cfRule>
  </conditionalFormatting>
  <conditionalFormatting sqref="E57:H58 F59:H59">
    <cfRule type="containsText" priority="34097" operator="containsText" dxfId="16" text="ED">
      <formula>NOT(ISERROR(SEARCH(("ED"),(E57))))</formula>
    </cfRule>
    <cfRule type="containsText" priority="34098" operator="containsText" dxfId="15" text="GERIATRIC">
      <formula>NOT(ISERROR(SEARCH(("GERIATRIC"),(E57))))</formula>
    </cfRule>
    <cfRule type="containsText" priority="34099" operator="containsText" dxfId="17" text="VACATION">
      <formula>NOT(ISERROR(SEARCH(("VACATION"),(E57))))</formula>
    </cfRule>
    <cfRule type="containsText" priority="34100" operator="containsText" dxfId="7" text="PATH">
      <formula>NOT(ISERROR(SEARCH(("PATH"),(E57))))</formula>
    </cfRule>
    <cfRule type="containsText" priority="34101" operator="containsText" dxfId="7" text="NEPHRO">
      <formula>NOT(ISERROR(SEARCH(("NEPHRO"),(E57))))</formula>
    </cfRule>
    <cfRule type="containsText" priority="34102" operator="containsText" dxfId="7" text="PULM">
      <formula>NOT(ISERROR(SEARCH(("PULM"),(E57))))</formula>
    </cfRule>
    <cfRule type="containsText" priority="34103" operator="containsText" dxfId="7" text="RADIOLOGY">
      <formula>NOT(ISERROR(SEARCH(("RADIOLOGY"),(E57))))</formula>
    </cfRule>
    <cfRule type="containsText" priority="34104" operator="containsText" dxfId="7" text="HEM/ONC">
      <formula>NOT(ISERROR(SEARCH(("HEM/ONC"),(E57))))</formula>
    </cfRule>
    <cfRule type="containsText" priority="34105" operator="containsText" dxfId="7" text="CARDIO">
      <formula>NOT(ISERROR(SEARCH(("CARDIO"),(E57))))</formula>
    </cfRule>
    <cfRule type="containsText" priority="34106" operator="containsText" dxfId="7" text="ID">
      <formula>NOT(ISERROR(SEARCH(("ID"),(E57))))</formula>
    </cfRule>
    <cfRule type="containsText" priority="34107" operator="containsText" dxfId="7" text="NEURO">
      <formula>NOT(ISERROR(SEARCH(("NEURO"),(E57))))</formula>
    </cfRule>
    <cfRule type="containsText" priority="34108" operator="containsText" dxfId="6" text="NEURO">
      <formula>NOT(ISERROR(SEARCH(("NEURO"),(E57))))</formula>
    </cfRule>
    <cfRule type="containsText" priority="34109" operator="containsText" dxfId="5" text="NEURO">
      <formula>NOT(ISERROR(SEARCH(("NEURO"),(E57))))</formula>
    </cfRule>
    <cfRule type="containsText" priority="34110" operator="containsText" dxfId="0" text="ICU N">
      <formula>NOT(ISERROR(SEARCH(("ICU N"),(E57))))</formula>
    </cfRule>
    <cfRule type="containsText" priority="34111" operator="containsText" dxfId="3" text="ICU">
      <formula>NOT(ISERROR(SEARCH(("ICU"),(E57))))</formula>
    </cfRule>
    <cfRule type="containsText" priority="34112" operator="containsText" dxfId="0" text="SWING">
      <formula>NOT(ISERROR(SEARCH(("SWING"),(E57))))</formula>
    </cfRule>
    <cfRule type="containsText" priority="34113" operator="containsText" dxfId="0" text="NF">
      <formula>NOT(ISERROR(SEARCH(("NF"),(E57))))</formula>
    </cfRule>
    <cfRule type="containsText" priority="34114" operator="containsText" dxfId="0" text="ICU N">
      <formula>NOT(ISERROR(SEARCH(("ICU N"),(E57))))</formula>
    </cfRule>
  </conditionalFormatting>
  <conditionalFormatting sqref="G61 J61">
    <cfRule type="containsText" priority="34115" operator="containsText" dxfId="16" text="ED">
      <formula>NOT(ISERROR(SEARCH(("ED"),(G61))))</formula>
    </cfRule>
    <cfRule type="containsText" priority="34116" operator="containsText" dxfId="15" text="GERIATRIC">
      <formula>NOT(ISERROR(SEARCH(("GERIATRIC"),(G61))))</formula>
    </cfRule>
    <cfRule type="containsText" priority="34117" operator="containsText" dxfId="17" text="VACATION">
      <formula>NOT(ISERROR(SEARCH(("VACATION"),(G61))))</formula>
    </cfRule>
    <cfRule type="containsText" priority="34118" operator="containsText" dxfId="7" text="PATH">
      <formula>NOT(ISERROR(SEARCH(("PATH"),(G61))))</formula>
    </cfRule>
    <cfRule type="containsText" priority="34119" operator="containsText" dxfId="7" text="NEPHRO">
      <formula>NOT(ISERROR(SEARCH(("NEPHRO"),(G61))))</formula>
    </cfRule>
    <cfRule type="containsText" priority="34120" operator="containsText" dxfId="7" text="PULM">
      <formula>NOT(ISERROR(SEARCH(("PULM"),(G61))))</formula>
    </cfRule>
    <cfRule type="containsText" priority="34121" operator="containsText" dxfId="7" text="RADIOLOGY">
      <formula>NOT(ISERROR(SEARCH(("RADIOLOGY"),(G61))))</formula>
    </cfRule>
    <cfRule type="containsText" priority="34122" operator="containsText" dxfId="7" text="HEM/ONC">
      <formula>NOT(ISERROR(SEARCH(("HEM/ONC"),(G61))))</formula>
    </cfRule>
    <cfRule type="containsText" priority="34123" operator="containsText" dxfId="7" text="CARDIO">
      <formula>NOT(ISERROR(SEARCH(("CARDIO"),(G61))))</formula>
    </cfRule>
    <cfRule type="containsText" priority="34124" operator="containsText" dxfId="7" text="ID">
      <formula>NOT(ISERROR(SEARCH(("ID"),(G61))))</formula>
    </cfRule>
    <cfRule type="containsText" priority="34125" operator="containsText" dxfId="7" text="NEURO">
      <formula>NOT(ISERROR(SEARCH(("NEURO"),(G61))))</formula>
    </cfRule>
    <cfRule type="containsText" priority="34126" operator="containsText" dxfId="6" text="NEURO">
      <formula>NOT(ISERROR(SEARCH(("NEURO"),(G61))))</formula>
    </cfRule>
    <cfRule type="containsText" priority="34127" operator="containsText" dxfId="5" text="NEURO">
      <formula>NOT(ISERROR(SEARCH(("NEURO"),(G61))))</formula>
    </cfRule>
    <cfRule type="containsText" priority="34128" operator="containsText" dxfId="0" text="ICU N">
      <formula>NOT(ISERROR(SEARCH(("ICU N"),(G61))))</formula>
    </cfRule>
    <cfRule type="containsText" priority="34129" operator="containsText" dxfId="3" text="ICU">
      <formula>NOT(ISERROR(SEARCH(("ICU"),(G61))))</formula>
    </cfRule>
    <cfRule type="containsText" priority="34130" operator="containsText" dxfId="0" text="SWING">
      <formula>NOT(ISERROR(SEARCH(("SWING"),(G61))))</formula>
    </cfRule>
    <cfRule type="containsText" priority="34131" operator="containsText" dxfId="0" text="NF">
      <formula>NOT(ISERROR(SEARCH(("NF"),(G61))))</formula>
    </cfRule>
    <cfRule type="containsText" priority="34132" operator="containsText" dxfId="0" text="ICU N">
      <formula>NOT(ISERROR(SEARCH(("ICU N"),(G61))))</formula>
    </cfRule>
  </conditionalFormatting>
  <conditionalFormatting sqref="L61">
    <cfRule type="containsText" priority="34133" operator="containsText" dxfId="16" text="ED">
      <formula>NOT(ISERROR(SEARCH(("ED"),(L61))))</formula>
    </cfRule>
    <cfRule type="containsText" priority="34134" operator="containsText" dxfId="15" text="GERIATRIC">
      <formula>NOT(ISERROR(SEARCH(("GERIATRIC"),(L61))))</formula>
    </cfRule>
    <cfRule type="containsText" priority="34135" operator="containsText" dxfId="17" text="VACATION">
      <formula>NOT(ISERROR(SEARCH(("VACATION"),(L61))))</formula>
    </cfRule>
    <cfRule type="containsText" priority="34136" operator="containsText" dxfId="7" text="PATH">
      <formula>NOT(ISERROR(SEARCH(("PATH"),(L61))))</formula>
    </cfRule>
    <cfRule type="containsText" priority="34137" operator="containsText" dxfId="7" text="NEPHRO">
      <formula>NOT(ISERROR(SEARCH(("NEPHRO"),(L61))))</formula>
    </cfRule>
    <cfRule type="containsText" priority="34138" operator="containsText" dxfId="7" text="PULM">
      <formula>NOT(ISERROR(SEARCH(("PULM"),(L61))))</formula>
    </cfRule>
    <cfRule type="containsText" priority="34139" operator="containsText" dxfId="7" text="RADIOLOGY">
      <formula>NOT(ISERROR(SEARCH(("RADIOLOGY"),(L61))))</formula>
    </cfRule>
    <cfRule type="containsText" priority="34140" operator="containsText" dxfId="7" text="HEM/ONC">
      <formula>NOT(ISERROR(SEARCH(("HEM/ONC"),(L61))))</formula>
    </cfRule>
    <cfRule type="containsText" priority="34141" operator="containsText" dxfId="7" text="CARDIO">
      <formula>NOT(ISERROR(SEARCH(("CARDIO"),(L61))))</formula>
    </cfRule>
    <cfRule type="containsText" priority="34142" operator="containsText" dxfId="7" text="ID">
      <formula>NOT(ISERROR(SEARCH(("ID"),(L61))))</formula>
    </cfRule>
    <cfRule type="containsText" priority="34143" operator="containsText" dxfId="7" text="NEURO">
      <formula>NOT(ISERROR(SEARCH(("NEURO"),(L61))))</formula>
    </cfRule>
    <cfRule type="containsText" priority="34144" operator="containsText" dxfId="6" text="NEURO">
      <formula>NOT(ISERROR(SEARCH(("NEURO"),(L61))))</formula>
    </cfRule>
    <cfRule type="containsText" priority="34145" operator="containsText" dxfId="5" text="NEURO">
      <formula>NOT(ISERROR(SEARCH(("NEURO"),(L61))))</formula>
    </cfRule>
    <cfRule type="containsText" priority="34146" operator="containsText" dxfId="0" text="ICU N">
      <formula>NOT(ISERROR(SEARCH(("ICU N"),(L61))))</formula>
    </cfRule>
    <cfRule type="containsText" priority="34147" operator="containsText" dxfId="3" text="ICU">
      <formula>NOT(ISERROR(SEARCH(("ICU"),(L61))))</formula>
    </cfRule>
    <cfRule type="containsText" priority="34148" operator="containsText" dxfId="0" text="SWING">
      <formula>NOT(ISERROR(SEARCH(("SWING"),(L61))))</formula>
    </cfRule>
    <cfRule type="containsText" priority="34149" operator="containsText" dxfId="0" text="NF">
      <formula>NOT(ISERROR(SEARCH(("NF"),(L61))))</formula>
    </cfRule>
    <cfRule type="containsText" priority="34150" operator="containsText" dxfId="0" text="ICU N">
      <formula>NOT(ISERROR(SEARCH(("ICU N"),(L61))))</formula>
    </cfRule>
  </conditionalFormatting>
  <conditionalFormatting sqref="L49:M49">
    <cfRule type="containsText" priority="34169" operator="containsText" dxfId="16" text="ED">
      <formula>NOT(ISERROR(SEARCH(("ED"),(L49))))</formula>
    </cfRule>
    <cfRule type="containsText" priority="34170" operator="containsText" dxfId="15" text="GERIATRIC">
      <formula>NOT(ISERROR(SEARCH(("GERIATRIC"),(L49))))</formula>
    </cfRule>
    <cfRule type="containsText" priority="34171" operator="containsText" dxfId="17" text="VACATION">
      <formula>NOT(ISERROR(SEARCH(("VACATION"),(L49))))</formula>
    </cfRule>
    <cfRule type="containsText" priority="34172" operator="containsText" dxfId="7" text="PATH">
      <formula>NOT(ISERROR(SEARCH(("PATH"),(L49))))</formula>
    </cfRule>
    <cfRule type="containsText" priority="34173" operator="containsText" dxfId="7" text="NEPHRO">
      <formula>NOT(ISERROR(SEARCH(("NEPHRO"),(L49))))</formula>
    </cfRule>
    <cfRule type="containsText" priority="34174" operator="containsText" dxfId="7" text="PULM">
      <formula>NOT(ISERROR(SEARCH(("PULM"),(L49))))</formula>
    </cfRule>
    <cfRule type="containsText" priority="34175" operator="containsText" dxfId="7" text="RADIOLOGY">
      <formula>NOT(ISERROR(SEARCH(("RADIOLOGY"),(L49))))</formula>
    </cfRule>
    <cfRule type="containsText" priority="34176" operator="containsText" dxfId="7" text="HEM/ONC">
      <formula>NOT(ISERROR(SEARCH(("HEM/ONC"),(L49))))</formula>
    </cfRule>
    <cfRule type="containsText" priority="34177" operator="containsText" dxfId="7" text="CARDIO">
      <formula>NOT(ISERROR(SEARCH(("CARDIO"),(L49))))</formula>
    </cfRule>
    <cfRule type="containsText" priority="34178" operator="containsText" dxfId="7" text="ID">
      <formula>NOT(ISERROR(SEARCH(("ID"),(L49))))</formula>
    </cfRule>
    <cfRule type="containsText" priority="34179" operator="containsText" dxfId="7" text="NEURO">
      <formula>NOT(ISERROR(SEARCH(("NEURO"),(L49))))</formula>
    </cfRule>
    <cfRule type="containsText" priority="34180" operator="containsText" dxfId="6" text="NEURO">
      <formula>NOT(ISERROR(SEARCH(("NEURO"),(L49))))</formula>
    </cfRule>
    <cfRule type="containsText" priority="34181" operator="containsText" dxfId="5" text="NEURO">
      <formula>NOT(ISERROR(SEARCH(("NEURO"),(L49))))</formula>
    </cfRule>
    <cfRule type="containsText" priority="34182" operator="containsText" dxfId="0" text="ICU N">
      <formula>NOT(ISERROR(SEARCH(("ICU N"),(L49))))</formula>
    </cfRule>
    <cfRule type="containsText" priority="34183" operator="containsText" dxfId="3" text="ICU">
      <formula>NOT(ISERROR(SEARCH(("ICU"),(L49))))</formula>
    </cfRule>
    <cfRule type="containsText" priority="34184" operator="containsText" dxfId="0" text="SWING">
      <formula>NOT(ISERROR(SEARCH(("SWING"),(L49))))</formula>
    </cfRule>
    <cfRule type="containsText" priority="34185" operator="containsText" dxfId="0" text="NF">
      <formula>NOT(ISERROR(SEARCH(("NF"),(L49))))</formula>
    </cfRule>
    <cfRule type="containsText" priority="34186" operator="containsText" dxfId="0" text="ICU N">
      <formula>NOT(ISERROR(SEARCH(("ICU N"),(L49))))</formula>
    </cfRule>
  </conditionalFormatting>
  <conditionalFormatting sqref="T54:V54 V55">
    <cfRule type="containsText" priority="34241" operator="containsText" dxfId="16" text="ED">
      <formula>NOT(ISERROR(SEARCH(("ED"),(T54))))</formula>
    </cfRule>
    <cfRule type="containsText" priority="34242" operator="containsText" dxfId="15" text="GERIATRIC">
      <formula>NOT(ISERROR(SEARCH(("GERIATRIC"),(T54))))</formula>
    </cfRule>
    <cfRule type="containsText" priority="34243" operator="containsText" dxfId="17" text="VACATION">
      <formula>NOT(ISERROR(SEARCH(("VACATION"),(T54))))</formula>
    </cfRule>
    <cfRule type="containsText" priority="34244" operator="containsText" dxfId="7" text="PATH">
      <formula>NOT(ISERROR(SEARCH(("PATH"),(T54))))</formula>
    </cfRule>
    <cfRule type="containsText" priority="34245" operator="containsText" dxfId="7" text="NEPHRO">
      <formula>NOT(ISERROR(SEARCH(("NEPHRO"),(T54))))</formula>
    </cfRule>
    <cfRule type="containsText" priority="34246" operator="containsText" dxfId="7" text="PULM">
      <formula>NOT(ISERROR(SEARCH(("PULM"),(T54))))</formula>
    </cfRule>
    <cfRule type="containsText" priority="34247" operator="containsText" dxfId="7" text="RADIOLOGY">
      <formula>NOT(ISERROR(SEARCH(("RADIOLOGY"),(T54))))</formula>
    </cfRule>
    <cfRule type="containsText" priority="34248" operator="containsText" dxfId="7" text="HEM/ONC">
      <formula>NOT(ISERROR(SEARCH(("HEM/ONC"),(T54))))</formula>
    </cfRule>
    <cfRule type="containsText" priority="34249" operator="containsText" dxfId="7" text="CARDIO">
      <formula>NOT(ISERROR(SEARCH(("CARDIO"),(T54))))</formula>
    </cfRule>
    <cfRule type="containsText" priority="34250" operator="containsText" dxfId="7" text="ID">
      <formula>NOT(ISERROR(SEARCH(("ID"),(T54))))</formula>
    </cfRule>
    <cfRule type="containsText" priority="34251" operator="containsText" dxfId="7" text="NEURO">
      <formula>NOT(ISERROR(SEARCH(("NEURO"),(T54))))</formula>
    </cfRule>
    <cfRule type="containsText" priority="34252" operator="containsText" dxfId="6" text="NEURO">
      <formula>NOT(ISERROR(SEARCH(("NEURO"),(T54))))</formula>
    </cfRule>
    <cfRule type="containsText" priority="34253" operator="containsText" dxfId="5" text="NEURO">
      <formula>NOT(ISERROR(SEARCH(("NEURO"),(T54))))</formula>
    </cfRule>
    <cfRule type="containsText" priority="34254" operator="containsText" dxfId="0" text="ICU N">
      <formula>NOT(ISERROR(SEARCH(("ICU N"),(T54))))</formula>
    </cfRule>
    <cfRule type="containsText" priority="34255" operator="containsText" dxfId="3" text="ICU">
      <formula>NOT(ISERROR(SEARCH(("ICU"),(T54))))</formula>
    </cfRule>
    <cfRule type="containsText" priority="34256" operator="containsText" dxfId="0" text="SWING">
      <formula>NOT(ISERROR(SEARCH(("SWING"),(T54))))</formula>
    </cfRule>
    <cfRule type="containsText" priority="34257" operator="containsText" dxfId="0" text="NF">
      <formula>NOT(ISERROR(SEARCH(("NF"),(T54))))</formula>
    </cfRule>
    <cfRule type="containsText" priority="34258" operator="containsText" dxfId="0" text="ICU N">
      <formula>NOT(ISERROR(SEARCH(("ICU N"),(T54))))</formula>
    </cfRule>
  </conditionalFormatting>
  <conditionalFormatting sqref="O51 P52">
    <cfRule type="containsText" priority="34259" operator="containsText" dxfId="16" text="ED">
      <formula>NOT(ISERROR(SEARCH(("ED"),(O51))))</formula>
    </cfRule>
    <cfRule type="containsText" priority="34260" operator="containsText" dxfId="15" text="GERIATRIC">
      <formula>NOT(ISERROR(SEARCH(("GERIATRIC"),(O51))))</formula>
    </cfRule>
    <cfRule type="containsText" priority="34261" operator="containsText" dxfId="17" text="VACATION">
      <formula>NOT(ISERROR(SEARCH(("VACATION"),(O51))))</formula>
    </cfRule>
    <cfRule type="containsText" priority="34262" operator="containsText" dxfId="7" text="PATH">
      <formula>NOT(ISERROR(SEARCH(("PATH"),(O51))))</formula>
    </cfRule>
    <cfRule type="containsText" priority="34263" operator="containsText" dxfId="7" text="NEPHRO">
      <formula>NOT(ISERROR(SEARCH(("NEPHRO"),(O51))))</formula>
    </cfRule>
    <cfRule type="containsText" priority="34264" operator="containsText" dxfId="7" text="PULM">
      <formula>NOT(ISERROR(SEARCH(("PULM"),(O51))))</formula>
    </cfRule>
    <cfRule type="containsText" priority="34265" operator="containsText" dxfId="7" text="RADIOLOGY">
      <formula>NOT(ISERROR(SEARCH(("RADIOLOGY"),(O51))))</formula>
    </cfRule>
    <cfRule type="containsText" priority="34266" operator="containsText" dxfId="7" text="HEM/ONC">
      <formula>NOT(ISERROR(SEARCH(("HEM/ONC"),(O51))))</formula>
    </cfRule>
    <cfRule type="containsText" priority="34267" operator="containsText" dxfId="7" text="CARDIO">
      <formula>NOT(ISERROR(SEARCH(("CARDIO"),(O51))))</formula>
    </cfRule>
    <cfRule type="containsText" priority="34268" operator="containsText" dxfId="7" text="ID">
      <formula>NOT(ISERROR(SEARCH(("ID"),(O51))))</formula>
    </cfRule>
    <cfRule type="containsText" priority="34269" operator="containsText" dxfId="7" text="NEURO">
      <formula>NOT(ISERROR(SEARCH(("NEURO"),(O51))))</formula>
    </cfRule>
    <cfRule type="containsText" priority="34270" operator="containsText" dxfId="6" text="NEURO">
      <formula>NOT(ISERROR(SEARCH(("NEURO"),(O51))))</formula>
    </cfRule>
    <cfRule type="containsText" priority="34271" operator="containsText" dxfId="5" text="NEURO">
      <formula>NOT(ISERROR(SEARCH(("NEURO"),(O51))))</formula>
    </cfRule>
    <cfRule type="containsText" priority="34272" operator="containsText" dxfId="0" text="ICU N">
      <formula>NOT(ISERROR(SEARCH(("ICU N"),(O51))))</formula>
    </cfRule>
    <cfRule type="containsText" priority="34273" operator="containsText" dxfId="3" text="ICU">
      <formula>NOT(ISERROR(SEARCH(("ICU"),(O51))))</formula>
    </cfRule>
    <cfRule type="containsText" priority="34274" operator="containsText" dxfId="0" text="SWING">
      <formula>NOT(ISERROR(SEARCH(("SWING"),(O51))))</formula>
    </cfRule>
    <cfRule type="containsText" priority="34275" operator="containsText" dxfId="0" text="NF">
      <formula>NOT(ISERROR(SEARCH(("NF"),(O51))))</formula>
    </cfRule>
    <cfRule type="containsText" priority="34276" operator="containsText" dxfId="0" text="ICU N">
      <formula>NOT(ISERROR(SEARCH(("ICU N"),(O51))))</formula>
    </cfRule>
  </conditionalFormatting>
  <conditionalFormatting sqref="S56">
    <cfRule type="containsText" priority="34277" operator="containsText" dxfId="16" text="ED">
      <formula>NOT(ISERROR(SEARCH(("ED"),(S56))))</formula>
    </cfRule>
    <cfRule type="containsText" priority="34278" operator="containsText" dxfId="15" text="GERIATRIC">
      <formula>NOT(ISERROR(SEARCH(("GERIATRIC"),(S56))))</formula>
    </cfRule>
    <cfRule type="containsText" priority="34279" operator="containsText" dxfId="17" text="VACATION">
      <formula>NOT(ISERROR(SEARCH(("VACATION"),(S56))))</formula>
    </cfRule>
    <cfRule type="containsText" priority="34280" operator="containsText" dxfId="7" text="PATH">
      <formula>NOT(ISERROR(SEARCH(("PATH"),(S56))))</formula>
    </cfRule>
    <cfRule type="containsText" priority="34281" operator="containsText" dxfId="7" text="NEPHRO">
      <formula>NOT(ISERROR(SEARCH(("NEPHRO"),(S56))))</formula>
    </cfRule>
    <cfRule type="containsText" priority="34282" operator="containsText" dxfId="7" text="PULM">
      <formula>NOT(ISERROR(SEARCH(("PULM"),(S56))))</formula>
    </cfRule>
    <cfRule type="containsText" priority="34283" operator="containsText" dxfId="7" text="RADIOLOGY">
      <formula>NOT(ISERROR(SEARCH(("RADIOLOGY"),(S56))))</formula>
    </cfRule>
    <cfRule type="containsText" priority="34284" operator="containsText" dxfId="7" text="HEM/ONC">
      <formula>NOT(ISERROR(SEARCH(("HEM/ONC"),(S56))))</formula>
    </cfRule>
    <cfRule type="containsText" priority="34285" operator="containsText" dxfId="7" text="CARDIO">
      <formula>NOT(ISERROR(SEARCH(("CARDIO"),(S56))))</formula>
    </cfRule>
    <cfRule type="containsText" priority="34286" operator="containsText" dxfId="7" text="ID">
      <formula>NOT(ISERROR(SEARCH(("ID"),(S56))))</formula>
    </cfRule>
    <cfRule type="containsText" priority="34287" operator="containsText" dxfId="7" text="NEURO">
      <formula>NOT(ISERROR(SEARCH(("NEURO"),(S56))))</formula>
    </cfRule>
    <cfRule type="containsText" priority="34288" operator="containsText" dxfId="6" text="NEURO">
      <formula>NOT(ISERROR(SEARCH(("NEURO"),(S56))))</formula>
    </cfRule>
    <cfRule type="containsText" priority="34289" operator="containsText" dxfId="5" text="NEURO">
      <formula>NOT(ISERROR(SEARCH(("NEURO"),(S56))))</formula>
    </cfRule>
    <cfRule type="containsText" priority="34290" operator="containsText" dxfId="0" text="ICU N">
      <formula>NOT(ISERROR(SEARCH(("ICU N"),(S56))))</formula>
    </cfRule>
    <cfRule type="containsText" priority="34291" operator="containsText" dxfId="3" text="ICU">
      <formula>NOT(ISERROR(SEARCH(("ICU"),(S56))))</formula>
    </cfRule>
    <cfRule type="containsText" priority="34292" operator="containsText" dxfId="0" text="SWING">
      <formula>NOT(ISERROR(SEARCH(("SWING"),(S56))))</formula>
    </cfRule>
    <cfRule type="containsText" priority="34293" operator="containsText" dxfId="0" text="NF">
      <formula>NOT(ISERROR(SEARCH(("NF"),(S56))))</formula>
    </cfRule>
    <cfRule type="containsText" priority="34294" operator="containsText" dxfId="0" text="ICU N">
      <formula>NOT(ISERROR(SEARCH(("ICU N"),(S56))))</formula>
    </cfRule>
  </conditionalFormatting>
  <conditionalFormatting sqref="W54">
    <cfRule type="containsText" priority="34313" operator="containsText" dxfId="16" text="ED">
      <formula>NOT(ISERROR(SEARCH(("ED"),(W54))))</formula>
    </cfRule>
    <cfRule type="containsText" priority="34314" operator="containsText" dxfId="15" text="GERIATRIC">
      <formula>NOT(ISERROR(SEARCH(("GERIATRIC"),(W54))))</formula>
    </cfRule>
    <cfRule type="containsText" priority="34315" operator="containsText" dxfId="17" text="VACATION">
      <formula>NOT(ISERROR(SEARCH(("VACATION"),(W54))))</formula>
    </cfRule>
    <cfRule type="containsText" priority="34316" operator="containsText" dxfId="7" text="PATH">
      <formula>NOT(ISERROR(SEARCH(("PATH"),(W54))))</formula>
    </cfRule>
    <cfRule type="containsText" priority="34317" operator="containsText" dxfId="7" text="NEPHRO">
      <formula>NOT(ISERROR(SEARCH(("NEPHRO"),(W54))))</formula>
    </cfRule>
    <cfRule type="containsText" priority="34318" operator="containsText" dxfId="7" text="PULM">
      <formula>NOT(ISERROR(SEARCH(("PULM"),(W54))))</formula>
    </cfRule>
    <cfRule type="containsText" priority="34319" operator="containsText" dxfId="7" text="RADIOLOGY">
      <formula>NOT(ISERROR(SEARCH(("RADIOLOGY"),(W54))))</formula>
    </cfRule>
    <cfRule type="containsText" priority="34320" operator="containsText" dxfId="7" text="HEM/ONC">
      <formula>NOT(ISERROR(SEARCH(("HEM/ONC"),(W54))))</formula>
    </cfRule>
    <cfRule type="containsText" priority="34321" operator="containsText" dxfId="7" text="CARDIO">
      <formula>NOT(ISERROR(SEARCH(("CARDIO"),(W54))))</formula>
    </cfRule>
    <cfRule type="containsText" priority="34322" operator="containsText" dxfId="7" text="ID">
      <formula>NOT(ISERROR(SEARCH(("ID"),(W54))))</formula>
    </cfRule>
    <cfRule type="containsText" priority="34323" operator="containsText" dxfId="7" text="NEURO">
      <formula>NOT(ISERROR(SEARCH(("NEURO"),(W54))))</formula>
    </cfRule>
    <cfRule type="containsText" priority="34324" operator="containsText" dxfId="6" text="NEURO">
      <formula>NOT(ISERROR(SEARCH(("NEURO"),(W54))))</formula>
    </cfRule>
    <cfRule type="containsText" priority="34325" operator="containsText" dxfId="5" text="NEURO">
      <formula>NOT(ISERROR(SEARCH(("NEURO"),(W54))))</formula>
    </cfRule>
    <cfRule type="containsText" priority="34326" operator="containsText" dxfId="0" text="ICU N">
      <formula>NOT(ISERROR(SEARCH(("ICU N"),(W54))))</formula>
    </cfRule>
    <cfRule type="containsText" priority="34327" operator="containsText" dxfId="3" text="ICU">
      <formula>NOT(ISERROR(SEARCH(("ICU"),(W54))))</formula>
    </cfRule>
    <cfRule type="containsText" priority="34328" operator="containsText" dxfId="0" text="SWING">
      <formula>NOT(ISERROR(SEARCH(("SWING"),(W54))))</formula>
    </cfRule>
    <cfRule type="containsText" priority="34329" operator="containsText" dxfId="0" text="NF">
      <formula>NOT(ISERROR(SEARCH(("NF"),(W54))))</formula>
    </cfRule>
    <cfRule type="containsText" priority="34330" operator="containsText" dxfId="0" text="ICU N">
      <formula>NOT(ISERROR(SEARCH(("ICU N"),(W54))))</formula>
    </cfRule>
  </conditionalFormatting>
  <conditionalFormatting sqref="AS49">
    <cfRule type="containsText" priority="34817" operator="containsText" dxfId="16" text="ED">
      <formula>NOT(ISERROR(SEARCH(("ED"),(AS49))))</formula>
    </cfRule>
    <cfRule type="containsText" priority="34818" operator="containsText" dxfId="15" text="GERIATRIC">
      <formula>NOT(ISERROR(SEARCH(("GERIATRIC"),(AS49))))</formula>
    </cfRule>
    <cfRule type="containsText" priority="34819" operator="containsText" dxfId="17" text="VACATION">
      <formula>NOT(ISERROR(SEARCH(("VACATION"),(AS49))))</formula>
    </cfRule>
    <cfRule type="containsText" priority="34820" operator="containsText" dxfId="7" text="PATH">
      <formula>NOT(ISERROR(SEARCH(("PATH"),(AS49))))</formula>
    </cfRule>
    <cfRule type="containsText" priority="34821" operator="containsText" dxfId="7" text="NEPHRO">
      <formula>NOT(ISERROR(SEARCH(("NEPHRO"),(AS49))))</formula>
    </cfRule>
    <cfRule type="containsText" priority="34822" operator="containsText" dxfId="7" text="PULM">
      <formula>NOT(ISERROR(SEARCH(("PULM"),(AS49))))</formula>
    </cfRule>
    <cfRule type="containsText" priority="34823" operator="containsText" dxfId="7" text="RADIOLOGY">
      <formula>NOT(ISERROR(SEARCH(("RADIOLOGY"),(AS49))))</formula>
    </cfRule>
    <cfRule type="containsText" priority="34824" operator="containsText" dxfId="7" text="HEM/ONC">
      <formula>NOT(ISERROR(SEARCH(("HEM/ONC"),(AS49))))</formula>
    </cfRule>
    <cfRule type="containsText" priority="34825" operator="containsText" dxfId="7" text="CARDIO">
      <formula>NOT(ISERROR(SEARCH(("CARDIO"),(AS49))))</formula>
    </cfRule>
    <cfRule type="containsText" priority="34826" operator="containsText" dxfId="7" text="ID">
      <formula>NOT(ISERROR(SEARCH(("ID"),(AS49))))</formula>
    </cfRule>
    <cfRule type="containsText" priority="34827" operator="containsText" dxfId="7" text="NEURO">
      <formula>NOT(ISERROR(SEARCH(("NEURO"),(AS49))))</formula>
    </cfRule>
    <cfRule type="containsText" priority="34828" operator="containsText" dxfId="6" text="NEURO">
      <formula>NOT(ISERROR(SEARCH(("NEURO"),(AS49))))</formula>
    </cfRule>
    <cfRule type="containsText" priority="34829" operator="containsText" dxfId="5" text="NEURO">
      <formula>NOT(ISERROR(SEARCH(("NEURO"),(AS49))))</formula>
    </cfRule>
    <cfRule type="containsText" priority="34830" operator="containsText" dxfId="0" text="ICU N">
      <formula>NOT(ISERROR(SEARCH(("ICU N"),(AS49))))</formula>
    </cfRule>
    <cfRule type="containsText" priority="34831" operator="containsText" dxfId="3" text="ICU">
      <formula>NOT(ISERROR(SEARCH(("ICU"),(AS49))))</formula>
    </cfRule>
    <cfRule type="containsText" priority="34832" operator="containsText" dxfId="0" text="SWING">
      <formula>NOT(ISERROR(SEARCH(("SWING"),(AS49))))</formula>
    </cfRule>
    <cfRule type="containsText" priority="34833" operator="containsText" dxfId="0" text="NF">
      <formula>NOT(ISERROR(SEARCH(("NF"),(AS49))))</formula>
    </cfRule>
    <cfRule type="containsText" priority="34834" operator="containsText" dxfId="0" text="ICU N">
      <formula>NOT(ISERROR(SEARCH(("ICU N"),(AS49))))</formula>
    </cfRule>
  </conditionalFormatting>
  <conditionalFormatting sqref="H26:H38">
    <cfRule type="containsText" priority="35339" operator="containsText" dxfId="16" text="ED">
      <formula>NOT(ISERROR(SEARCH(("ED"),(H26))))</formula>
    </cfRule>
    <cfRule type="containsText" priority="35340" operator="containsText" dxfId="15" text="GERIATRIC">
      <formula>NOT(ISERROR(SEARCH(("GERIATRIC"),(H26))))</formula>
    </cfRule>
    <cfRule type="containsText" priority="35341" operator="containsText" dxfId="17" text="VACATION">
      <formula>NOT(ISERROR(SEARCH(("VACATION"),(H26))))</formula>
    </cfRule>
    <cfRule type="containsText" priority="35342" operator="containsText" dxfId="7" text="PATH">
      <formula>NOT(ISERROR(SEARCH(("PATH"),(H26))))</formula>
    </cfRule>
    <cfRule type="containsText" priority="35343" operator="containsText" dxfId="7" text="NEPHRO">
      <formula>NOT(ISERROR(SEARCH(("NEPHRO"),(H26))))</formula>
    </cfRule>
    <cfRule type="containsText" priority="35344" operator="containsText" dxfId="7" text="PULM">
      <formula>NOT(ISERROR(SEARCH(("PULM"),(H26))))</formula>
    </cfRule>
    <cfRule type="containsText" priority="35345" operator="containsText" dxfId="7" text="RADIOLOGY">
      <formula>NOT(ISERROR(SEARCH(("RADIOLOGY"),(H26))))</formula>
    </cfRule>
    <cfRule type="containsText" priority="35346" operator="containsText" dxfId="7" text="HEM/ONC">
      <formula>NOT(ISERROR(SEARCH(("HEM/ONC"),(H26))))</formula>
    </cfRule>
    <cfRule type="containsText" priority="35347" operator="containsText" dxfId="7" text="CARDIO">
      <formula>NOT(ISERROR(SEARCH(("CARDIO"),(H26))))</formula>
    </cfRule>
    <cfRule type="containsText" priority="35348" operator="containsText" dxfId="7" text="ID">
      <formula>NOT(ISERROR(SEARCH(("ID"),(H26))))</formula>
    </cfRule>
    <cfRule type="containsText" priority="35349" operator="containsText" dxfId="7" text="NEURO">
      <formula>NOT(ISERROR(SEARCH(("NEURO"),(H26))))</formula>
    </cfRule>
    <cfRule type="containsText" priority="35350" operator="containsText" dxfId="6" text="NEURO">
      <formula>NOT(ISERROR(SEARCH(("NEURO"),(H26))))</formula>
    </cfRule>
    <cfRule type="containsText" priority="35351" operator="containsText" dxfId="5" text="NEURO">
      <formula>NOT(ISERROR(SEARCH(("NEURO"),(H26))))</formula>
    </cfRule>
    <cfRule type="containsText" priority="35352" operator="containsText" dxfId="0" text="ICU N">
      <formula>NOT(ISERROR(SEARCH(("ICU N"),(H26))))</formula>
    </cfRule>
    <cfRule type="containsText" priority="35353" operator="containsText" dxfId="3" text="ICU">
      <formula>NOT(ISERROR(SEARCH(("ICU"),(H26))))</formula>
    </cfRule>
    <cfRule type="containsText" priority="35354" operator="containsText" dxfId="0" text="SWING">
      <formula>NOT(ISERROR(SEARCH(("SWING"),(H26))))</formula>
    </cfRule>
    <cfRule type="containsText" priority="35355" operator="containsText" dxfId="0" text="NF">
      <formula>NOT(ISERROR(SEARCH(("NF"),(H26))))</formula>
    </cfRule>
    <cfRule type="containsText" priority="35356" operator="containsText" dxfId="0" text="ICU N">
      <formula>NOT(ISERROR(SEARCH(("ICU N"),(H26))))</formula>
    </cfRule>
  </conditionalFormatting>
  <conditionalFormatting sqref="BO49:BP61">
    <cfRule type="containsText" priority="33154" operator="containsText" dxfId="7" text="PATH">
      <formula>NOT(ISERROR(SEARCH(("PATH"),(BO49))))</formula>
    </cfRule>
    <cfRule type="containsText" priority="33155" operator="containsText" dxfId="7" text="NEPHRO">
      <formula>NOT(ISERROR(SEARCH(("NEPHRO"),(BO49))))</formula>
    </cfRule>
    <cfRule type="containsText" priority="33156" operator="containsText" dxfId="7" text="PULM">
      <formula>NOT(ISERROR(SEARCH(("PULM"),(BO49))))</formula>
    </cfRule>
    <cfRule type="containsText" priority="33157" operator="containsText" dxfId="7" text="RADIOLOGY">
      <formula>NOT(ISERROR(SEARCH(("RADIOLOGY"),(BO49))))</formula>
    </cfRule>
    <cfRule type="containsText" priority="33158" operator="containsText" dxfId="7" text="HEM/ONC">
      <formula>NOT(ISERROR(SEARCH(("HEM/ONC"),(BO49))))</formula>
    </cfRule>
    <cfRule type="containsText" priority="33159" operator="containsText" dxfId="7" text="CARDIO">
      <formula>NOT(ISERROR(SEARCH(("CARDIO"),(BO49))))</formula>
    </cfRule>
    <cfRule type="containsText" priority="33160" operator="containsText" dxfId="7" text="ID">
      <formula>NOT(ISERROR(SEARCH(("ID"),(BO49))))</formula>
    </cfRule>
    <cfRule type="containsText" priority="33161" operator="containsText" dxfId="7" text="NEURO">
      <formula>NOT(ISERROR(SEARCH(("NEURO"),(BO49))))</formula>
    </cfRule>
    <cfRule type="containsText" priority="33162" operator="containsText" dxfId="6" text="NEURO">
      <formula>NOT(ISERROR(SEARCH(("NEURO"),(BO49))))</formula>
    </cfRule>
    <cfRule type="containsText" priority="33163" operator="containsText" dxfId="5" text="NEURO">
      <formula>NOT(ISERROR(SEARCH(("NEURO"),(BO49))))</formula>
    </cfRule>
    <cfRule type="containsText" priority="33164" operator="containsText" dxfId="3" text="ICU">
      <formula>NOT(ISERROR(SEARCH(("ICU"),(BO49))))</formula>
    </cfRule>
    <cfRule type="containsText" priority="33165" operator="containsText" dxfId="0" text="SWING">
      <formula>NOT(ISERROR(SEARCH(("SWING"),(BO49))))</formula>
    </cfRule>
    <cfRule type="containsText" priority="33166" operator="containsText" dxfId="0" text="NF">
      <formula>NOT(ISERROR(SEARCH(("NF"),(BO49))))</formula>
    </cfRule>
  </conditionalFormatting>
  <conditionalFormatting sqref="AW38 BA41 BA44:BA45">
    <cfRule type="containsText" priority="33124" operator="containsText" dxfId="7" text="PATH">
      <formula>NOT(ISERROR(SEARCH(("PATH"),(AW38))))</formula>
    </cfRule>
    <cfRule type="containsText" priority="33125" operator="containsText" dxfId="7" text="NEPHRO">
      <formula>NOT(ISERROR(SEARCH(("NEPHRO"),(AW38))))</formula>
    </cfRule>
    <cfRule type="containsText" priority="33126" operator="containsText" dxfId="7" text="PULM">
      <formula>NOT(ISERROR(SEARCH(("PULM"),(AW38))))</formula>
    </cfRule>
    <cfRule type="containsText" priority="33127" operator="containsText" dxfId="7" text="RADIOLOGY">
      <formula>NOT(ISERROR(SEARCH(("RADIOLOGY"),(AW38))))</formula>
    </cfRule>
    <cfRule type="containsText" priority="33128" operator="containsText" dxfId="7" text="HEM/ONC">
      <formula>NOT(ISERROR(SEARCH(("HEM/ONC"),(AW38))))</formula>
    </cfRule>
    <cfRule type="containsText" priority="33129" operator="containsText" dxfId="7" text="CARDIO">
      <formula>NOT(ISERROR(SEARCH(("CARDIO"),(AW38))))</formula>
    </cfRule>
    <cfRule type="containsText" priority="33130" operator="containsText" dxfId="7" text="ID">
      <formula>NOT(ISERROR(SEARCH(("ID"),(AW38))))</formula>
    </cfRule>
    <cfRule type="containsText" priority="33131" operator="containsText" dxfId="7" text="NEURO">
      <formula>NOT(ISERROR(SEARCH(("NEURO"),(AW38))))</formula>
    </cfRule>
    <cfRule type="containsText" priority="33132" operator="containsText" dxfId="6" text="NEURO">
      <formula>NOT(ISERROR(SEARCH(("NEURO"),(AW38))))</formula>
    </cfRule>
    <cfRule type="containsText" priority="33133" operator="containsText" dxfId="5" text="NEURO">
      <formula>NOT(ISERROR(SEARCH(("NEURO"),(AW38))))</formula>
    </cfRule>
    <cfRule type="containsText" priority="33134" operator="containsText" dxfId="0" text="ICU N">
      <formula>NOT(ISERROR(SEARCH(("ICU N"),(AW38))))</formula>
    </cfRule>
    <cfRule type="containsText" priority="33135" operator="containsText" dxfId="3" text="ICU">
      <formula>NOT(ISERROR(SEARCH(("ICU"),(AW38))))</formula>
    </cfRule>
    <cfRule type="containsText" priority="33136" operator="containsText" dxfId="0" text="SWING">
      <formula>NOT(ISERROR(SEARCH(("SWING"),(AW38))))</formula>
    </cfRule>
    <cfRule type="containsText" priority="33137" operator="containsText" dxfId="0" text="NF">
      <formula>NOT(ISERROR(SEARCH(("NF"),(AW38))))</formula>
    </cfRule>
    <cfRule type="containsText" priority="33138" operator="containsText" dxfId="0" text="ICU N">
      <formula>NOT(ISERROR(SEARCH(("ICU N"),(AW38))))</formula>
    </cfRule>
  </conditionalFormatting>
  <conditionalFormatting sqref="AP37:AR37">
    <cfRule type="containsText" priority="33079" operator="containsText" dxfId="7" text="PATH">
      <formula>NOT(ISERROR(SEARCH(("PATH"),(AP37))))</formula>
    </cfRule>
    <cfRule type="containsText" priority="33080" operator="containsText" dxfId="7" text="NEPHRO">
      <formula>NOT(ISERROR(SEARCH(("NEPHRO"),(AP37))))</formula>
    </cfRule>
    <cfRule type="containsText" priority="33081" operator="containsText" dxfId="7" text="PULM">
      <formula>NOT(ISERROR(SEARCH(("PULM"),(AP37))))</formula>
    </cfRule>
    <cfRule type="containsText" priority="33082" operator="containsText" dxfId="7" text="RADIOLOGY">
      <formula>NOT(ISERROR(SEARCH(("RADIOLOGY"),(AP37))))</formula>
    </cfRule>
    <cfRule type="containsText" priority="33083" operator="containsText" dxfId="7" text="HEM/ONC">
      <formula>NOT(ISERROR(SEARCH(("HEM/ONC"),(AP37))))</formula>
    </cfRule>
    <cfRule type="containsText" priority="33084" operator="containsText" dxfId="7" text="CARDIO">
      <formula>NOT(ISERROR(SEARCH(("CARDIO"),(AP37))))</formula>
    </cfRule>
    <cfRule type="containsText" priority="33085" operator="containsText" dxfId="7" text="ID">
      <formula>NOT(ISERROR(SEARCH(("ID"),(AP37))))</formula>
    </cfRule>
    <cfRule type="containsText" priority="33086" operator="containsText" dxfId="7" text="NEURO">
      <formula>NOT(ISERROR(SEARCH(("NEURO"),(AP37))))</formula>
    </cfRule>
    <cfRule type="containsText" priority="33087" operator="containsText" dxfId="6" text="NEURO">
      <formula>NOT(ISERROR(SEARCH(("NEURO"),(AP37))))</formula>
    </cfRule>
    <cfRule type="containsText" priority="33088" operator="containsText" dxfId="5" text="NEURO">
      <formula>NOT(ISERROR(SEARCH(("NEURO"),(AP37))))</formula>
    </cfRule>
    <cfRule type="containsText" priority="33089" operator="containsText" dxfId="0" text="ICU N">
      <formula>NOT(ISERROR(SEARCH(("ICU N"),(AP37))))</formula>
    </cfRule>
    <cfRule type="containsText" priority="33090" operator="containsText" dxfId="3" text="ICU">
      <formula>NOT(ISERROR(SEARCH(("ICU"),(AP37))))</formula>
    </cfRule>
    <cfRule type="containsText" priority="33091" operator="containsText" dxfId="0" text="SWING">
      <formula>NOT(ISERROR(SEARCH(("SWING"),(AP37))))</formula>
    </cfRule>
    <cfRule type="containsText" priority="33092" operator="containsText" dxfId="0" text="NF">
      <formula>NOT(ISERROR(SEARCH(("NF"),(AP37))))</formula>
    </cfRule>
    <cfRule type="containsText" priority="33093" operator="containsText" dxfId="0" text="ICU N">
      <formula>NOT(ISERROR(SEARCH(("ICU N"),(AP37))))</formula>
    </cfRule>
    <cfRule type="containsText" priority="31189" operator="containsText" dxfId="7" text="PATH">
      <formula>NOT(ISERROR(SEARCH(("PATH"),(AP37))))</formula>
    </cfRule>
    <cfRule type="containsText" priority="31190" operator="containsText" dxfId="7" text="NEPHRO">
      <formula>NOT(ISERROR(SEARCH(("NEPHRO"),(AP37))))</formula>
    </cfRule>
    <cfRule type="containsText" priority="31191" operator="containsText" dxfId="7" text="PULM">
      <formula>NOT(ISERROR(SEARCH(("PULM"),(AP37))))</formula>
    </cfRule>
    <cfRule type="containsText" priority="31192" operator="containsText" dxfId="7" text="RADIOLOGY">
      <formula>NOT(ISERROR(SEARCH(("RADIOLOGY"),(AP37))))</formula>
    </cfRule>
    <cfRule type="containsText" priority="31193" operator="containsText" dxfId="7" text="HEM/ONC">
      <formula>NOT(ISERROR(SEARCH(("HEM/ONC"),(AP37))))</formula>
    </cfRule>
    <cfRule type="containsText" priority="31194" operator="containsText" dxfId="7" text="CARDIO">
      <formula>NOT(ISERROR(SEARCH(("CARDIO"),(AP37))))</formula>
    </cfRule>
    <cfRule type="containsText" priority="31195" operator="containsText" dxfId="7" text="ID">
      <formula>NOT(ISERROR(SEARCH(("ID"),(AP37))))</formula>
    </cfRule>
    <cfRule type="containsText" priority="31196" operator="containsText" dxfId="7" text="NEURO">
      <formula>NOT(ISERROR(SEARCH(("NEURO"),(AP37))))</formula>
    </cfRule>
    <cfRule type="containsText" priority="31197" operator="containsText" dxfId="6" text="NEURO">
      <formula>NOT(ISERROR(SEARCH(("NEURO"),(AP37))))</formula>
    </cfRule>
    <cfRule type="containsText" priority="31198" operator="containsText" dxfId="5" text="NEURO">
      <formula>NOT(ISERROR(SEARCH(("NEURO"),(AP37))))</formula>
    </cfRule>
    <cfRule type="containsText" priority="31199" operator="containsText" dxfId="0" text="ICU N">
      <formula>NOT(ISERROR(SEARCH(("ICU N"),(AP37))))</formula>
    </cfRule>
    <cfRule type="containsText" priority="31200" operator="containsText" dxfId="3" text="ICU">
      <formula>NOT(ISERROR(SEARCH(("ICU"),(AP37))))</formula>
    </cfRule>
    <cfRule type="containsText" priority="31201" operator="containsText" dxfId="0" text="SWING">
      <formula>NOT(ISERROR(SEARCH(("SWING"),(AP37))))</formula>
    </cfRule>
    <cfRule type="containsText" priority="31202" operator="containsText" dxfId="0" text="NF">
      <formula>NOT(ISERROR(SEARCH(("NF"),(AP37))))</formula>
    </cfRule>
  </conditionalFormatting>
  <conditionalFormatting sqref="BS3">
    <cfRule type="containsText" priority="32990" operator="containsText" dxfId="7" text="PATH">
      <formula>NOT(ISERROR(SEARCH(("PATH"),(BS3))))</formula>
    </cfRule>
    <cfRule type="containsText" priority="32991" operator="containsText" dxfId="7" text="NEPHRO">
      <formula>NOT(ISERROR(SEARCH(("NEPHRO"),(BS3))))</formula>
    </cfRule>
    <cfRule type="containsText" priority="32992" operator="containsText" dxfId="7" text="PULM">
      <formula>NOT(ISERROR(SEARCH(("PULM"),(BS3))))</formula>
    </cfRule>
    <cfRule type="containsText" priority="32993" operator="containsText" dxfId="7" text="RADIOLOGY">
      <formula>NOT(ISERROR(SEARCH(("RADIOLOGY"),(BS3))))</formula>
    </cfRule>
    <cfRule type="containsText" priority="32994" operator="containsText" dxfId="7" text="HEM/ONC">
      <formula>NOT(ISERROR(SEARCH(("HEM/ONC"),(BS3))))</formula>
    </cfRule>
    <cfRule type="containsText" priority="32995" operator="containsText" dxfId="7" text="CARDIO">
      <formula>NOT(ISERROR(SEARCH(("CARDIO"),(BS3))))</formula>
    </cfRule>
    <cfRule type="containsText" priority="32996" operator="containsText" dxfId="7" text="ID">
      <formula>NOT(ISERROR(SEARCH(("ID"),(BS3))))</formula>
    </cfRule>
    <cfRule type="containsText" priority="32997" operator="containsText" dxfId="7" text="NEURO">
      <formula>NOT(ISERROR(SEARCH(("NEURO"),(BS3))))</formula>
    </cfRule>
    <cfRule type="containsText" priority="32998" operator="containsText" dxfId="6" text="NEURO">
      <formula>NOT(ISERROR(SEARCH(("NEURO"),(BS3))))</formula>
    </cfRule>
    <cfRule type="containsText" priority="32999" operator="containsText" dxfId="5" text="NEURO">
      <formula>NOT(ISERROR(SEARCH(("NEURO"),(BS3))))</formula>
    </cfRule>
    <cfRule type="containsText" priority="33000" operator="containsText" dxfId="0" text="ICU N">
      <formula>NOT(ISERROR(SEARCH(("ICU N"),(BS3))))</formula>
    </cfRule>
    <cfRule type="containsText" priority="33001" operator="containsText" dxfId="3" text="ICU">
      <formula>NOT(ISERROR(SEARCH(("ICU"),(BS3))))</formula>
    </cfRule>
    <cfRule type="containsText" priority="33002" operator="containsText" dxfId="0" text="SWING">
      <formula>NOT(ISERROR(SEARCH(("SWING"),(BS3))))</formula>
    </cfRule>
    <cfRule type="containsText" priority="33003" operator="containsText" dxfId="0" text="NF">
      <formula>NOT(ISERROR(SEARCH(("NF"),(BS3))))</formula>
    </cfRule>
  </conditionalFormatting>
  <conditionalFormatting sqref="BT3:BV3">
    <cfRule type="containsText" priority="32974" operator="containsText" dxfId="7" text="PATH">
      <formula>NOT(ISERROR(SEARCH(("PATH"),(BT3))))</formula>
    </cfRule>
    <cfRule type="containsText" priority="32975" operator="containsText" dxfId="7" text="NEPHRO">
      <formula>NOT(ISERROR(SEARCH(("NEPHRO"),(BT3))))</formula>
    </cfRule>
    <cfRule type="containsText" priority="32976" operator="containsText" dxfId="7" text="PULM">
      <formula>NOT(ISERROR(SEARCH(("PULM"),(BT3))))</formula>
    </cfRule>
    <cfRule type="containsText" priority="32977" operator="containsText" dxfId="7" text="RADIOLOGY">
      <formula>NOT(ISERROR(SEARCH(("RADIOLOGY"),(BT3))))</formula>
    </cfRule>
    <cfRule type="containsText" priority="32978" operator="containsText" dxfId="7" text="HEM/ONC">
      <formula>NOT(ISERROR(SEARCH(("HEM/ONC"),(BT3))))</formula>
    </cfRule>
    <cfRule type="containsText" priority="32979" operator="containsText" dxfId="7" text="CARDIO">
      <formula>NOT(ISERROR(SEARCH(("CARDIO"),(BT3))))</formula>
    </cfRule>
    <cfRule type="containsText" priority="32980" operator="containsText" dxfId="7" text="ID">
      <formula>NOT(ISERROR(SEARCH(("ID"),(BT3))))</formula>
    </cfRule>
    <cfRule type="containsText" priority="32981" operator="containsText" dxfId="7" text="NEURO">
      <formula>NOT(ISERROR(SEARCH(("NEURO"),(BT3))))</formula>
    </cfRule>
    <cfRule type="containsText" priority="32982" operator="containsText" dxfId="6" text="NEURO">
      <formula>NOT(ISERROR(SEARCH(("NEURO"),(BT3))))</formula>
    </cfRule>
    <cfRule type="containsText" priority="32983" operator="containsText" dxfId="5" text="NEURO">
      <formula>NOT(ISERROR(SEARCH(("NEURO"),(BT3))))</formula>
    </cfRule>
    <cfRule type="containsText" priority="32984" operator="containsText" dxfId="0" text="ICU N">
      <formula>NOT(ISERROR(SEARCH(("ICU N"),(BT3))))</formula>
    </cfRule>
    <cfRule type="containsText" priority="32985" operator="containsText" dxfId="3" text="ICU">
      <formula>NOT(ISERROR(SEARCH(("ICU"),(BT3))))</formula>
    </cfRule>
    <cfRule type="containsText" priority="32986" operator="containsText" dxfId="0" text="SWING">
      <formula>NOT(ISERROR(SEARCH(("SWING"),(BT3))))</formula>
    </cfRule>
    <cfRule type="containsText" priority="32987" operator="containsText" dxfId="0" text="NF">
      <formula>NOT(ISERROR(SEARCH(("NF"),(BT3))))</formula>
    </cfRule>
  </conditionalFormatting>
  <conditionalFormatting sqref="BW3:CA3">
    <cfRule type="containsText" priority="32958" operator="containsText" dxfId="7" text="PATH">
      <formula>NOT(ISERROR(SEARCH(("PATH"),(BW3))))</formula>
    </cfRule>
    <cfRule type="containsText" priority="32959" operator="containsText" dxfId="7" text="NEPHRO">
      <formula>NOT(ISERROR(SEARCH(("NEPHRO"),(BW3))))</formula>
    </cfRule>
    <cfRule type="containsText" priority="32960" operator="containsText" dxfId="7" text="PULM">
      <formula>NOT(ISERROR(SEARCH(("PULM"),(BW3))))</formula>
    </cfRule>
    <cfRule type="containsText" priority="32961" operator="containsText" dxfId="7" text="RADIOLOGY">
      <formula>NOT(ISERROR(SEARCH(("RADIOLOGY"),(BW3))))</formula>
    </cfRule>
    <cfRule type="containsText" priority="32962" operator="containsText" dxfId="7" text="HEM/ONC">
      <formula>NOT(ISERROR(SEARCH(("HEM/ONC"),(BW3))))</formula>
    </cfRule>
    <cfRule type="containsText" priority="32963" operator="containsText" dxfId="7" text="CARDIO">
      <formula>NOT(ISERROR(SEARCH(("CARDIO"),(BW3))))</formula>
    </cfRule>
    <cfRule type="containsText" priority="32964" operator="containsText" dxfId="7" text="ID">
      <formula>NOT(ISERROR(SEARCH(("ID"),(BW3))))</formula>
    </cfRule>
    <cfRule type="containsText" priority="32965" operator="containsText" dxfId="7" text="NEURO">
      <formula>NOT(ISERROR(SEARCH(("NEURO"),(BW3))))</formula>
    </cfRule>
    <cfRule type="containsText" priority="32966" operator="containsText" dxfId="6" text="NEURO">
      <formula>NOT(ISERROR(SEARCH(("NEURO"),(BW3))))</formula>
    </cfRule>
    <cfRule type="containsText" priority="32967" operator="containsText" dxfId="5" text="NEURO">
      <formula>NOT(ISERROR(SEARCH(("NEURO"),(BW3))))</formula>
    </cfRule>
    <cfRule type="containsText" priority="32968" operator="containsText" dxfId="0" text="ICU N">
      <formula>NOT(ISERROR(SEARCH(("ICU N"),(BW3))))</formula>
    </cfRule>
    <cfRule type="containsText" priority="32969" operator="containsText" dxfId="3" text="ICU">
      <formula>NOT(ISERROR(SEARCH(("ICU"),(BW3))))</formula>
    </cfRule>
    <cfRule type="containsText" priority="32970" operator="containsText" dxfId="0" text="SWING">
      <formula>NOT(ISERROR(SEARCH(("SWING"),(BW3))))</formula>
    </cfRule>
    <cfRule type="containsText" priority="32971" operator="containsText" dxfId="0" text="NF">
      <formula>NOT(ISERROR(SEARCH(("NF"),(BW3))))</formula>
    </cfRule>
  </conditionalFormatting>
  <conditionalFormatting sqref="CB3:CC3">
    <cfRule type="containsText" priority="32942" operator="containsText" dxfId="7" text="PATH">
      <formula>NOT(ISERROR(SEARCH(("PATH"),(CB3))))</formula>
    </cfRule>
    <cfRule type="containsText" priority="32943" operator="containsText" dxfId="7" text="NEPHRO">
      <formula>NOT(ISERROR(SEARCH(("NEPHRO"),(CB3))))</formula>
    </cfRule>
    <cfRule type="containsText" priority="32944" operator="containsText" dxfId="7" text="PULM">
      <formula>NOT(ISERROR(SEARCH(("PULM"),(CB3))))</formula>
    </cfRule>
    <cfRule type="containsText" priority="32945" operator="containsText" dxfId="7" text="RADIOLOGY">
      <formula>NOT(ISERROR(SEARCH(("RADIOLOGY"),(CB3))))</formula>
    </cfRule>
    <cfRule type="containsText" priority="32946" operator="containsText" dxfId="7" text="HEM/ONC">
      <formula>NOT(ISERROR(SEARCH(("HEM/ONC"),(CB3))))</formula>
    </cfRule>
    <cfRule type="containsText" priority="32947" operator="containsText" dxfId="7" text="CARDIO">
      <formula>NOT(ISERROR(SEARCH(("CARDIO"),(CB3))))</formula>
    </cfRule>
    <cfRule type="containsText" priority="32948" operator="containsText" dxfId="7" text="ID">
      <formula>NOT(ISERROR(SEARCH(("ID"),(CB3))))</formula>
    </cfRule>
    <cfRule type="containsText" priority="32949" operator="containsText" dxfId="7" text="NEURO">
      <formula>NOT(ISERROR(SEARCH(("NEURO"),(CB3))))</formula>
    </cfRule>
    <cfRule type="containsText" priority="32950" operator="containsText" dxfId="6" text="NEURO">
      <formula>NOT(ISERROR(SEARCH(("NEURO"),(CB3))))</formula>
    </cfRule>
    <cfRule type="containsText" priority="32951" operator="containsText" dxfId="5" text="NEURO">
      <formula>NOT(ISERROR(SEARCH(("NEURO"),(CB3))))</formula>
    </cfRule>
    <cfRule type="containsText" priority="32952" operator="containsText" dxfId="0" text="ICU N">
      <formula>NOT(ISERROR(SEARCH(("ICU N"),(CB3))))</formula>
    </cfRule>
    <cfRule type="containsText" priority="32953" operator="containsText" dxfId="3" text="ICU">
      <formula>NOT(ISERROR(SEARCH(("ICU"),(CB3))))</formula>
    </cfRule>
    <cfRule type="containsText" priority="32954" operator="containsText" dxfId="0" text="SWING">
      <formula>NOT(ISERROR(SEARCH(("SWING"),(CB3))))</formula>
    </cfRule>
    <cfRule type="containsText" priority="32955" operator="containsText" dxfId="0" text="NF">
      <formula>NOT(ISERROR(SEARCH(("NF"),(CB3))))</formula>
    </cfRule>
  </conditionalFormatting>
  <conditionalFormatting sqref="BP49:BP61">
    <cfRule type="containsText" priority="32927" operator="containsText" dxfId="7" text="PATH">
      <formula>NOT(ISERROR(SEARCH(("PATH"),(BP49))))</formula>
    </cfRule>
    <cfRule type="containsText" priority="32928" operator="containsText" dxfId="7" text="NEPHRO">
      <formula>NOT(ISERROR(SEARCH(("NEPHRO"),(BP49))))</formula>
    </cfRule>
    <cfRule type="containsText" priority="32929" operator="containsText" dxfId="7" text="PULM">
      <formula>NOT(ISERROR(SEARCH(("PULM"),(BP49))))</formula>
    </cfRule>
    <cfRule type="containsText" priority="32930" operator="containsText" dxfId="7" text="RADIOLOGY">
      <formula>NOT(ISERROR(SEARCH(("RADIOLOGY"),(BP49))))</formula>
    </cfRule>
    <cfRule type="containsText" priority="32931" operator="containsText" dxfId="7" text="HEM/ONC">
      <formula>NOT(ISERROR(SEARCH(("HEM/ONC"),(BP49))))</formula>
    </cfRule>
    <cfRule type="containsText" priority="32932" operator="containsText" dxfId="7" text="CARDIO">
      <formula>NOT(ISERROR(SEARCH(("CARDIO"),(BP49))))</formula>
    </cfRule>
    <cfRule type="containsText" priority="32933" operator="containsText" dxfId="7" text="ID">
      <formula>NOT(ISERROR(SEARCH(("ID"),(BP49))))</formula>
    </cfRule>
    <cfRule type="containsText" priority="32934" operator="containsText" dxfId="7" text="NEURO">
      <formula>NOT(ISERROR(SEARCH(("NEURO"),(BP49))))</formula>
    </cfRule>
    <cfRule type="containsText" priority="32935" operator="containsText" dxfId="6" text="NEURO">
      <formula>NOT(ISERROR(SEARCH(("NEURO"),(BP49))))</formula>
    </cfRule>
    <cfRule type="containsText" priority="32936" operator="containsText" dxfId="5" text="NEURO">
      <formula>NOT(ISERROR(SEARCH(("NEURO"),(BP49))))</formula>
    </cfRule>
    <cfRule type="containsText" priority="32937" operator="containsText" dxfId="3" text="ICU">
      <formula>NOT(ISERROR(SEARCH(("ICU"),(BP49))))</formula>
    </cfRule>
    <cfRule type="containsText" priority="32938" operator="containsText" dxfId="0" text="SWING">
      <formula>NOT(ISERROR(SEARCH(("SWING"),(BP49))))</formula>
    </cfRule>
    <cfRule type="containsText" priority="32939" operator="containsText" dxfId="0" text="NF">
      <formula>NOT(ISERROR(SEARCH(("NF"),(BP49))))</formula>
    </cfRule>
    <cfRule type="containsText" priority="32914" operator="containsText" dxfId="7" text="PATH">
      <formula>NOT(ISERROR(SEARCH(("PATH"),(BP49))))</formula>
    </cfRule>
    <cfRule type="containsText" priority="32915" operator="containsText" dxfId="7" text="NEPHRO">
      <formula>NOT(ISERROR(SEARCH(("NEPHRO"),(BP49))))</formula>
    </cfRule>
    <cfRule type="containsText" priority="32916" operator="containsText" dxfId="7" text="PULM">
      <formula>NOT(ISERROR(SEARCH(("PULM"),(BP49))))</formula>
    </cfRule>
    <cfRule type="containsText" priority="32917" operator="containsText" dxfId="7" text="RADIOLOGY">
      <formula>NOT(ISERROR(SEARCH(("RADIOLOGY"),(BP49))))</formula>
    </cfRule>
    <cfRule type="containsText" priority="32918" operator="containsText" dxfId="7" text="HEM/ONC">
      <formula>NOT(ISERROR(SEARCH(("HEM/ONC"),(BP49))))</formula>
    </cfRule>
    <cfRule type="containsText" priority="32919" operator="containsText" dxfId="7" text="CARDIO">
      <formula>NOT(ISERROR(SEARCH(("CARDIO"),(BP49))))</formula>
    </cfRule>
    <cfRule type="containsText" priority="32920" operator="containsText" dxfId="7" text="ID">
      <formula>NOT(ISERROR(SEARCH(("ID"),(BP49))))</formula>
    </cfRule>
    <cfRule type="containsText" priority="32921" operator="containsText" dxfId="7" text="NEURO">
      <formula>NOT(ISERROR(SEARCH(("NEURO"),(BP49))))</formula>
    </cfRule>
    <cfRule type="containsText" priority="32922" operator="containsText" dxfId="6" text="NEURO">
      <formula>NOT(ISERROR(SEARCH(("NEURO"),(BP49))))</formula>
    </cfRule>
    <cfRule type="containsText" priority="32923" operator="containsText" dxfId="5" text="NEURO">
      <formula>NOT(ISERROR(SEARCH(("NEURO"),(BP49))))</formula>
    </cfRule>
    <cfRule type="containsText" priority="32924" operator="containsText" dxfId="3" text="ICU">
      <formula>NOT(ISERROR(SEARCH(("ICU"),(BP49))))</formula>
    </cfRule>
    <cfRule type="containsText" priority="32925" operator="containsText" dxfId="0" text="SWING">
      <formula>NOT(ISERROR(SEARCH(("SWING"),(BP49))))</formula>
    </cfRule>
    <cfRule type="containsText" priority="32926" operator="containsText" dxfId="0" text="NF">
      <formula>NOT(ISERROR(SEARCH(("NF"),(BP49))))</formula>
    </cfRule>
    <cfRule type="containsText" priority="32791" operator="containsText" dxfId="7" text="PATH">
      <formula>NOT(ISERROR(SEARCH(("PATH"),(BP49))))</formula>
    </cfRule>
    <cfRule type="containsText" priority="32792" operator="containsText" dxfId="7" text="NEPHRO">
      <formula>NOT(ISERROR(SEARCH(("NEPHRO"),(BP49))))</formula>
    </cfRule>
    <cfRule type="containsText" priority="32793" operator="containsText" dxfId="7" text="PULM">
      <formula>NOT(ISERROR(SEARCH(("PULM"),(BP49))))</formula>
    </cfRule>
    <cfRule type="containsText" priority="32794" operator="containsText" dxfId="7" text="RADIOLOGY">
      <formula>NOT(ISERROR(SEARCH(("RADIOLOGY"),(BP49))))</formula>
    </cfRule>
    <cfRule type="containsText" priority="32795" operator="containsText" dxfId="7" text="HEM/ONC">
      <formula>NOT(ISERROR(SEARCH(("HEM/ONC"),(BP49))))</formula>
    </cfRule>
    <cfRule type="containsText" priority="32796" operator="containsText" dxfId="7" text="CARDIO">
      <formula>NOT(ISERROR(SEARCH(("CARDIO"),(BP49))))</formula>
    </cfRule>
    <cfRule type="containsText" priority="32797" operator="containsText" dxfId="7" text="ID">
      <formula>NOT(ISERROR(SEARCH(("ID"),(BP49))))</formula>
    </cfRule>
    <cfRule type="containsText" priority="32798" operator="containsText" dxfId="7" text="NEURO">
      <formula>NOT(ISERROR(SEARCH(("NEURO"),(BP49))))</formula>
    </cfRule>
    <cfRule type="containsText" priority="32799" operator="containsText" dxfId="6" text="NEURO">
      <formula>NOT(ISERROR(SEARCH(("NEURO"),(BP49))))</formula>
    </cfRule>
    <cfRule type="containsText" priority="32800" operator="containsText" dxfId="5" text="NEURO">
      <formula>NOT(ISERROR(SEARCH(("NEURO"),(BP49))))</formula>
    </cfRule>
    <cfRule type="containsText" priority="32801" operator="containsText" dxfId="3" text="ICU">
      <formula>NOT(ISERROR(SEARCH(("ICU"),(BP49))))</formula>
    </cfRule>
    <cfRule type="containsText" priority="32802" operator="containsText" dxfId="0" text="SWING">
      <formula>NOT(ISERROR(SEARCH(("SWING"),(BP49))))</formula>
    </cfRule>
    <cfRule type="containsText" priority="32803" operator="containsText" dxfId="0" text="NF">
      <formula>NOT(ISERROR(SEARCH(("NF"),(BP49))))</formula>
    </cfRule>
  </conditionalFormatting>
  <conditionalFormatting sqref="CC1">
    <cfRule type="containsText" priority="32872" operator="containsText" dxfId="7" text="PATH">
      <formula>NOT(ISERROR(SEARCH(("PATH"),(CC1))))</formula>
    </cfRule>
    <cfRule type="containsText" priority="32873" operator="containsText" dxfId="7" text="NEPHRO">
      <formula>NOT(ISERROR(SEARCH(("NEPHRO"),(CC1))))</formula>
    </cfRule>
    <cfRule type="containsText" priority="32874" operator="containsText" dxfId="7" text="PULM">
      <formula>NOT(ISERROR(SEARCH(("PULM"),(CC1))))</formula>
    </cfRule>
    <cfRule type="containsText" priority="32875" operator="containsText" dxfId="7" text="RADIOLOGY">
      <formula>NOT(ISERROR(SEARCH(("RADIOLOGY"),(CC1))))</formula>
    </cfRule>
    <cfRule type="containsText" priority="32876" operator="containsText" dxfId="7" text="HEM/ONC">
      <formula>NOT(ISERROR(SEARCH(("HEM/ONC"),(CC1))))</formula>
    </cfRule>
    <cfRule type="containsText" priority="32877" operator="containsText" dxfId="7" text="CARDIO">
      <formula>NOT(ISERROR(SEARCH(("CARDIO"),(CC1))))</formula>
    </cfRule>
    <cfRule type="containsText" priority="32878" operator="containsText" dxfId="7" text="ID">
      <formula>NOT(ISERROR(SEARCH(("ID"),(CC1))))</formula>
    </cfRule>
    <cfRule type="containsText" priority="32879" operator="containsText" dxfId="7" text="NEURO">
      <formula>NOT(ISERROR(SEARCH(("NEURO"),(CC1))))</formula>
    </cfRule>
    <cfRule type="containsText" priority="32880" operator="containsText" dxfId="6" text="NEURO">
      <formula>NOT(ISERROR(SEARCH(("NEURO"),(CC1))))</formula>
    </cfRule>
    <cfRule type="containsText" priority="32881" operator="containsText" dxfId="5" text="NEURO">
      <formula>NOT(ISERROR(SEARCH(("NEURO"),(CC1))))</formula>
    </cfRule>
    <cfRule type="containsText" priority="32882" operator="containsText" dxfId="0" text="ICU N">
      <formula>NOT(ISERROR(SEARCH(("ICU N"),(CC1))))</formula>
    </cfRule>
    <cfRule type="containsText" priority="32883" operator="containsText" dxfId="3" text="ICU">
      <formula>NOT(ISERROR(SEARCH(("ICU"),(CC1))))</formula>
    </cfRule>
    <cfRule type="containsText" priority="32884" operator="containsText" dxfId="0" text="SWING">
      <formula>NOT(ISERROR(SEARCH(("SWING"),(CC1))))</formula>
    </cfRule>
    <cfRule type="containsText" priority="32885" operator="containsText" dxfId="0" text="NF">
      <formula>NOT(ISERROR(SEARCH(("NF"),(CC1))))</formula>
    </cfRule>
  </conditionalFormatting>
  <conditionalFormatting sqref="CD1">
    <cfRule type="containsText" priority="32858" operator="containsText" dxfId="7" text="PATH">
      <formula>NOT(ISERROR(SEARCH(("PATH"),(CD1))))</formula>
    </cfRule>
    <cfRule type="containsText" priority="32859" operator="containsText" dxfId="7" text="NEPHRO">
      <formula>NOT(ISERROR(SEARCH(("NEPHRO"),(CD1))))</formula>
    </cfRule>
    <cfRule type="containsText" priority="32860" operator="containsText" dxfId="7" text="PULM">
      <formula>NOT(ISERROR(SEARCH(("PULM"),(CD1))))</formula>
    </cfRule>
    <cfRule type="containsText" priority="32861" operator="containsText" dxfId="7" text="RADIOLOGY">
      <formula>NOT(ISERROR(SEARCH(("RADIOLOGY"),(CD1))))</formula>
    </cfRule>
    <cfRule type="containsText" priority="32862" operator="containsText" dxfId="7" text="HEM/ONC">
      <formula>NOT(ISERROR(SEARCH(("HEM/ONC"),(CD1))))</formula>
    </cfRule>
    <cfRule type="containsText" priority="32863" operator="containsText" dxfId="7" text="CARDIO">
      <formula>NOT(ISERROR(SEARCH(("CARDIO"),(CD1))))</formula>
    </cfRule>
    <cfRule type="containsText" priority="32864" operator="containsText" dxfId="7" text="ID">
      <formula>NOT(ISERROR(SEARCH(("ID"),(CD1))))</formula>
    </cfRule>
    <cfRule type="containsText" priority="32865" operator="containsText" dxfId="7" text="NEURO">
      <formula>NOT(ISERROR(SEARCH(("NEURO"),(CD1))))</formula>
    </cfRule>
    <cfRule type="containsText" priority="32866" operator="containsText" dxfId="6" text="NEURO">
      <formula>NOT(ISERROR(SEARCH(("NEURO"),(CD1))))</formula>
    </cfRule>
    <cfRule type="containsText" priority="32867" operator="containsText" dxfId="5" text="NEURO">
      <formula>NOT(ISERROR(SEARCH(("NEURO"),(CD1))))</formula>
    </cfRule>
    <cfRule type="containsText" priority="32868" operator="containsText" dxfId="0" text="ICU N">
      <formula>NOT(ISERROR(SEARCH(("ICU N"),(CD1))))</formula>
    </cfRule>
    <cfRule type="containsText" priority="32869" operator="containsText" dxfId="3" text="ICU">
      <formula>NOT(ISERROR(SEARCH(("ICU"),(CD1))))</formula>
    </cfRule>
    <cfRule type="containsText" priority="32870" operator="containsText" dxfId="0" text="SWING">
      <formula>NOT(ISERROR(SEARCH(("SWING"),(CD1))))</formula>
    </cfRule>
    <cfRule type="containsText" priority="32871" operator="containsText" dxfId="0" text="NF">
      <formula>NOT(ISERROR(SEARCH(("NF"),(CD1))))</formula>
    </cfRule>
  </conditionalFormatting>
  <conditionalFormatting sqref="AU46">
    <cfRule type="containsText" priority="32761" operator="containsText" dxfId="7" text="PATH">
      <formula>NOT(ISERROR(SEARCH(("PATH"),(AU46))))</formula>
    </cfRule>
    <cfRule type="containsText" priority="32762" operator="containsText" dxfId="7" text="NEPHRO">
      <formula>NOT(ISERROR(SEARCH(("NEPHRO"),(AU46))))</formula>
    </cfRule>
    <cfRule type="containsText" priority="32763" operator="containsText" dxfId="7" text="PULM">
      <formula>NOT(ISERROR(SEARCH(("PULM"),(AU46))))</formula>
    </cfRule>
    <cfRule type="containsText" priority="32764" operator="containsText" dxfId="7" text="RADIOLOGY">
      <formula>NOT(ISERROR(SEARCH(("RADIOLOGY"),(AU46))))</formula>
    </cfRule>
    <cfRule type="containsText" priority="32765" operator="containsText" dxfId="7" text="HEM/ONC">
      <formula>NOT(ISERROR(SEARCH(("HEM/ONC"),(AU46))))</formula>
    </cfRule>
    <cfRule type="containsText" priority="32766" operator="containsText" dxfId="7" text="CARDIO">
      <formula>NOT(ISERROR(SEARCH(("CARDIO"),(AU46))))</formula>
    </cfRule>
    <cfRule type="containsText" priority="32767" operator="containsText" dxfId="7" text="ID">
      <formula>NOT(ISERROR(SEARCH(("ID"),(AU46))))</formula>
    </cfRule>
    <cfRule type="containsText" priority="32768" operator="containsText" dxfId="7" text="NEURO">
      <formula>NOT(ISERROR(SEARCH(("NEURO"),(AU46))))</formula>
    </cfRule>
    <cfRule type="containsText" priority="32769" operator="containsText" dxfId="6" text="NEURO">
      <formula>NOT(ISERROR(SEARCH(("NEURO"),(AU46))))</formula>
    </cfRule>
    <cfRule type="containsText" priority="32770" operator="containsText" dxfId="5" text="NEURO">
      <formula>NOT(ISERROR(SEARCH(("NEURO"),(AU46))))</formula>
    </cfRule>
    <cfRule type="containsText" priority="32771" operator="containsText" dxfId="0" text="ICU N">
      <formula>NOT(ISERROR(SEARCH(("ICU N"),(AU46))))</formula>
    </cfRule>
    <cfRule type="containsText" priority="32772" operator="containsText" dxfId="3" text="ICU">
      <formula>NOT(ISERROR(SEARCH(("ICU"),(AU46))))</formula>
    </cfRule>
    <cfRule type="containsText" priority="32773" operator="containsText" dxfId="0" text="SWING">
      <formula>NOT(ISERROR(SEARCH(("SWING"),(AU46))))</formula>
    </cfRule>
    <cfRule type="containsText" priority="32774" operator="containsText" dxfId="0" text="NF">
      <formula>NOT(ISERROR(SEARCH(("NF"),(AU46))))</formula>
    </cfRule>
    <cfRule type="containsText" priority="32775" operator="containsText" dxfId="0" text="ICU N">
      <formula>NOT(ISERROR(SEARCH(("ICU N"),(AU46))))</formula>
    </cfRule>
  </conditionalFormatting>
  <conditionalFormatting sqref="P55:W55 Q56:S56 R51:S51 S53:W55 T50:U50 T52:X52 V51 V56:W56">
    <cfRule type="containsText" priority="32725" operator="containsText" dxfId="16" text="ED">
      <formula>NOT(ISERROR(SEARCH(("ED"),(P50))))</formula>
    </cfRule>
    <cfRule type="containsText" priority="32726" operator="containsText" dxfId="15" text="GERIATRIC">
      <formula>NOT(ISERROR(SEARCH(("GERIATRIC"),(P50))))</formula>
    </cfRule>
    <cfRule type="containsText" priority="32727" operator="containsText" dxfId="17" text="VACATION">
      <formula>NOT(ISERROR(SEARCH(("VACATION"),(P50))))</formula>
    </cfRule>
    <cfRule type="containsText" priority="32728" operator="containsText" dxfId="7" text="PATH">
      <formula>NOT(ISERROR(SEARCH(("PATH"),(P50))))</formula>
    </cfRule>
    <cfRule type="containsText" priority="32729" operator="containsText" dxfId="7" text="NEPHRO">
      <formula>NOT(ISERROR(SEARCH(("NEPHRO"),(P50))))</formula>
    </cfRule>
    <cfRule type="containsText" priority="32730" operator="containsText" dxfId="7" text="PULM">
      <formula>NOT(ISERROR(SEARCH(("PULM"),(P50))))</formula>
    </cfRule>
    <cfRule type="containsText" priority="32731" operator="containsText" dxfId="7" text="RADIOLOGY">
      <formula>NOT(ISERROR(SEARCH(("RADIOLOGY"),(P50))))</formula>
    </cfRule>
    <cfRule type="containsText" priority="32732" operator="containsText" dxfId="7" text="HEM/ONC">
      <formula>NOT(ISERROR(SEARCH(("HEM/ONC"),(P50))))</formula>
    </cfRule>
    <cfRule type="containsText" priority="32733" operator="containsText" dxfId="7" text="CARDIO">
      <formula>NOT(ISERROR(SEARCH(("CARDIO"),(P50))))</formula>
    </cfRule>
    <cfRule type="containsText" priority="32734" operator="containsText" dxfId="7" text="ID">
      <formula>NOT(ISERROR(SEARCH(("ID"),(P50))))</formula>
    </cfRule>
    <cfRule type="containsText" priority="32735" operator="containsText" dxfId="7" text="NEURO">
      <formula>NOT(ISERROR(SEARCH(("NEURO"),(P50))))</formula>
    </cfRule>
    <cfRule type="containsText" priority="32736" operator="containsText" dxfId="6" text="NEURO">
      <formula>NOT(ISERROR(SEARCH(("NEURO"),(P50))))</formula>
    </cfRule>
    <cfRule type="containsText" priority="32737" operator="containsText" dxfId="5" text="NEURO">
      <formula>NOT(ISERROR(SEARCH(("NEURO"),(P50))))</formula>
    </cfRule>
    <cfRule type="containsText" priority="32738" operator="containsText" dxfId="0" text="ICU N">
      <formula>NOT(ISERROR(SEARCH(("ICU N"),(P50))))</formula>
    </cfRule>
    <cfRule type="containsText" priority="32739" operator="containsText" dxfId="3" text="ICU">
      <formula>NOT(ISERROR(SEARCH(("ICU"),(P50))))</formula>
    </cfRule>
    <cfRule type="containsText" priority="32740" operator="containsText" dxfId="0" text="SWING">
      <formula>NOT(ISERROR(SEARCH(("SWING"),(P50))))</formula>
    </cfRule>
    <cfRule type="containsText" priority="32741" operator="containsText" dxfId="0" text="NF">
      <formula>NOT(ISERROR(SEARCH(("NF"),(P50))))</formula>
    </cfRule>
    <cfRule type="containsText" priority="32742" operator="containsText" dxfId="0" text="ICU N">
      <formula>NOT(ISERROR(SEARCH(("ICU N"),(P50))))</formula>
    </cfRule>
  </conditionalFormatting>
  <conditionalFormatting sqref="T55">
    <cfRule type="containsText" priority="32707" operator="containsText" dxfId="16" text="ED">
      <formula>NOT(ISERROR(SEARCH(("ED"),(T55))))</formula>
    </cfRule>
    <cfRule type="containsText" priority="32708" operator="containsText" dxfId="15" text="GERIATRIC">
      <formula>NOT(ISERROR(SEARCH(("GERIATRIC"),(T55))))</formula>
    </cfRule>
    <cfRule type="containsText" priority="32709" operator="containsText" dxfId="17" text="VACATION">
      <formula>NOT(ISERROR(SEARCH(("VACATION"),(T55))))</formula>
    </cfRule>
    <cfRule type="containsText" priority="32710" operator="containsText" dxfId="7" text="PATH">
      <formula>NOT(ISERROR(SEARCH(("PATH"),(T55))))</formula>
    </cfRule>
    <cfRule type="containsText" priority="32711" operator="containsText" dxfId="7" text="NEPHRO">
      <formula>NOT(ISERROR(SEARCH(("NEPHRO"),(T55))))</formula>
    </cfRule>
    <cfRule type="containsText" priority="32712" operator="containsText" dxfId="7" text="PULM">
      <formula>NOT(ISERROR(SEARCH(("PULM"),(T55))))</formula>
    </cfRule>
    <cfRule type="containsText" priority="32713" operator="containsText" dxfId="7" text="RADIOLOGY">
      <formula>NOT(ISERROR(SEARCH(("RADIOLOGY"),(T55))))</formula>
    </cfRule>
    <cfRule type="containsText" priority="32714" operator="containsText" dxfId="7" text="HEM/ONC">
      <formula>NOT(ISERROR(SEARCH(("HEM/ONC"),(T55))))</formula>
    </cfRule>
    <cfRule type="containsText" priority="32715" operator="containsText" dxfId="7" text="CARDIO">
      <formula>NOT(ISERROR(SEARCH(("CARDIO"),(T55))))</formula>
    </cfRule>
    <cfRule type="containsText" priority="32716" operator="containsText" dxfId="7" text="ID">
      <formula>NOT(ISERROR(SEARCH(("ID"),(T55))))</formula>
    </cfRule>
    <cfRule type="containsText" priority="32717" operator="containsText" dxfId="7" text="NEURO">
      <formula>NOT(ISERROR(SEARCH(("NEURO"),(T55))))</formula>
    </cfRule>
    <cfRule type="containsText" priority="32718" operator="containsText" dxfId="6" text="NEURO">
      <formula>NOT(ISERROR(SEARCH(("NEURO"),(T55))))</formula>
    </cfRule>
    <cfRule type="containsText" priority="32719" operator="containsText" dxfId="5" text="NEURO">
      <formula>NOT(ISERROR(SEARCH(("NEURO"),(T55))))</formula>
    </cfRule>
    <cfRule type="containsText" priority="32720" operator="containsText" dxfId="0" text="ICU N">
      <formula>NOT(ISERROR(SEARCH(("ICU N"),(T55))))</formula>
    </cfRule>
    <cfRule type="containsText" priority="32721" operator="containsText" dxfId="3" text="ICU">
      <formula>NOT(ISERROR(SEARCH(("ICU"),(T55))))</formula>
    </cfRule>
    <cfRule type="containsText" priority="32722" operator="containsText" dxfId="0" text="SWING">
      <formula>NOT(ISERROR(SEARCH(("SWING"),(T55))))</formula>
    </cfRule>
    <cfRule type="containsText" priority="32723" operator="containsText" dxfId="0" text="NF">
      <formula>NOT(ISERROR(SEARCH(("NF"),(T55))))</formula>
    </cfRule>
    <cfRule type="containsText" priority="32724" operator="containsText" dxfId="0" text="ICU N">
      <formula>NOT(ISERROR(SEARCH(("ICU N"),(T55))))</formula>
    </cfRule>
  </conditionalFormatting>
  <conditionalFormatting sqref="AN60">
    <cfRule type="containsText" priority="32509" operator="containsText" dxfId="16" text="ED">
      <formula>NOT(ISERROR(SEARCH(("ED"),(AN60))))</formula>
    </cfRule>
    <cfRule type="containsText" priority="32510" operator="containsText" dxfId="15" text="GERIATRIC">
      <formula>NOT(ISERROR(SEARCH(("GERIATRIC"),(AN60))))</formula>
    </cfRule>
    <cfRule type="containsText" priority="32511" operator="containsText" dxfId="17" text="VACATION">
      <formula>NOT(ISERROR(SEARCH(("VACATION"),(AN60))))</formula>
    </cfRule>
    <cfRule type="containsText" priority="32512" operator="containsText" dxfId="7" text="PATH">
      <formula>NOT(ISERROR(SEARCH(("PATH"),(AN60))))</formula>
    </cfRule>
    <cfRule type="containsText" priority="32513" operator="containsText" dxfId="7" text="NEPHRO">
      <formula>NOT(ISERROR(SEARCH(("NEPHRO"),(AN60))))</formula>
    </cfRule>
    <cfRule type="containsText" priority="32514" operator="containsText" dxfId="7" text="PULM">
      <formula>NOT(ISERROR(SEARCH(("PULM"),(AN60))))</formula>
    </cfRule>
    <cfRule type="containsText" priority="32515" operator="containsText" dxfId="7" text="RADIOLOGY">
      <formula>NOT(ISERROR(SEARCH(("RADIOLOGY"),(AN60))))</formula>
    </cfRule>
    <cfRule type="containsText" priority="32516" operator="containsText" dxfId="7" text="HEM/ONC">
      <formula>NOT(ISERROR(SEARCH(("HEM/ONC"),(AN60))))</formula>
    </cfRule>
    <cfRule type="containsText" priority="32517" operator="containsText" dxfId="7" text="CARDIO">
      <formula>NOT(ISERROR(SEARCH(("CARDIO"),(AN60))))</formula>
    </cfRule>
    <cfRule type="containsText" priority="32518" operator="containsText" dxfId="7" text="ID">
      <formula>NOT(ISERROR(SEARCH(("ID"),(AN60))))</formula>
    </cfRule>
    <cfRule type="containsText" priority="32519" operator="containsText" dxfId="7" text="NEURO">
      <formula>NOT(ISERROR(SEARCH(("NEURO"),(AN60))))</formula>
    </cfRule>
    <cfRule type="containsText" priority="32520" operator="containsText" dxfId="6" text="NEURO">
      <formula>NOT(ISERROR(SEARCH(("NEURO"),(AN60))))</formula>
    </cfRule>
    <cfRule type="containsText" priority="32521" operator="containsText" dxfId="5" text="NEURO">
      <formula>NOT(ISERROR(SEARCH(("NEURO"),(AN60))))</formula>
    </cfRule>
    <cfRule type="containsText" priority="32522" operator="containsText" dxfId="0" text="ICU N">
      <formula>NOT(ISERROR(SEARCH(("ICU N"),(AN60))))</formula>
    </cfRule>
    <cfRule type="containsText" priority="32523" operator="containsText" dxfId="3" text="ICU">
      <formula>NOT(ISERROR(SEARCH(("ICU"),(AN60))))</formula>
    </cfRule>
    <cfRule type="containsText" priority="32524" operator="containsText" dxfId="0" text="SWING">
      <formula>NOT(ISERROR(SEARCH(("SWING"),(AN60))))</formula>
    </cfRule>
    <cfRule type="containsText" priority="32525" operator="containsText" dxfId="0" text="NF">
      <formula>NOT(ISERROR(SEARCH(("NF"),(AN60))))</formula>
    </cfRule>
    <cfRule type="containsText" priority="32526" operator="containsText" dxfId="0" text="ICU N">
      <formula>NOT(ISERROR(SEARCH(("ICU N"),(AN60))))</formula>
    </cfRule>
  </conditionalFormatting>
  <conditionalFormatting sqref="M27:M28">
    <cfRule type="containsText" priority="32327" operator="containsText" dxfId="17" text="VACATION">
      <formula>NOT(ISERROR(SEARCH(("VACATION"),(M27))))</formula>
    </cfRule>
    <cfRule type="containsText" priority="32328" operator="containsText" dxfId="0" text="ICU N">
      <formula>NOT(ISERROR(SEARCH(("ICU N"),(M27))))</formula>
    </cfRule>
  </conditionalFormatting>
  <conditionalFormatting sqref="J27:J28">
    <cfRule type="containsText" priority="32268" operator="containsText" dxfId="17" text="VACATION">
      <formula>NOT(ISERROR(SEARCH(("VACATION"),(J27))))</formula>
    </cfRule>
  </conditionalFormatting>
  <conditionalFormatting sqref="BA27:BC27">
    <cfRule type="containsText" priority="32155" operator="containsText" dxfId="0" text="ICU N">
      <formula>NOT(ISERROR(SEARCH(("ICU N"),(BA27))))</formula>
    </cfRule>
  </conditionalFormatting>
  <conditionalFormatting sqref="AY61">
    <cfRule type="containsText" priority="32080" operator="containsText" dxfId="16" text="ED">
      <formula>NOT(ISERROR(SEARCH(("ED"),(AY61))))</formula>
    </cfRule>
    <cfRule type="containsText" priority="32081" operator="containsText" dxfId="15" text="GERIATRIC">
      <formula>NOT(ISERROR(SEARCH(("GERIATRIC"),(AY61))))</formula>
    </cfRule>
    <cfRule type="containsText" priority="32082" operator="containsText" dxfId="17" text="VACATION">
      <formula>NOT(ISERROR(SEARCH(("VACATION"),(AY61))))</formula>
    </cfRule>
    <cfRule type="containsText" priority="32083" operator="containsText" dxfId="7" text="PATH">
      <formula>NOT(ISERROR(SEARCH(("PATH"),(AY61))))</formula>
    </cfRule>
    <cfRule type="containsText" priority="32084" operator="containsText" dxfId="7" text="NEPHRO">
      <formula>NOT(ISERROR(SEARCH(("NEPHRO"),(AY61))))</formula>
    </cfRule>
    <cfRule type="containsText" priority="32085" operator="containsText" dxfId="7" text="PULM">
      <formula>NOT(ISERROR(SEARCH(("PULM"),(AY61))))</formula>
    </cfRule>
    <cfRule type="containsText" priority="32086" operator="containsText" dxfId="7" text="RADIOLOGY">
      <formula>NOT(ISERROR(SEARCH(("RADIOLOGY"),(AY61))))</formula>
    </cfRule>
    <cfRule type="containsText" priority="32087" operator="containsText" dxfId="7" text="HEM/ONC">
      <formula>NOT(ISERROR(SEARCH(("HEM/ONC"),(AY61))))</formula>
    </cfRule>
    <cfRule type="containsText" priority="32088" operator="containsText" dxfId="7" text="CARDIO">
      <formula>NOT(ISERROR(SEARCH(("CARDIO"),(AY61))))</formula>
    </cfRule>
    <cfRule type="containsText" priority="32089" operator="containsText" dxfId="7" text="ID">
      <formula>NOT(ISERROR(SEARCH(("ID"),(AY61))))</formula>
    </cfRule>
    <cfRule type="containsText" priority="32090" operator="containsText" dxfId="7" text="NEURO">
      <formula>NOT(ISERROR(SEARCH(("NEURO"),(AY61))))</formula>
    </cfRule>
    <cfRule type="containsText" priority="32091" operator="containsText" dxfId="6" text="NEURO">
      <formula>NOT(ISERROR(SEARCH(("NEURO"),(AY61))))</formula>
    </cfRule>
    <cfRule type="containsText" priority="32092" operator="containsText" dxfId="5" text="NEURO">
      <formula>NOT(ISERROR(SEARCH(("NEURO"),(AY61))))</formula>
    </cfRule>
    <cfRule type="containsText" priority="32093" operator="containsText" dxfId="0" text="ICU N">
      <formula>NOT(ISERROR(SEARCH(("ICU N"),(AY61))))</formula>
    </cfRule>
    <cfRule type="containsText" priority="32094" operator="containsText" dxfId="3" text="ICU">
      <formula>NOT(ISERROR(SEARCH(("ICU"),(AY61))))</formula>
    </cfRule>
    <cfRule type="containsText" priority="32095" operator="containsText" dxfId="0" text="SWING">
      <formula>NOT(ISERROR(SEARCH(("SWING"),(AY61))))</formula>
    </cfRule>
    <cfRule type="containsText" priority="32096" operator="containsText" dxfId="0" text="NF">
      <formula>NOT(ISERROR(SEARCH(("NF"),(AY61))))</formula>
    </cfRule>
    <cfRule type="containsText" priority="32097" operator="containsText" dxfId="0" text="ICU N">
      <formula>NOT(ISERROR(SEARCH(("ICU N"),(AY61))))</formula>
    </cfRule>
  </conditionalFormatting>
  <conditionalFormatting sqref="AO49">
    <cfRule type="containsText" priority="32056" operator="containsText" dxfId="17" text="VACATION">
      <formula>NOT(ISERROR(SEARCH(("VACATION"),(AO49))))</formula>
    </cfRule>
    <cfRule type="containsText" priority="32057" operator="containsText" dxfId="16" text="ED">
      <formula>NOT(ISERROR(SEARCH(("ED"),(AO49))))</formula>
    </cfRule>
    <cfRule type="containsText" priority="32058" operator="containsText" dxfId="15" text="GERIATRIC">
      <formula>NOT(ISERROR(SEARCH(("GERIATRIC"),(AO49))))</formula>
    </cfRule>
    <cfRule type="containsText" priority="32059" operator="containsText" dxfId="7" text="PATH">
      <formula>NOT(ISERROR(SEARCH(("PATH"),(AO49))))</formula>
    </cfRule>
    <cfRule type="containsText" priority="32060" operator="containsText" dxfId="7" text="NEPHRO">
      <formula>NOT(ISERROR(SEARCH(("NEPHRO"),(AO49))))</formula>
    </cfRule>
    <cfRule type="containsText" priority="32061" operator="containsText" dxfId="7" text="PULM">
      <formula>NOT(ISERROR(SEARCH(("PULM"),(AO49))))</formula>
    </cfRule>
    <cfRule type="containsText" priority="32062" operator="containsText" dxfId="7" text="RADIOLOGY">
      <formula>NOT(ISERROR(SEARCH(("RADIOLOGY"),(AO49))))</formula>
    </cfRule>
    <cfRule type="containsText" priority="32063" operator="containsText" dxfId="7" text="HEM/ONC">
      <formula>NOT(ISERROR(SEARCH(("HEM/ONC"),(AO49))))</formula>
    </cfRule>
    <cfRule type="containsText" priority="32064" operator="containsText" dxfId="7" text="CARDIO">
      <formula>NOT(ISERROR(SEARCH(("CARDIO"),(AO49))))</formula>
    </cfRule>
    <cfRule type="containsText" priority="32065" operator="containsText" dxfId="7" text="ID">
      <formula>NOT(ISERROR(SEARCH(("ID"),(AO49))))</formula>
    </cfRule>
    <cfRule type="containsText" priority="32066" operator="containsText" dxfId="7" text="NEURO">
      <formula>NOT(ISERROR(SEARCH(("NEURO"),(AO49))))</formula>
    </cfRule>
    <cfRule type="containsText" priority="32067" operator="containsText" dxfId="6" text="NEURO">
      <formula>NOT(ISERROR(SEARCH(("NEURO"),(AO49))))</formula>
    </cfRule>
    <cfRule type="containsText" priority="32068" operator="containsText" dxfId="5" text="NEURO">
      <formula>NOT(ISERROR(SEARCH(("NEURO"),(AO49))))</formula>
    </cfRule>
    <cfRule type="containsText" priority="32069" operator="containsText" dxfId="0" text="ICU N">
      <formula>NOT(ISERROR(SEARCH(("ICU N"),(AO49))))</formula>
    </cfRule>
    <cfRule type="containsText" priority="32070" operator="containsText" dxfId="3" text="ICU">
      <formula>NOT(ISERROR(SEARCH(("ICU"),(AO49))))</formula>
    </cfRule>
    <cfRule type="containsText" priority="32071" operator="containsText" dxfId="0" text="SWING">
      <formula>NOT(ISERROR(SEARCH(("SWING"),(AO49))))</formula>
    </cfRule>
    <cfRule type="containsText" priority="32072" operator="containsText" dxfId="0" text="NF">
      <formula>NOT(ISERROR(SEARCH(("NF"),(AO49))))</formula>
    </cfRule>
  </conditionalFormatting>
  <conditionalFormatting sqref="B8">
    <cfRule type="containsText" priority="32022" operator="containsText" dxfId="17" text="VACATION">
      <formula>NOT(ISERROR(SEARCH(("VACATION"),(B8))))</formula>
    </cfRule>
    <cfRule type="containsText" priority="32023" operator="containsText" dxfId="16" text="ED">
      <formula>NOT(ISERROR(SEARCH(("ED"),(B8))))</formula>
    </cfRule>
    <cfRule type="containsText" priority="32024" operator="containsText" dxfId="15" text="GERIATRIC">
      <formula>NOT(ISERROR(SEARCH(("GERIATRIC"),(B8))))</formula>
    </cfRule>
    <cfRule type="containsText" priority="32025" operator="containsText" dxfId="7" text="PATH">
      <formula>NOT(ISERROR(SEARCH(("PATH"),(B8))))</formula>
    </cfRule>
    <cfRule type="containsText" priority="32026" operator="containsText" dxfId="7" text="NEPHRO">
      <formula>NOT(ISERROR(SEARCH(("NEPHRO"),(B8))))</formula>
    </cfRule>
    <cfRule type="containsText" priority="32027" operator="containsText" dxfId="7" text="PULM">
      <formula>NOT(ISERROR(SEARCH(("PULM"),(B8))))</formula>
    </cfRule>
    <cfRule type="containsText" priority="32028" operator="containsText" dxfId="7" text="RADIOLOGY">
      <formula>NOT(ISERROR(SEARCH(("RADIOLOGY"),(B8))))</formula>
    </cfRule>
    <cfRule type="containsText" priority="32029" operator="containsText" dxfId="7" text="HEM/ONC">
      <formula>NOT(ISERROR(SEARCH(("HEM/ONC"),(B8))))</formula>
    </cfRule>
    <cfRule type="containsText" priority="32030" operator="containsText" dxfId="7" text="CARDIO">
      <formula>NOT(ISERROR(SEARCH(("CARDIO"),(B8))))</formula>
    </cfRule>
    <cfRule type="containsText" priority="32031" operator="containsText" dxfId="7" text="ID">
      <formula>NOT(ISERROR(SEARCH(("ID"),(B8))))</formula>
    </cfRule>
    <cfRule type="containsText" priority="32032" operator="containsText" dxfId="7" text="NEURO">
      <formula>NOT(ISERROR(SEARCH(("NEURO"),(B8))))</formula>
    </cfRule>
    <cfRule type="containsText" priority="32033" operator="containsText" dxfId="6" text="NEURO">
      <formula>NOT(ISERROR(SEARCH(("NEURO"),(B8))))</formula>
    </cfRule>
    <cfRule type="containsText" priority="32034" operator="containsText" dxfId="5" text="NEURO">
      <formula>NOT(ISERROR(SEARCH(("NEURO"),(B8))))</formula>
    </cfRule>
    <cfRule type="containsText" priority="32035" operator="containsText" dxfId="0" text="ICU N">
      <formula>NOT(ISERROR(SEARCH(("ICU N"),(B8))))</formula>
    </cfRule>
    <cfRule type="containsText" priority="32036" operator="containsText" dxfId="3" text="ICU">
      <formula>NOT(ISERROR(SEARCH(("ICU"),(B8))))</formula>
    </cfRule>
    <cfRule type="containsText" priority="32037" operator="containsText" dxfId="0" text="SWING">
      <formula>NOT(ISERROR(SEARCH(("SWING"),(B8))))</formula>
    </cfRule>
    <cfRule type="containsText" priority="32038" operator="containsText" dxfId="0" text="NF">
      <formula>NOT(ISERROR(SEARCH(("NF"),(B8))))</formula>
    </cfRule>
  </conditionalFormatting>
  <conditionalFormatting sqref="S5">
    <cfRule type="containsText" priority="31995" operator="containsText" dxfId="17" text="VACATION">
      <formula>NOT(ISERROR(SEARCH(("VACATION"),(S5))))</formula>
    </cfRule>
    <cfRule type="containsText" priority="31996" operator="containsText" dxfId="0" text="ICU N">
      <formula>NOT(ISERROR(SEARCH(("ICU N"),(S5))))</formula>
    </cfRule>
  </conditionalFormatting>
  <conditionalFormatting sqref="AR13">
    <cfRule type="containsText" priority="31901" operator="containsText" dxfId="0" text="ICU N">
      <formula>NOT(ISERROR(SEARCH(("ICU N"),(AR13))))</formula>
    </cfRule>
  </conditionalFormatting>
  <conditionalFormatting sqref="AV61">
    <cfRule type="containsText" priority="31904" operator="containsText" dxfId="16" text="ED">
      <formula>NOT(ISERROR(SEARCH(("ED"),(AV61))))</formula>
    </cfRule>
    <cfRule type="containsText" priority="31905" operator="containsText" dxfId="15" text="GERIATRIC">
      <formula>NOT(ISERROR(SEARCH(("GERIATRIC"),(AV61))))</formula>
    </cfRule>
    <cfRule type="containsText" priority="31906" operator="containsText" dxfId="17" text="VACATION">
      <formula>NOT(ISERROR(SEARCH(("VACATION"),(AV61))))</formula>
    </cfRule>
    <cfRule type="containsText" priority="31907" operator="containsText" dxfId="7" text="PATH">
      <formula>NOT(ISERROR(SEARCH(("PATH"),(AV61))))</formula>
    </cfRule>
    <cfRule type="containsText" priority="31908" operator="containsText" dxfId="7" text="NEPHRO">
      <formula>NOT(ISERROR(SEARCH(("NEPHRO"),(AV61))))</formula>
    </cfRule>
    <cfRule type="containsText" priority="31909" operator="containsText" dxfId="7" text="PULM">
      <formula>NOT(ISERROR(SEARCH(("PULM"),(AV61))))</formula>
    </cfRule>
    <cfRule type="containsText" priority="31910" operator="containsText" dxfId="7" text="RADIOLOGY">
      <formula>NOT(ISERROR(SEARCH(("RADIOLOGY"),(AV61))))</formula>
    </cfRule>
    <cfRule type="containsText" priority="31911" operator="containsText" dxfId="7" text="HEM/ONC">
      <formula>NOT(ISERROR(SEARCH(("HEM/ONC"),(AV61))))</formula>
    </cfRule>
    <cfRule type="containsText" priority="31912" operator="containsText" dxfId="7" text="CARDIO">
      <formula>NOT(ISERROR(SEARCH(("CARDIO"),(AV61))))</formula>
    </cfRule>
    <cfRule type="containsText" priority="31913" operator="containsText" dxfId="7" text="ID">
      <formula>NOT(ISERROR(SEARCH(("ID"),(AV61))))</formula>
    </cfRule>
    <cfRule type="containsText" priority="31914" operator="containsText" dxfId="7" text="NEURO">
      <formula>NOT(ISERROR(SEARCH(("NEURO"),(AV61))))</formula>
    </cfRule>
    <cfRule type="containsText" priority="31915" operator="containsText" dxfId="6" text="NEURO">
      <formula>NOT(ISERROR(SEARCH(("NEURO"),(AV61))))</formula>
    </cfRule>
    <cfRule type="containsText" priority="31916" operator="containsText" dxfId="5" text="NEURO">
      <formula>NOT(ISERROR(SEARCH(("NEURO"),(AV61))))</formula>
    </cfRule>
    <cfRule type="containsText" priority="31917" operator="containsText" dxfId="0" text="ICU N">
      <formula>NOT(ISERROR(SEARCH(("ICU N"),(AV61))))</formula>
    </cfRule>
    <cfRule type="containsText" priority="31918" operator="containsText" dxfId="3" text="ICU">
      <formula>NOT(ISERROR(SEARCH(("ICU"),(AV61))))</formula>
    </cfRule>
    <cfRule type="containsText" priority="31919" operator="containsText" dxfId="0" text="SWING">
      <formula>NOT(ISERROR(SEARCH(("SWING"),(AV61))))</formula>
    </cfRule>
    <cfRule type="containsText" priority="31920" operator="containsText" dxfId="0" text="NF">
      <formula>NOT(ISERROR(SEARCH(("NF"),(AV61))))</formula>
    </cfRule>
    <cfRule type="containsText" priority="31921" operator="containsText" dxfId="0" text="ICU N">
      <formula>NOT(ISERROR(SEARCH(("ICU N"),(AV61))))</formula>
    </cfRule>
  </conditionalFormatting>
  <conditionalFormatting sqref="AH30">
    <cfRule type="containsText" priority="31902" operator="containsText" dxfId="17" text="VACATION">
      <formula>NOT(ISERROR(SEARCH(("VACATION"),(AH30))))</formula>
    </cfRule>
    <cfRule type="containsText" priority="31903" operator="containsText" dxfId="0" text="ICU N">
      <formula>NOT(ISERROR(SEARCH(("ICU N"),(AH30))))</formula>
    </cfRule>
  </conditionalFormatting>
  <conditionalFormatting sqref="V56">
    <cfRule type="containsText" priority="31792" operator="containsText" dxfId="16" text="ED">
      <formula>NOT(ISERROR(SEARCH(("ED"),(V56))))</formula>
    </cfRule>
    <cfRule type="containsText" priority="31793" operator="containsText" dxfId="15" text="GERIATRIC">
      <formula>NOT(ISERROR(SEARCH(("GERIATRIC"),(V56))))</formula>
    </cfRule>
    <cfRule type="containsText" priority="31794" operator="containsText" dxfId="17" text="VACATION">
      <formula>NOT(ISERROR(SEARCH(("VACATION"),(V56))))</formula>
    </cfRule>
    <cfRule type="containsText" priority="31795" operator="containsText" dxfId="7" text="PATH">
      <formula>NOT(ISERROR(SEARCH(("PATH"),(V56))))</formula>
    </cfRule>
    <cfRule type="containsText" priority="31796" operator="containsText" dxfId="7" text="NEPHRO">
      <formula>NOT(ISERROR(SEARCH(("NEPHRO"),(V56))))</formula>
    </cfRule>
    <cfRule type="containsText" priority="31797" operator="containsText" dxfId="7" text="PULM">
      <formula>NOT(ISERROR(SEARCH(("PULM"),(V56))))</formula>
    </cfRule>
    <cfRule type="containsText" priority="31798" operator="containsText" dxfId="7" text="RADIOLOGY">
      <formula>NOT(ISERROR(SEARCH(("RADIOLOGY"),(V56))))</formula>
    </cfRule>
    <cfRule type="containsText" priority="31799" operator="containsText" dxfId="7" text="HEM/ONC">
      <formula>NOT(ISERROR(SEARCH(("HEM/ONC"),(V56))))</formula>
    </cfRule>
    <cfRule type="containsText" priority="31800" operator="containsText" dxfId="7" text="CARDIO">
      <formula>NOT(ISERROR(SEARCH(("CARDIO"),(V56))))</formula>
    </cfRule>
    <cfRule type="containsText" priority="31801" operator="containsText" dxfId="7" text="ID">
      <formula>NOT(ISERROR(SEARCH(("ID"),(V56))))</formula>
    </cfRule>
    <cfRule type="containsText" priority="31802" operator="containsText" dxfId="7" text="NEURO">
      <formula>NOT(ISERROR(SEARCH(("NEURO"),(V56))))</formula>
    </cfRule>
    <cfRule type="containsText" priority="31803" operator="containsText" dxfId="6" text="NEURO">
      <formula>NOT(ISERROR(SEARCH(("NEURO"),(V56))))</formula>
    </cfRule>
    <cfRule type="containsText" priority="31804" operator="containsText" dxfId="5" text="NEURO">
      <formula>NOT(ISERROR(SEARCH(("NEURO"),(V56))))</formula>
    </cfRule>
    <cfRule type="containsText" priority="31805" operator="containsText" dxfId="0" text="ICU N">
      <formula>NOT(ISERROR(SEARCH(("ICU N"),(V56))))</formula>
    </cfRule>
    <cfRule type="containsText" priority="31806" operator="containsText" dxfId="3" text="ICU">
      <formula>NOT(ISERROR(SEARCH(("ICU"),(V56))))</formula>
    </cfRule>
    <cfRule type="containsText" priority="31807" operator="containsText" dxfId="0" text="SWING">
      <formula>NOT(ISERROR(SEARCH(("SWING"),(V56))))</formula>
    </cfRule>
    <cfRule type="containsText" priority="31808" operator="containsText" dxfId="0" text="NF">
      <formula>NOT(ISERROR(SEARCH(("NF"),(V56))))</formula>
    </cfRule>
    <cfRule type="containsText" priority="31809" operator="containsText" dxfId="0" text="ICU N">
      <formula>NOT(ISERROR(SEARCH(("ICU N"),(V56))))</formula>
    </cfRule>
  </conditionalFormatting>
  <conditionalFormatting sqref="AP61">
    <cfRule type="containsText" priority="31592" operator="containsText" dxfId="16" text="ED">
      <formula>NOT(ISERROR(SEARCH(("ED"),(AP61))))</formula>
    </cfRule>
    <cfRule type="containsText" priority="31593" operator="containsText" dxfId="15" text="GERIATRIC">
      <formula>NOT(ISERROR(SEARCH(("GERIATRIC"),(AP61))))</formula>
    </cfRule>
    <cfRule type="containsText" priority="31594" operator="containsText" dxfId="17" text="VACATION">
      <formula>NOT(ISERROR(SEARCH(("VACATION"),(AP61))))</formula>
    </cfRule>
    <cfRule type="containsText" priority="31595" operator="containsText" dxfId="7" text="PATH">
      <formula>NOT(ISERROR(SEARCH(("PATH"),(AP61))))</formula>
    </cfRule>
    <cfRule type="containsText" priority="31596" operator="containsText" dxfId="7" text="NEPHRO">
      <formula>NOT(ISERROR(SEARCH(("NEPHRO"),(AP61))))</formula>
    </cfRule>
    <cfRule type="containsText" priority="31597" operator="containsText" dxfId="7" text="PULM">
      <formula>NOT(ISERROR(SEARCH(("PULM"),(AP61))))</formula>
    </cfRule>
    <cfRule type="containsText" priority="31598" operator="containsText" dxfId="7" text="RADIOLOGY">
      <formula>NOT(ISERROR(SEARCH(("RADIOLOGY"),(AP61))))</formula>
    </cfRule>
    <cfRule type="containsText" priority="31599" operator="containsText" dxfId="7" text="HEM/ONC">
      <formula>NOT(ISERROR(SEARCH(("HEM/ONC"),(AP61))))</formula>
    </cfRule>
    <cfRule type="containsText" priority="31600" operator="containsText" dxfId="7" text="CARDIO">
      <formula>NOT(ISERROR(SEARCH(("CARDIO"),(AP61))))</formula>
    </cfRule>
    <cfRule type="containsText" priority="31601" operator="containsText" dxfId="7" text="ID">
      <formula>NOT(ISERROR(SEARCH(("ID"),(AP61))))</formula>
    </cfRule>
    <cfRule type="containsText" priority="31602" operator="containsText" dxfId="7" text="NEURO">
      <formula>NOT(ISERROR(SEARCH(("NEURO"),(AP61))))</formula>
    </cfRule>
    <cfRule type="containsText" priority="31603" operator="containsText" dxfId="6" text="NEURO">
      <formula>NOT(ISERROR(SEARCH(("NEURO"),(AP61))))</formula>
    </cfRule>
    <cfRule type="containsText" priority="31604" operator="containsText" dxfId="5" text="NEURO">
      <formula>NOT(ISERROR(SEARCH(("NEURO"),(AP61))))</formula>
    </cfRule>
    <cfRule type="containsText" priority="31605" operator="containsText" dxfId="0" text="ICU N">
      <formula>NOT(ISERROR(SEARCH(("ICU N"),(AP61))))</formula>
    </cfRule>
    <cfRule type="containsText" priority="31606" operator="containsText" dxfId="3" text="ICU">
      <formula>NOT(ISERROR(SEARCH(("ICU"),(AP61))))</formula>
    </cfRule>
    <cfRule type="containsText" priority="31607" operator="containsText" dxfId="0" text="SWING">
      <formula>NOT(ISERROR(SEARCH(("SWING"),(AP61))))</formula>
    </cfRule>
    <cfRule type="containsText" priority="31608" operator="containsText" dxfId="0" text="NF">
      <formula>NOT(ISERROR(SEARCH(("NF"),(AP61))))</formula>
    </cfRule>
    <cfRule type="containsText" priority="31609" operator="containsText" dxfId="0" text="ICU N">
      <formula>NOT(ISERROR(SEARCH(("ICU N"),(AP61))))</formula>
    </cfRule>
  </conditionalFormatting>
  <conditionalFormatting sqref="O50">
    <cfRule type="containsText" priority="31538" operator="containsText" dxfId="16" text="ED">
      <formula>NOT(ISERROR(SEARCH(("ED"),(O50))))</formula>
    </cfRule>
    <cfRule type="containsText" priority="31539" operator="containsText" dxfId="15" text="GERIATRIC">
      <formula>NOT(ISERROR(SEARCH(("GERIATRIC"),(O50))))</formula>
    </cfRule>
    <cfRule type="containsText" priority="31540" operator="containsText" dxfId="17" text="VACATION">
      <formula>NOT(ISERROR(SEARCH(("VACATION"),(O50))))</formula>
    </cfRule>
    <cfRule type="containsText" priority="31541" operator="containsText" dxfId="7" text="PATH">
      <formula>NOT(ISERROR(SEARCH(("PATH"),(O50))))</formula>
    </cfRule>
    <cfRule type="containsText" priority="31542" operator="containsText" dxfId="7" text="NEPHRO">
      <formula>NOT(ISERROR(SEARCH(("NEPHRO"),(O50))))</formula>
    </cfRule>
    <cfRule type="containsText" priority="31543" operator="containsText" dxfId="7" text="PULM">
      <formula>NOT(ISERROR(SEARCH(("PULM"),(O50))))</formula>
    </cfRule>
    <cfRule type="containsText" priority="31544" operator="containsText" dxfId="7" text="RADIOLOGY">
      <formula>NOT(ISERROR(SEARCH(("RADIOLOGY"),(O50))))</formula>
    </cfRule>
    <cfRule type="containsText" priority="31545" operator="containsText" dxfId="7" text="HEM/ONC">
      <formula>NOT(ISERROR(SEARCH(("HEM/ONC"),(O50))))</formula>
    </cfRule>
    <cfRule type="containsText" priority="31546" operator="containsText" dxfId="7" text="CARDIO">
      <formula>NOT(ISERROR(SEARCH(("CARDIO"),(O50))))</formula>
    </cfRule>
    <cfRule type="containsText" priority="31547" operator="containsText" dxfId="7" text="ID">
      <formula>NOT(ISERROR(SEARCH(("ID"),(O50))))</formula>
    </cfRule>
    <cfRule type="containsText" priority="31548" operator="containsText" dxfId="7" text="NEURO">
      <formula>NOT(ISERROR(SEARCH(("NEURO"),(O50))))</formula>
    </cfRule>
    <cfRule type="containsText" priority="31549" operator="containsText" dxfId="6" text="NEURO">
      <formula>NOT(ISERROR(SEARCH(("NEURO"),(O50))))</formula>
    </cfRule>
    <cfRule type="containsText" priority="31550" operator="containsText" dxfId="5" text="NEURO">
      <formula>NOT(ISERROR(SEARCH(("NEURO"),(O50))))</formula>
    </cfRule>
    <cfRule type="containsText" priority="31551" operator="containsText" dxfId="0" text="ICU N">
      <formula>NOT(ISERROR(SEARCH(("ICU N"),(O50))))</formula>
    </cfRule>
    <cfRule type="containsText" priority="31552" operator="containsText" dxfId="3" text="ICU">
      <formula>NOT(ISERROR(SEARCH(("ICU"),(O50))))</formula>
    </cfRule>
    <cfRule type="containsText" priority="31553" operator="containsText" dxfId="0" text="SWING">
      <formula>NOT(ISERROR(SEARCH(("SWING"),(O50))))</formula>
    </cfRule>
    <cfRule type="containsText" priority="31554" operator="containsText" dxfId="0" text="NF">
      <formula>NOT(ISERROR(SEARCH(("NF"),(O50))))</formula>
    </cfRule>
    <cfRule type="containsText" priority="31555" operator="containsText" dxfId="0" text="ICU N">
      <formula>NOT(ISERROR(SEARCH(("ICU N"),(O50))))</formula>
    </cfRule>
  </conditionalFormatting>
  <conditionalFormatting sqref="J33">
    <cfRule type="containsText" priority="31389" operator="containsText" dxfId="16" text="ED">
      <formula>NOT(ISERROR(SEARCH(("ED"),(J33))))</formula>
    </cfRule>
    <cfRule type="containsText" priority="31390" operator="containsText" dxfId="15" text="GERIATRIC">
      <formula>NOT(ISERROR(SEARCH(("GERIATRIC"),(J33))))</formula>
    </cfRule>
    <cfRule type="containsText" priority="31391" operator="containsText" dxfId="17" text="VACATION">
      <formula>NOT(ISERROR(SEARCH(("VACATION"),(J33))))</formula>
    </cfRule>
    <cfRule type="containsText" priority="31392" operator="containsText" dxfId="7" text="PATH">
      <formula>NOT(ISERROR(SEARCH(("PATH"),(J33))))</formula>
    </cfRule>
    <cfRule type="containsText" priority="31393" operator="containsText" dxfId="7" text="NEPHRO">
      <formula>NOT(ISERROR(SEARCH(("NEPHRO"),(J33))))</formula>
    </cfRule>
    <cfRule type="containsText" priority="31394" operator="containsText" dxfId="7" text="PULM">
      <formula>NOT(ISERROR(SEARCH(("PULM"),(J33))))</formula>
    </cfRule>
    <cfRule type="containsText" priority="31395" operator="containsText" dxfId="7" text="RADIOLOGY">
      <formula>NOT(ISERROR(SEARCH(("RADIOLOGY"),(J33))))</formula>
    </cfRule>
    <cfRule type="containsText" priority="31396" operator="containsText" dxfId="7" text="HEM/ONC">
      <formula>NOT(ISERROR(SEARCH(("HEM/ONC"),(J33))))</formula>
    </cfRule>
    <cfRule type="containsText" priority="31397" operator="containsText" dxfId="7" text="CARDIO">
      <formula>NOT(ISERROR(SEARCH(("CARDIO"),(J33))))</formula>
    </cfRule>
    <cfRule type="containsText" priority="31398" operator="containsText" dxfId="7" text="ID">
      <formula>NOT(ISERROR(SEARCH(("ID"),(J33))))</formula>
    </cfRule>
    <cfRule type="containsText" priority="31399" operator="containsText" dxfId="7" text="NEURO">
      <formula>NOT(ISERROR(SEARCH(("NEURO"),(J33))))</formula>
    </cfRule>
    <cfRule type="containsText" priority="31400" operator="containsText" dxfId="6" text="NEURO">
      <formula>NOT(ISERROR(SEARCH(("NEURO"),(J33))))</formula>
    </cfRule>
    <cfRule type="containsText" priority="31401" operator="containsText" dxfId="5" text="NEURO">
      <formula>NOT(ISERROR(SEARCH(("NEURO"),(J33))))</formula>
    </cfRule>
    <cfRule type="containsText" priority="31402" operator="containsText" dxfId="0" text="ICU N">
      <formula>NOT(ISERROR(SEARCH(("ICU N"),(J33))))</formula>
    </cfRule>
    <cfRule type="containsText" priority="31403" operator="containsText" dxfId="3" text="ICU">
      <formula>NOT(ISERROR(SEARCH(("ICU"),(J33))))</formula>
    </cfRule>
    <cfRule type="containsText" priority="31404" operator="containsText" dxfId="0" text="SWING">
      <formula>NOT(ISERROR(SEARCH(("SWING"),(J33))))</formula>
    </cfRule>
    <cfRule type="containsText" priority="31405" operator="containsText" dxfId="0" text="NF">
      <formula>NOT(ISERROR(SEARCH(("NF"),(J33))))</formula>
    </cfRule>
    <cfRule type="containsText" priority="31406" operator="containsText" dxfId="0" text="ICU N">
      <formula>NOT(ISERROR(SEARCH(("ICU N"),(J33))))</formula>
    </cfRule>
  </conditionalFormatting>
  <conditionalFormatting sqref="BC18:BC19">
    <cfRule type="containsText" priority="31282" operator="containsText" dxfId="0" text="ICU N">
      <formula>NOT(ISERROR(SEARCH(("ICU N"),(BC18))))</formula>
    </cfRule>
    <cfRule type="containsText" priority="22462" operator="containsText" dxfId="0" text="ICU N">
      <formula>NOT(ISERROR(SEARCH(("ICU N"),(BC18))))</formula>
    </cfRule>
  </conditionalFormatting>
  <conditionalFormatting sqref="BB11:BC11">
    <cfRule type="containsText" priority="31280" operator="containsText" dxfId="0" text="ICU N">
      <formula>NOT(ISERROR(SEARCH(("ICU N"),(BB11))))</formula>
    </cfRule>
  </conditionalFormatting>
  <conditionalFormatting sqref="BC8:BC9 BC11">
    <cfRule type="containsText" priority="31277" operator="containsText" dxfId="0" text="ICU N">
      <formula>NOT(ISERROR(SEARCH(("ICU N"),(BC8))))</formula>
    </cfRule>
  </conditionalFormatting>
  <conditionalFormatting sqref="AT29:AU29">
    <cfRule type="containsText" priority="31232" operator="containsText" dxfId="7" text="PATH">
      <formula>NOT(ISERROR(SEARCH(("PATH"),(AT29))))</formula>
    </cfRule>
    <cfRule type="containsText" priority="31233" operator="containsText" dxfId="7" text="NEPHRO">
      <formula>NOT(ISERROR(SEARCH(("NEPHRO"),(AT29))))</formula>
    </cfRule>
    <cfRule type="containsText" priority="31234" operator="containsText" dxfId="7" text="PULM">
      <formula>NOT(ISERROR(SEARCH(("PULM"),(AT29))))</formula>
    </cfRule>
    <cfRule type="containsText" priority="31235" operator="containsText" dxfId="7" text="RADIOLOGY">
      <formula>NOT(ISERROR(SEARCH(("RADIOLOGY"),(AT29))))</formula>
    </cfRule>
    <cfRule type="containsText" priority="31236" operator="containsText" dxfId="7" text="HEM/ONC">
      <formula>NOT(ISERROR(SEARCH(("HEM/ONC"),(AT29))))</formula>
    </cfRule>
    <cfRule type="containsText" priority="31237" operator="containsText" dxfId="7" text="CARDIO">
      <formula>NOT(ISERROR(SEARCH(("CARDIO"),(AT29))))</formula>
    </cfRule>
    <cfRule type="containsText" priority="31238" operator="containsText" dxfId="7" text="ID">
      <formula>NOT(ISERROR(SEARCH(("ID"),(AT29))))</formula>
    </cfRule>
    <cfRule type="containsText" priority="31239" operator="containsText" dxfId="7" text="NEURO">
      <formula>NOT(ISERROR(SEARCH(("NEURO"),(AT29))))</formula>
    </cfRule>
    <cfRule type="containsText" priority="31240" operator="containsText" dxfId="6" text="NEURO">
      <formula>NOT(ISERROR(SEARCH(("NEURO"),(AT29))))</formula>
    </cfRule>
    <cfRule type="containsText" priority="31241" operator="containsText" dxfId="5" text="NEURO">
      <formula>NOT(ISERROR(SEARCH(("NEURO"),(AT29))))</formula>
    </cfRule>
    <cfRule type="containsText" priority="31242" operator="containsText" dxfId="0" text="ICU N">
      <formula>NOT(ISERROR(SEARCH(("ICU N"),(AT29))))</formula>
    </cfRule>
    <cfRule type="containsText" priority="31243" operator="containsText" dxfId="3" text="ICU">
      <formula>NOT(ISERROR(SEARCH(("ICU"),(AT29))))</formula>
    </cfRule>
    <cfRule type="containsText" priority="31244" operator="containsText" dxfId="0" text="SWING">
      <formula>NOT(ISERROR(SEARCH(("SWING"),(AT29))))</formula>
    </cfRule>
    <cfRule type="containsText" priority="31245" operator="containsText" dxfId="0" text="NF">
      <formula>NOT(ISERROR(SEARCH(("NF"),(AT29))))</formula>
    </cfRule>
    <cfRule type="containsText" priority="31246" operator="containsText" dxfId="0" text="ICU N">
      <formula>NOT(ISERROR(SEARCH(("ICU N"),(AT29))))</formula>
    </cfRule>
  </conditionalFormatting>
  <conditionalFormatting sqref="AT23">
    <cfRule type="containsText" priority="31203" operator="containsText" dxfId="7" text="PATH">
      <formula>NOT(ISERROR(SEARCH(("PATH"),(AT23))))</formula>
    </cfRule>
    <cfRule type="containsText" priority="31204" operator="containsText" dxfId="7" text="NEPHRO">
      <formula>NOT(ISERROR(SEARCH(("NEPHRO"),(AT23))))</formula>
    </cfRule>
    <cfRule type="containsText" priority="31205" operator="containsText" dxfId="7" text="PULM">
      <formula>NOT(ISERROR(SEARCH(("PULM"),(AT23))))</formula>
    </cfRule>
    <cfRule type="containsText" priority="31206" operator="containsText" dxfId="7" text="RADIOLOGY">
      <formula>NOT(ISERROR(SEARCH(("RADIOLOGY"),(AT23))))</formula>
    </cfRule>
    <cfRule type="containsText" priority="31207" operator="containsText" dxfId="7" text="HEM/ONC">
      <formula>NOT(ISERROR(SEARCH(("HEM/ONC"),(AT23))))</formula>
    </cfRule>
    <cfRule type="containsText" priority="31208" operator="containsText" dxfId="7" text="CARDIO">
      <formula>NOT(ISERROR(SEARCH(("CARDIO"),(AT23))))</formula>
    </cfRule>
    <cfRule type="containsText" priority="31209" operator="containsText" dxfId="7" text="ID">
      <formula>NOT(ISERROR(SEARCH(("ID"),(AT23))))</formula>
    </cfRule>
    <cfRule type="containsText" priority="31210" operator="containsText" dxfId="7" text="NEURO">
      <formula>NOT(ISERROR(SEARCH(("NEURO"),(AT23))))</formula>
    </cfRule>
    <cfRule type="containsText" priority="31211" operator="containsText" dxfId="6" text="NEURO">
      <formula>NOT(ISERROR(SEARCH(("NEURO"),(AT23))))</formula>
    </cfRule>
    <cfRule type="containsText" priority="31212" operator="containsText" dxfId="5" text="NEURO">
      <formula>NOT(ISERROR(SEARCH(("NEURO"),(AT23))))</formula>
    </cfRule>
    <cfRule type="containsText" priority="31213" operator="containsText" dxfId="0" text="ICU N">
      <formula>NOT(ISERROR(SEARCH(("ICU N"),(AT23))))</formula>
    </cfRule>
    <cfRule type="containsText" priority="31214" operator="containsText" dxfId="3" text="ICU">
      <formula>NOT(ISERROR(SEARCH(("ICU"),(AT23))))</formula>
    </cfRule>
    <cfRule type="containsText" priority="31215" operator="containsText" dxfId="0" text="SWING">
      <formula>NOT(ISERROR(SEARCH(("SWING"),(AT23))))</formula>
    </cfRule>
    <cfRule type="containsText" priority="31216" operator="containsText" dxfId="0" text="NF">
      <formula>NOT(ISERROR(SEARCH(("NF"),(AT23))))</formula>
    </cfRule>
    <cfRule type="containsText" priority="31217" operator="containsText" dxfId="0" text="ICU N">
      <formula>NOT(ISERROR(SEARCH(("ICU N"),(AT23))))</formula>
    </cfRule>
  </conditionalFormatting>
  <conditionalFormatting sqref="M27">
    <cfRule type="containsText" priority="31153" operator="containsText" dxfId="17" text="VACATION">
      <formula>NOT(ISERROR(SEARCH(("VACATION"),(M27))))</formula>
    </cfRule>
    <cfRule type="containsText" priority="31154" operator="containsText" dxfId="0" text="ICU N">
      <formula>NOT(ISERROR(SEARCH(("ICU N"),(M27))))</formula>
    </cfRule>
  </conditionalFormatting>
  <conditionalFormatting sqref="AA41">
    <cfRule type="containsText" priority="31045" operator="containsText" dxfId="7" text="PATH">
      <formula>NOT(ISERROR(SEARCH(("PATH"),(AA41))))</formula>
    </cfRule>
    <cfRule type="containsText" priority="31046" operator="containsText" dxfId="7" text="NEPHRO">
      <formula>NOT(ISERROR(SEARCH(("NEPHRO"),(AA41))))</formula>
    </cfRule>
    <cfRule type="containsText" priority="31047" operator="containsText" dxfId="7" text="PULM">
      <formula>NOT(ISERROR(SEARCH(("PULM"),(AA41))))</formula>
    </cfRule>
    <cfRule type="containsText" priority="31048" operator="containsText" dxfId="7" text="RADIOLOGY">
      <formula>NOT(ISERROR(SEARCH(("RADIOLOGY"),(AA41))))</formula>
    </cfRule>
    <cfRule type="containsText" priority="31049" operator="containsText" dxfId="7" text="HEM/ONC">
      <formula>NOT(ISERROR(SEARCH(("HEM/ONC"),(AA41))))</formula>
    </cfRule>
    <cfRule type="containsText" priority="31050" operator="containsText" dxfId="7" text="CARDIO">
      <formula>NOT(ISERROR(SEARCH(("CARDIO"),(AA41))))</formula>
    </cfRule>
    <cfRule type="containsText" priority="31051" operator="containsText" dxfId="7" text="ID">
      <formula>NOT(ISERROR(SEARCH(("ID"),(AA41))))</formula>
    </cfRule>
    <cfRule type="containsText" priority="31052" operator="containsText" dxfId="7" text="NEURO">
      <formula>NOT(ISERROR(SEARCH(("NEURO"),(AA41))))</formula>
    </cfRule>
    <cfRule type="containsText" priority="31053" operator="containsText" dxfId="6" text="NEURO">
      <formula>NOT(ISERROR(SEARCH(("NEURO"),(AA41))))</formula>
    </cfRule>
    <cfRule type="containsText" priority="31054" operator="containsText" dxfId="5" text="NEURO">
      <formula>NOT(ISERROR(SEARCH(("NEURO"),(AA41))))</formula>
    </cfRule>
    <cfRule type="containsText" priority="31055" operator="containsText" dxfId="0" text="ICU N">
      <formula>NOT(ISERROR(SEARCH(("ICU N"),(AA41))))</formula>
    </cfRule>
    <cfRule type="containsText" priority="31056" operator="containsText" dxfId="3" text="ICU">
      <formula>NOT(ISERROR(SEARCH(("ICU"),(AA41))))</formula>
    </cfRule>
    <cfRule type="containsText" priority="31057" operator="containsText" dxfId="0" text="SWING">
      <formula>NOT(ISERROR(SEARCH(("SWING"),(AA41))))</formula>
    </cfRule>
    <cfRule type="containsText" priority="31058" operator="containsText" dxfId="0" text="NF">
      <formula>NOT(ISERROR(SEARCH(("NF"),(AA41))))</formula>
    </cfRule>
    <cfRule type="containsText" priority="31059" operator="containsText" dxfId="0" text="ICU N">
      <formula>NOT(ISERROR(SEARCH(("ICU N"),(AA41))))</formula>
    </cfRule>
  </conditionalFormatting>
  <conditionalFormatting sqref="AP46:AQ46">
    <cfRule type="containsText" priority="31015" operator="containsText" dxfId="17" text="VACATION">
      <formula>NOT(ISERROR(SEARCH(("VACATION"),(AP46))))</formula>
    </cfRule>
  </conditionalFormatting>
  <conditionalFormatting sqref="AX44">
    <cfRule type="containsText" priority="31006" operator="containsText" dxfId="17" text="VACATION">
      <formula>NOT(ISERROR(SEARCH(("VACATION"),(AX44))))</formula>
    </cfRule>
    <cfRule type="containsText" priority="31007" operator="containsText" dxfId="0" text="ICU N">
      <formula>NOT(ISERROR(SEARCH(("ICU N"),(AX44))))</formula>
    </cfRule>
  </conditionalFormatting>
  <conditionalFormatting sqref="D2:G3 I2:L3 N2:Q3 S2:V3 X2:AC3 AE2:AH3 AJ2:BC3">
    <cfRule type="containsText" priority="30921" operator="containsText" dxfId="17" text="VACATION">
      <formula>NOT(ISERROR(SEARCH(("VACATION"),(D2))))</formula>
    </cfRule>
  </conditionalFormatting>
  <conditionalFormatting sqref="D2:BC3">
    <cfRule type="containsText" priority="30922" operator="containsText" dxfId="16" text="ED">
      <formula>NOT(ISERROR(SEARCH(("ED"),(D2))))</formula>
    </cfRule>
    <cfRule type="containsText" priority="30923" operator="containsText" dxfId="15" text="GERIATRIC">
      <formula>NOT(ISERROR(SEARCH(("GERIATRIC"),(D2))))</formula>
    </cfRule>
    <cfRule type="containsText" priority="30925" operator="containsText" dxfId="7" text="PATH">
      <formula>NOT(ISERROR(SEARCH(("PATH"),(D2))))</formula>
    </cfRule>
    <cfRule type="containsText" priority="30926" operator="containsText" dxfId="7" text="NEPHRO">
      <formula>NOT(ISERROR(SEARCH(("NEPHRO"),(D2))))</formula>
    </cfRule>
    <cfRule type="containsText" priority="30927" operator="containsText" dxfId="7" text="PULM">
      <formula>NOT(ISERROR(SEARCH(("PULM"),(D2))))</formula>
    </cfRule>
    <cfRule type="containsText" priority="30928" operator="containsText" dxfId="7" text="RADIOLOGY">
      <formula>NOT(ISERROR(SEARCH(("RADIOLOGY"),(D2))))</formula>
    </cfRule>
    <cfRule type="containsText" priority="30929" operator="containsText" dxfId="7" text="HEM/ONC">
      <formula>NOT(ISERROR(SEARCH(("HEM/ONC"),(D2))))</formula>
    </cfRule>
    <cfRule type="containsText" priority="30930" operator="containsText" dxfId="7" text="CARDIO">
      <formula>NOT(ISERROR(SEARCH(("CARDIO"),(D2))))</formula>
    </cfRule>
    <cfRule type="containsText" priority="30931" operator="containsText" dxfId="7" text="ID">
      <formula>NOT(ISERROR(SEARCH(("ID"),(D2))))</formula>
    </cfRule>
    <cfRule type="containsText" priority="30932" operator="containsText" dxfId="7" text="NEURO">
      <formula>NOT(ISERROR(SEARCH(("NEURO"),(D2))))</formula>
    </cfRule>
    <cfRule type="containsText" priority="30933" operator="containsText" dxfId="6" text="NEURO">
      <formula>NOT(ISERROR(SEARCH(("NEURO"),(D2))))</formula>
    </cfRule>
    <cfRule type="containsText" priority="30934" operator="containsText" dxfId="5" text="NEURO">
      <formula>NOT(ISERROR(SEARCH(("NEURO"),(D2))))</formula>
    </cfRule>
    <cfRule type="containsText" priority="30935" operator="containsText" dxfId="0" text="ICU N">
      <formula>NOT(ISERROR(SEARCH(("ICU N"),(D2))))</formula>
    </cfRule>
    <cfRule type="containsText" priority="30936" operator="containsText" dxfId="3" text="ICU">
      <formula>NOT(ISERROR(SEARCH(("ICU"),(D2))))</formula>
    </cfRule>
    <cfRule type="containsText" priority="30937" operator="containsText" dxfId="0" text="SWING">
      <formula>NOT(ISERROR(SEARCH(("SWING"),(D2))))</formula>
    </cfRule>
    <cfRule type="containsText" priority="30938" operator="containsText" dxfId="0" text="NF">
      <formula>NOT(ISERROR(SEARCH(("NF"),(D2))))</formula>
    </cfRule>
  </conditionalFormatting>
  <conditionalFormatting sqref="H2:H3 M2:M3 R2:R3 W2:W3 AD2:AD3 AI2:AI3">
    <cfRule type="containsText" priority="30924" operator="containsText" dxfId="17" text="VACATION">
      <formula>NOT(ISERROR(SEARCH(("VACATION"),(H2))))</formula>
    </cfRule>
    <cfRule type="containsText" priority="30939" operator="containsText" dxfId="0" text="ICU N">
      <formula>NOT(ISERROR(SEARCH(("ICU N"),(H2))))</formula>
    </cfRule>
  </conditionalFormatting>
  <conditionalFormatting sqref="C44:C46">
    <cfRule type="containsText" priority="30864" operator="containsText" dxfId="16" text="ED">
      <formula>NOT(ISERROR(SEARCH(("ED"),(C44))))</formula>
    </cfRule>
    <cfRule type="containsText" priority="30865" operator="containsText" dxfId="15" text="GERIATRIC">
      <formula>NOT(ISERROR(SEARCH(("GERIATRIC"),(C44))))</formula>
    </cfRule>
    <cfRule type="containsText" priority="30866" operator="containsText" dxfId="17" text="VACATION">
      <formula>NOT(ISERROR(SEARCH(("VACATION"),(C44))))</formula>
    </cfRule>
  </conditionalFormatting>
  <conditionalFormatting sqref="C48:C61">
    <cfRule type="containsText" priority="30868" operator="containsText" dxfId="17" text="VACATION">
      <formula>NOT(ISERROR(SEARCH(("VACATION"),(C48))))</formula>
    </cfRule>
    <cfRule type="containsText" priority="30884" operator="containsText" dxfId="0" text="ICU N">
      <formula>NOT(ISERROR(SEARCH(("ICU N"),(C48))))</formula>
    </cfRule>
  </conditionalFormatting>
  <conditionalFormatting sqref="D4">
    <cfRule type="containsText" priority="30845" operator="containsText" dxfId="16" text="ED">
      <formula>NOT(ISERROR(SEARCH(("ED"),(D4))))</formula>
    </cfRule>
    <cfRule type="containsText" priority="30846" operator="containsText" dxfId="15" text="GERIATRIC">
      <formula>NOT(ISERROR(SEARCH(("GERIATRIC"),(D4))))</formula>
    </cfRule>
    <cfRule type="containsText" priority="30847" operator="containsText" dxfId="17" text="VACATION">
      <formula>NOT(ISERROR(SEARCH(("VACATION"),(D4))))</formula>
    </cfRule>
    <cfRule type="containsText" priority="30848" operator="containsText" dxfId="7" text="PATH">
      <formula>NOT(ISERROR(SEARCH(("PATH"),(D4))))</formula>
    </cfRule>
    <cfRule type="containsText" priority="30849" operator="containsText" dxfId="7" text="NEPHRO">
      <formula>NOT(ISERROR(SEARCH(("NEPHRO"),(D4))))</formula>
    </cfRule>
    <cfRule type="containsText" priority="30850" operator="containsText" dxfId="7" text="PULM">
      <formula>NOT(ISERROR(SEARCH(("PULM"),(D4))))</formula>
    </cfRule>
    <cfRule type="containsText" priority="30851" operator="containsText" dxfId="7" text="RADIOLOGY">
      <formula>NOT(ISERROR(SEARCH(("RADIOLOGY"),(D4))))</formula>
    </cfRule>
    <cfRule type="containsText" priority="30852" operator="containsText" dxfId="7" text="HEM/ONC">
      <formula>NOT(ISERROR(SEARCH(("HEM/ONC"),(D4))))</formula>
    </cfRule>
    <cfRule type="containsText" priority="30853" operator="containsText" dxfId="7" text="CARDIO">
      <formula>NOT(ISERROR(SEARCH(("CARDIO"),(D4))))</formula>
    </cfRule>
    <cfRule type="containsText" priority="30854" operator="containsText" dxfId="7" text="ID">
      <formula>NOT(ISERROR(SEARCH(("ID"),(D4))))</formula>
    </cfRule>
    <cfRule type="containsText" priority="30855" operator="containsText" dxfId="7" text="NEURO">
      <formula>NOT(ISERROR(SEARCH(("NEURO"),(D4))))</formula>
    </cfRule>
    <cfRule type="containsText" priority="30856" operator="containsText" dxfId="6" text="NEURO">
      <formula>NOT(ISERROR(SEARCH(("NEURO"),(D4))))</formula>
    </cfRule>
    <cfRule type="containsText" priority="30857" operator="containsText" dxfId="5" text="NEURO">
      <formula>NOT(ISERROR(SEARCH(("NEURO"),(D4))))</formula>
    </cfRule>
    <cfRule type="containsText" priority="30858" operator="containsText" dxfId="0" text="ICU N">
      <formula>NOT(ISERROR(SEARCH(("ICU N"),(D4))))</formula>
    </cfRule>
    <cfRule type="containsText" priority="30859" operator="containsText" dxfId="3" text="ICU">
      <formula>NOT(ISERROR(SEARCH(("ICU"),(D4))))</formula>
    </cfRule>
    <cfRule type="containsText" priority="30860" operator="containsText" dxfId="0" text="SWING">
      <formula>NOT(ISERROR(SEARCH(("SWING"),(D4))))</formula>
    </cfRule>
    <cfRule type="containsText" priority="30861" operator="containsText" dxfId="0" text="NF">
      <formula>NOT(ISERROR(SEARCH(("NF"),(D4))))</formula>
    </cfRule>
    <cfRule type="containsText" priority="30862" operator="containsText" dxfId="0" text="ICU N">
      <formula>NOT(ISERROR(SEARCH(("ICU N"),(D4))))</formula>
    </cfRule>
  </conditionalFormatting>
  <conditionalFormatting sqref="D5">
    <cfRule type="containsText" priority="30809" operator="containsText" dxfId="16" text="ED">
      <formula>NOT(ISERROR(SEARCH(("ED"),(D5))))</formula>
    </cfRule>
    <cfRule type="containsText" priority="30810" operator="containsText" dxfId="15" text="GERIATRIC">
      <formula>NOT(ISERROR(SEARCH(("GERIATRIC"),(D5))))</formula>
    </cfRule>
    <cfRule type="containsText" priority="30811" operator="containsText" dxfId="17" text="VACATION">
      <formula>NOT(ISERROR(SEARCH(("VACATION"),(D5))))</formula>
    </cfRule>
    <cfRule type="containsText" priority="30812" operator="containsText" dxfId="7" text="PATH">
      <formula>NOT(ISERROR(SEARCH(("PATH"),(D5))))</formula>
    </cfRule>
    <cfRule type="containsText" priority="30813" operator="containsText" dxfId="7" text="NEPHRO">
      <formula>NOT(ISERROR(SEARCH(("NEPHRO"),(D5))))</formula>
    </cfRule>
    <cfRule type="containsText" priority="30814" operator="containsText" dxfId="7" text="PULM">
      <formula>NOT(ISERROR(SEARCH(("PULM"),(D5))))</formula>
    </cfRule>
    <cfRule type="containsText" priority="30815" operator="containsText" dxfId="7" text="RADIOLOGY">
      <formula>NOT(ISERROR(SEARCH(("RADIOLOGY"),(D5))))</formula>
    </cfRule>
    <cfRule type="containsText" priority="30816" operator="containsText" dxfId="7" text="HEM/ONC">
      <formula>NOT(ISERROR(SEARCH(("HEM/ONC"),(D5))))</formula>
    </cfRule>
    <cfRule type="containsText" priority="30817" operator="containsText" dxfId="7" text="CARDIO">
      <formula>NOT(ISERROR(SEARCH(("CARDIO"),(D5))))</formula>
    </cfRule>
    <cfRule type="containsText" priority="30818" operator="containsText" dxfId="7" text="ID">
      <formula>NOT(ISERROR(SEARCH(("ID"),(D5))))</formula>
    </cfRule>
    <cfRule type="containsText" priority="30819" operator="containsText" dxfId="7" text="NEURO">
      <formula>NOT(ISERROR(SEARCH(("NEURO"),(D5))))</formula>
    </cfRule>
    <cfRule type="containsText" priority="30820" operator="containsText" dxfId="6" text="NEURO">
      <formula>NOT(ISERROR(SEARCH(("NEURO"),(D5))))</formula>
    </cfRule>
    <cfRule type="containsText" priority="30821" operator="containsText" dxfId="5" text="NEURO">
      <formula>NOT(ISERROR(SEARCH(("NEURO"),(D5))))</formula>
    </cfRule>
    <cfRule type="containsText" priority="30822" operator="containsText" dxfId="0" text="ICU N">
      <formula>NOT(ISERROR(SEARCH(("ICU N"),(D5))))</formula>
    </cfRule>
    <cfRule type="containsText" priority="30823" operator="containsText" dxfId="3" text="ICU">
      <formula>NOT(ISERROR(SEARCH(("ICU"),(D5))))</formula>
    </cfRule>
    <cfRule type="containsText" priority="30824" operator="containsText" dxfId="0" text="SWING">
      <formula>NOT(ISERROR(SEARCH(("SWING"),(D5))))</formula>
    </cfRule>
    <cfRule type="containsText" priority="30825" operator="containsText" dxfId="0" text="NF">
      <formula>NOT(ISERROR(SEARCH(("NF"),(D5))))</formula>
    </cfRule>
    <cfRule type="containsText" priority="30826" operator="containsText" dxfId="0" text="ICU N">
      <formula>NOT(ISERROR(SEARCH(("ICU N"),(D5))))</formula>
    </cfRule>
  </conditionalFormatting>
  <conditionalFormatting sqref="P15:P16">
    <cfRule type="containsText" priority="30807" operator="containsText" dxfId="17" text="VACATION">
      <formula>NOT(ISERROR(SEARCH(("VACATION"),(P15))))</formula>
    </cfRule>
    <cfRule type="containsText" priority="30808" operator="containsText" dxfId="0" text="ICU N">
      <formula>NOT(ISERROR(SEARCH(("ICU N"),(P15))))</formula>
    </cfRule>
  </conditionalFormatting>
  <conditionalFormatting sqref="Q16">
    <cfRule type="containsText" priority="30805" operator="containsText" dxfId="17" text="VACATION">
      <formula>NOT(ISERROR(SEARCH(("VACATION"),(Q16))))</formula>
    </cfRule>
    <cfRule type="containsText" priority="30806" operator="containsText" dxfId="0" text="ICU N">
      <formula>NOT(ISERROR(SEARCH(("ICU N"),(Q16))))</formula>
    </cfRule>
  </conditionalFormatting>
  <conditionalFormatting sqref="G36:G38">
    <cfRule type="containsText" priority="30803" operator="containsText" dxfId="17" text="VACATION">
      <formula>NOT(ISERROR(SEARCH(("VACATION"),(G36))))</formula>
    </cfRule>
  </conditionalFormatting>
  <conditionalFormatting sqref="AN16">
    <cfRule type="containsText" priority="30800" operator="containsText" dxfId="17" text="VACATION">
      <formula>NOT(ISERROR(SEARCH(("VACATION"),(AN16))))</formula>
    </cfRule>
    <cfRule type="containsText" priority="30801" operator="containsText" dxfId="0" text="ICU N">
      <formula>NOT(ISERROR(SEARCH(("ICU N"),(AN16))))</formula>
    </cfRule>
  </conditionalFormatting>
  <conditionalFormatting sqref="AO16">
    <cfRule type="containsText" priority="30798" operator="containsText" dxfId="17" text="VACATION">
      <formula>NOT(ISERROR(SEARCH(("VACATION"),(AO16))))</formula>
    </cfRule>
    <cfRule type="containsText" priority="30799" operator="containsText" dxfId="0" text="ICU N">
      <formula>NOT(ISERROR(SEARCH(("ICU N"),(AO16))))</formula>
    </cfRule>
  </conditionalFormatting>
  <conditionalFormatting sqref="Q21">
    <cfRule type="containsText" priority="30794" operator="containsText" dxfId="17" text="VACATION">
      <formula>NOT(ISERROR(SEARCH(("VACATION"),(Q21))))</formula>
    </cfRule>
    <cfRule type="containsText" priority="30795" operator="containsText" dxfId="0" text="ICU N">
      <formula>NOT(ISERROR(SEARCH(("ICU N"),(Q21))))</formula>
    </cfRule>
  </conditionalFormatting>
  <conditionalFormatting sqref="D16">
    <cfRule type="containsText" priority="30703" operator="containsText" dxfId="17" text="VACATION">
      <formula>NOT(ISERROR(SEARCH(("VACATION"),(D16))))</formula>
    </cfRule>
  </conditionalFormatting>
  <conditionalFormatting sqref="D16:D17">
    <cfRule type="containsText" priority="30702" operator="containsText" dxfId="17" text="VACATION">
      <formula>NOT(ISERROR(SEARCH(("VACATION"),(D16))))</formula>
    </cfRule>
  </conditionalFormatting>
  <conditionalFormatting sqref="D22">
    <cfRule type="containsText" priority="30700" operator="containsText" dxfId="17" text="VACATION">
      <formula>NOT(ISERROR(SEARCH(("VACATION"),(D22))))</formula>
    </cfRule>
    <cfRule type="containsText" priority="30701" operator="containsText" dxfId="0" text="ICU N">
      <formula>NOT(ISERROR(SEARCH(("ICU N"),(D22))))</formula>
    </cfRule>
    <cfRule type="containsText" priority="30699" operator="containsText" dxfId="17" text="VACATION">
      <formula>NOT(ISERROR(SEARCH(("VACATION"),(D22))))</formula>
    </cfRule>
  </conditionalFormatting>
  <conditionalFormatting sqref="D23">
    <cfRule type="containsText" priority="30697" operator="containsText" dxfId="17" text="VACATION">
      <formula>NOT(ISERROR(SEARCH(("VACATION"),(D23))))</formula>
    </cfRule>
    <cfRule type="containsText" priority="30698" operator="containsText" dxfId="0" text="ICU N">
      <formula>NOT(ISERROR(SEARCH(("ICU N"),(D23))))</formula>
    </cfRule>
    <cfRule type="containsText" priority="30696" operator="containsText" dxfId="17" text="VACATION">
      <formula>NOT(ISERROR(SEARCH(("VACATION"),(D23))))</formula>
    </cfRule>
    <cfRule type="containsText" priority="26069" operator="containsText" dxfId="16" text="ED">
      <formula>NOT(ISERROR(SEARCH(("ED"),(D23))))</formula>
    </cfRule>
    <cfRule type="containsText" priority="26070" operator="containsText" dxfId="15" text="GERIATRIC">
      <formula>NOT(ISERROR(SEARCH(("GERIATRIC"),(D23))))</formula>
    </cfRule>
    <cfRule type="containsText" priority="26071" operator="containsText" dxfId="17" text="VACATION">
      <formula>NOT(ISERROR(SEARCH(("VACATION"),(D23))))</formula>
    </cfRule>
    <cfRule type="containsText" priority="26072" operator="containsText" dxfId="7" text="PATH">
      <formula>NOT(ISERROR(SEARCH(("PATH"),(D23))))</formula>
    </cfRule>
    <cfRule type="containsText" priority="26073" operator="containsText" dxfId="7" text="NEPHRO">
      <formula>NOT(ISERROR(SEARCH(("NEPHRO"),(D23))))</formula>
    </cfRule>
    <cfRule type="containsText" priority="26074" operator="containsText" dxfId="7" text="PULM">
      <formula>NOT(ISERROR(SEARCH(("PULM"),(D23))))</formula>
    </cfRule>
    <cfRule type="containsText" priority="26075" operator="containsText" dxfId="7" text="RADIOLOGY">
      <formula>NOT(ISERROR(SEARCH(("RADIOLOGY"),(D23))))</formula>
    </cfRule>
    <cfRule type="containsText" priority="26076" operator="containsText" dxfId="7" text="HEM/ONC">
      <formula>NOT(ISERROR(SEARCH(("HEM/ONC"),(D23))))</formula>
    </cfRule>
    <cfRule type="containsText" priority="26077" operator="containsText" dxfId="7" text="CARDIO">
      <formula>NOT(ISERROR(SEARCH(("CARDIO"),(D23))))</formula>
    </cfRule>
    <cfRule type="containsText" priority="26078" operator="containsText" dxfId="7" text="ID">
      <formula>NOT(ISERROR(SEARCH(("ID"),(D23))))</formula>
    </cfRule>
    <cfRule type="containsText" priority="26079" operator="containsText" dxfId="7" text="NEURO">
      <formula>NOT(ISERROR(SEARCH(("NEURO"),(D23))))</formula>
    </cfRule>
    <cfRule type="containsText" priority="26080" operator="containsText" dxfId="6" text="NEURO">
      <formula>NOT(ISERROR(SEARCH(("NEURO"),(D23))))</formula>
    </cfRule>
    <cfRule type="containsText" priority="26081" operator="containsText" dxfId="5" text="NEURO">
      <formula>NOT(ISERROR(SEARCH(("NEURO"),(D23))))</formula>
    </cfRule>
    <cfRule type="containsText" priority="26082" operator="containsText" dxfId="3" text="ICU">
      <formula>NOT(ISERROR(SEARCH(("ICU"),(D23))))</formula>
    </cfRule>
    <cfRule type="containsText" priority="26083" operator="containsText" dxfId="0" text="SWING">
      <formula>NOT(ISERROR(SEARCH(("SWING"),(D23))))</formula>
    </cfRule>
    <cfRule type="containsText" priority="26084" operator="containsText" dxfId="0" text="NF">
      <formula>NOT(ISERROR(SEARCH(("NF"),(D23))))</formula>
    </cfRule>
    <cfRule type="containsText" priority="26085" operator="containsText" dxfId="0" text="ICU N">
      <formula>NOT(ISERROR(SEARCH(("ICU N"),(D23))))</formula>
    </cfRule>
  </conditionalFormatting>
  <conditionalFormatting sqref="D33">
    <cfRule type="containsText" priority="30694" operator="containsText" dxfId="17" text="VACATION">
      <formula>NOT(ISERROR(SEARCH(("VACATION"),(D33))))</formula>
    </cfRule>
    <cfRule type="containsText" priority="30695" operator="containsText" dxfId="0" text="ICU N">
      <formula>NOT(ISERROR(SEARCH(("ICU N"),(D33))))</formula>
    </cfRule>
    <cfRule type="containsText" priority="30693" operator="containsText" dxfId="17" text="VACATION">
      <formula>NOT(ISERROR(SEARCH(("VACATION"),(D33))))</formula>
    </cfRule>
  </conditionalFormatting>
  <conditionalFormatting sqref="F30">
    <cfRule type="containsText" priority="30690" operator="containsText" dxfId="17" text="VACATION">
      <formula>NOT(ISERROR(SEARCH(("VACATION"),(F30))))</formula>
    </cfRule>
  </conditionalFormatting>
  <conditionalFormatting sqref="F31">
    <cfRule type="containsText" priority="30689" operator="containsText" dxfId="17" text="VACATION">
      <formula>NOT(ISERROR(SEARCH(("VACATION"),(F31))))</formula>
    </cfRule>
  </conditionalFormatting>
  <conditionalFormatting sqref="H18">
    <cfRule type="containsText" priority="30683" operator="containsText" dxfId="17" text="VACATION">
      <formula>NOT(ISERROR(SEARCH(("VACATION"),(H18))))</formula>
    </cfRule>
  </conditionalFormatting>
  <conditionalFormatting sqref="H16">
    <cfRule type="containsText" priority="30682" operator="containsText" dxfId="17" text="VACATION">
      <formula>NOT(ISERROR(SEARCH(("VACATION"),(H16))))</formula>
    </cfRule>
  </conditionalFormatting>
  <conditionalFormatting sqref="Q38">
    <cfRule type="containsText" priority="30676" operator="containsText" dxfId="17" text="VACATION">
      <formula>NOT(ISERROR(SEARCH(("VACATION"),(Q38))))</formula>
    </cfRule>
  </conditionalFormatting>
  <conditionalFormatting sqref="L6">
    <cfRule type="containsText" priority="30645" operator="containsText" dxfId="17" text="VACATION">
      <formula>NOT(ISERROR(SEARCH(("VACATION"),(L6))))</formula>
    </cfRule>
    <cfRule type="containsText" priority="30646" operator="containsText" dxfId="0" text="ICU N">
      <formula>NOT(ISERROR(SEARCH(("ICU N"),(L6))))</formula>
    </cfRule>
    <cfRule type="containsText" priority="30644" operator="containsText" dxfId="17" text="VACATION">
      <formula>NOT(ISERROR(SEARCH(("VACATION"),(L6))))</formula>
    </cfRule>
    <cfRule type="containsText" priority="26735" operator="containsText" dxfId="17" text="VACATION">
      <formula>NOT(ISERROR(SEARCH(("VACATION"),(L6))))</formula>
    </cfRule>
    <cfRule type="containsText" priority="26736" operator="containsText" dxfId="0" text="ICU N">
      <formula>NOT(ISERROR(SEARCH(("ICU N"),(L6))))</formula>
    </cfRule>
    <cfRule type="containsText" priority="26734" operator="containsText" dxfId="17" text="VACATION">
      <formula>NOT(ISERROR(SEARCH(("VACATION"),(L6))))</formula>
    </cfRule>
    <cfRule type="containsText" priority="26719" operator="containsText" dxfId="7" text="PATH">
      <formula>NOT(ISERROR(SEARCH(("PATH"),(L6))))</formula>
    </cfRule>
    <cfRule type="containsText" priority="26720" operator="containsText" dxfId="7" text="NEPHRO">
      <formula>NOT(ISERROR(SEARCH(("NEPHRO"),(L6))))</formula>
    </cfRule>
    <cfRule type="containsText" priority="26721" operator="containsText" dxfId="7" text="PULM">
      <formula>NOT(ISERROR(SEARCH(("PULM"),(L6))))</formula>
    </cfRule>
    <cfRule type="containsText" priority="26722" operator="containsText" dxfId="7" text="RADIOLOGY">
      <formula>NOT(ISERROR(SEARCH(("RADIOLOGY"),(L6))))</formula>
    </cfRule>
    <cfRule type="containsText" priority="26723" operator="containsText" dxfId="7" text="HEM/ONC">
      <formula>NOT(ISERROR(SEARCH(("HEM/ONC"),(L6))))</formula>
    </cfRule>
    <cfRule type="containsText" priority="26724" operator="containsText" dxfId="7" text="CARDIO">
      <formula>NOT(ISERROR(SEARCH(("CARDIO"),(L6))))</formula>
    </cfRule>
    <cfRule type="containsText" priority="26725" operator="containsText" dxfId="7" text="ID">
      <formula>NOT(ISERROR(SEARCH(("ID"),(L6))))</formula>
    </cfRule>
    <cfRule type="containsText" priority="26726" operator="containsText" dxfId="7" text="NEURO">
      <formula>NOT(ISERROR(SEARCH(("NEURO"),(L6))))</formula>
    </cfRule>
    <cfRule type="containsText" priority="26727" operator="containsText" dxfId="6" text="NEURO">
      <formula>NOT(ISERROR(SEARCH(("NEURO"),(L6))))</formula>
    </cfRule>
    <cfRule type="containsText" priority="26728" operator="containsText" dxfId="5" text="NEURO">
      <formula>NOT(ISERROR(SEARCH(("NEURO"),(L6))))</formula>
    </cfRule>
    <cfRule type="containsText" priority="26729" operator="containsText" dxfId="0" text="ICU N">
      <formula>NOT(ISERROR(SEARCH(("ICU N"),(L6))))</formula>
    </cfRule>
    <cfRule type="containsText" priority="26730" operator="containsText" dxfId="3" text="ICU">
      <formula>NOT(ISERROR(SEARCH(("ICU"),(L6))))</formula>
    </cfRule>
    <cfRule type="containsText" priority="26731" operator="containsText" dxfId="0" text="SWING">
      <formula>NOT(ISERROR(SEARCH(("SWING"),(L6))))</formula>
    </cfRule>
    <cfRule type="containsText" priority="26732" operator="containsText" dxfId="0" text="NF">
      <formula>NOT(ISERROR(SEARCH(("NF"),(L6))))</formula>
    </cfRule>
    <cfRule type="containsText" priority="26733" operator="containsText" dxfId="0" text="ICU N">
      <formula>NOT(ISERROR(SEARCH(("ICU N"),(L6))))</formula>
    </cfRule>
  </conditionalFormatting>
  <conditionalFormatting sqref="M16">
    <cfRule type="containsText" priority="30487" operator="containsText" dxfId="17" text="VACATION">
      <formula>NOT(ISERROR(SEARCH(("VACATION"),(M16))))</formula>
    </cfRule>
    <cfRule type="containsText" priority="30488" operator="containsText" dxfId="0" text="ICU N">
      <formula>NOT(ISERROR(SEARCH(("ICU N"),(M16))))</formula>
    </cfRule>
    <cfRule type="containsText" priority="26699" operator="containsText" dxfId="17" text="VACATION">
      <formula>NOT(ISERROR(SEARCH(("VACATION"),(M16))))</formula>
    </cfRule>
    <cfRule type="containsText" priority="26700" operator="containsText" dxfId="0" text="ICU N">
      <formula>NOT(ISERROR(SEARCH(("ICU N"),(M16))))</formula>
    </cfRule>
    <cfRule type="containsText" priority="26698" operator="containsText" dxfId="17" text="VACATION">
      <formula>NOT(ISERROR(SEARCH(("VACATION"),(M16))))</formula>
    </cfRule>
    <cfRule type="containsText" priority="26683" operator="containsText" dxfId="7" text="PATH">
      <formula>NOT(ISERROR(SEARCH(("PATH"),(M16))))</formula>
    </cfRule>
    <cfRule type="containsText" priority="26684" operator="containsText" dxfId="7" text="NEPHRO">
      <formula>NOT(ISERROR(SEARCH(("NEPHRO"),(M16))))</formula>
    </cfRule>
    <cfRule type="containsText" priority="26685" operator="containsText" dxfId="7" text="PULM">
      <formula>NOT(ISERROR(SEARCH(("PULM"),(M16))))</formula>
    </cfRule>
    <cfRule type="containsText" priority="26686" operator="containsText" dxfId="7" text="RADIOLOGY">
      <formula>NOT(ISERROR(SEARCH(("RADIOLOGY"),(M16))))</formula>
    </cfRule>
    <cfRule type="containsText" priority="26687" operator="containsText" dxfId="7" text="HEM/ONC">
      <formula>NOT(ISERROR(SEARCH(("HEM/ONC"),(M16))))</formula>
    </cfRule>
    <cfRule type="containsText" priority="26688" operator="containsText" dxfId="7" text="CARDIO">
      <formula>NOT(ISERROR(SEARCH(("CARDIO"),(M16))))</formula>
    </cfRule>
    <cfRule type="containsText" priority="26689" operator="containsText" dxfId="7" text="ID">
      <formula>NOT(ISERROR(SEARCH(("ID"),(M16))))</formula>
    </cfRule>
    <cfRule type="containsText" priority="26690" operator="containsText" dxfId="7" text="NEURO">
      <formula>NOT(ISERROR(SEARCH(("NEURO"),(M16))))</formula>
    </cfRule>
    <cfRule type="containsText" priority="26691" operator="containsText" dxfId="6" text="NEURO">
      <formula>NOT(ISERROR(SEARCH(("NEURO"),(M16))))</formula>
    </cfRule>
    <cfRule type="containsText" priority="26692" operator="containsText" dxfId="5" text="NEURO">
      <formula>NOT(ISERROR(SEARCH(("NEURO"),(M16))))</formula>
    </cfRule>
    <cfRule type="containsText" priority="26693" operator="containsText" dxfId="0" text="ICU N">
      <formula>NOT(ISERROR(SEARCH(("ICU N"),(M16))))</formula>
    </cfRule>
    <cfRule type="containsText" priority="26694" operator="containsText" dxfId="3" text="ICU">
      <formula>NOT(ISERROR(SEARCH(("ICU"),(M16))))</formula>
    </cfRule>
    <cfRule type="containsText" priority="26695" operator="containsText" dxfId="0" text="SWING">
      <formula>NOT(ISERROR(SEARCH(("SWING"),(M16))))</formula>
    </cfRule>
    <cfRule type="containsText" priority="26696" operator="containsText" dxfId="0" text="NF">
      <formula>NOT(ISERROR(SEARCH(("NF"),(M16))))</formula>
    </cfRule>
    <cfRule type="containsText" priority="26697" operator="containsText" dxfId="0" text="ICU N">
      <formula>NOT(ISERROR(SEARCH(("ICU N"),(M16))))</formula>
    </cfRule>
  </conditionalFormatting>
  <conditionalFormatting sqref="F60">
    <cfRule type="containsText" priority="30270" operator="containsText" dxfId="16" text="ED">
      <formula>NOT(ISERROR(SEARCH(("ED"),(F60))))</formula>
    </cfRule>
    <cfRule type="containsText" priority="30271" operator="containsText" dxfId="15" text="GERIATRIC">
      <formula>NOT(ISERROR(SEARCH(("GERIATRIC"),(F60))))</formula>
    </cfRule>
    <cfRule type="containsText" priority="30272" operator="containsText" dxfId="17" text="VACATION">
      <formula>NOT(ISERROR(SEARCH(("VACATION"),(F60))))</formula>
    </cfRule>
    <cfRule type="containsText" priority="30273" operator="containsText" dxfId="7" text="PATH">
      <formula>NOT(ISERROR(SEARCH(("PATH"),(F60))))</formula>
    </cfRule>
    <cfRule type="containsText" priority="30274" operator="containsText" dxfId="7" text="NEPHRO">
      <formula>NOT(ISERROR(SEARCH(("NEPHRO"),(F60))))</formula>
    </cfRule>
    <cfRule type="containsText" priority="30275" operator="containsText" dxfId="7" text="PULM">
      <formula>NOT(ISERROR(SEARCH(("PULM"),(F60))))</formula>
    </cfRule>
    <cfRule type="containsText" priority="30276" operator="containsText" dxfId="7" text="RADIOLOGY">
      <formula>NOT(ISERROR(SEARCH(("RADIOLOGY"),(F60))))</formula>
    </cfRule>
    <cfRule type="containsText" priority="30277" operator="containsText" dxfId="7" text="HEM/ONC">
      <formula>NOT(ISERROR(SEARCH(("HEM/ONC"),(F60))))</formula>
    </cfRule>
    <cfRule type="containsText" priority="30278" operator="containsText" dxfId="7" text="CARDIO">
      <formula>NOT(ISERROR(SEARCH(("CARDIO"),(F60))))</formula>
    </cfRule>
    <cfRule type="containsText" priority="30279" operator="containsText" dxfId="7" text="ID">
      <formula>NOT(ISERROR(SEARCH(("ID"),(F60))))</formula>
    </cfRule>
    <cfRule type="containsText" priority="30280" operator="containsText" dxfId="7" text="NEURO">
      <formula>NOT(ISERROR(SEARCH(("NEURO"),(F60))))</formula>
    </cfRule>
    <cfRule type="containsText" priority="30281" operator="containsText" dxfId="6" text="NEURO">
      <formula>NOT(ISERROR(SEARCH(("NEURO"),(F60))))</formula>
    </cfRule>
    <cfRule type="containsText" priority="30282" operator="containsText" dxfId="5" text="NEURO">
      <formula>NOT(ISERROR(SEARCH(("NEURO"),(F60))))</formula>
    </cfRule>
    <cfRule type="containsText" priority="30283" operator="containsText" dxfId="0" text="ICU N">
      <formula>NOT(ISERROR(SEARCH(("ICU N"),(F60))))</formula>
    </cfRule>
    <cfRule type="containsText" priority="30284" operator="containsText" dxfId="3" text="ICU">
      <formula>NOT(ISERROR(SEARCH(("ICU"),(F60))))</formula>
    </cfRule>
    <cfRule type="containsText" priority="30285" operator="containsText" dxfId="0" text="SWING">
      <formula>NOT(ISERROR(SEARCH(("SWING"),(F60))))</formula>
    </cfRule>
    <cfRule type="containsText" priority="30286" operator="containsText" dxfId="0" text="NF">
      <formula>NOT(ISERROR(SEARCH(("NF"),(F60))))</formula>
    </cfRule>
    <cfRule type="containsText" priority="30287" operator="containsText" dxfId="0" text="ICU N">
      <formula>NOT(ISERROR(SEARCH(("ICU N"),(F60))))</formula>
    </cfRule>
  </conditionalFormatting>
  <conditionalFormatting sqref="R30">
    <cfRule type="containsText" priority="30217" operator="containsText" dxfId="17" text="VACATION">
      <formula>NOT(ISERROR(SEARCH(("VACATION"),(R30))))</formula>
    </cfRule>
    <cfRule type="containsText" priority="30218" operator="containsText" dxfId="0" text="ICU N">
      <formula>NOT(ISERROR(SEARCH(("ICU N"),(R30))))</formula>
    </cfRule>
  </conditionalFormatting>
  <conditionalFormatting sqref="R31">
    <cfRule type="containsText" priority="30215" operator="containsText" dxfId="17" text="VACATION">
      <formula>NOT(ISERROR(SEARCH(("VACATION"),(R31))))</formula>
    </cfRule>
    <cfRule type="containsText" priority="30216" operator="containsText" dxfId="0" text="ICU N">
      <formula>NOT(ISERROR(SEARCH(("ICU N"),(R31))))</formula>
    </cfRule>
  </conditionalFormatting>
  <conditionalFormatting sqref="AS30">
    <cfRule type="containsText" priority="30203" operator="containsText" dxfId="17" text="VACATION">
      <formula>NOT(ISERROR(SEARCH(("VACATION"),(AS30))))</formula>
    </cfRule>
    <cfRule type="containsText" priority="30204" operator="containsText" dxfId="0" text="ICU N">
      <formula>NOT(ISERROR(SEARCH(("ICU N"),(AS30))))</formula>
    </cfRule>
  </conditionalFormatting>
  <conditionalFormatting sqref="AT31">
    <cfRule type="containsText" priority="30188" operator="containsText" dxfId="7" text="PATH">
      <formula>NOT(ISERROR(SEARCH(("PATH"),(AT31))))</formula>
    </cfRule>
    <cfRule type="containsText" priority="30189" operator="containsText" dxfId="7" text="NEPHRO">
      <formula>NOT(ISERROR(SEARCH(("NEPHRO"),(AT31))))</formula>
    </cfRule>
    <cfRule type="containsText" priority="30190" operator="containsText" dxfId="7" text="PULM">
      <formula>NOT(ISERROR(SEARCH(("PULM"),(AT31))))</formula>
    </cfRule>
    <cfRule type="containsText" priority="30191" operator="containsText" dxfId="7" text="RADIOLOGY">
      <formula>NOT(ISERROR(SEARCH(("RADIOLOGY"),(AT31))))</formula>
    </cfRule>
    <cfRule type="containsText" priority="30192" operator="containsText" dxfId="7" text="HEM/ONC">
      <formula>NOT(ISERROR(SEARCH(("HEM/ONC"),(AT31))))</formula>
    </cfRule>
    <cfRule type="containsText" priority="30193" operator="containsText" dxfId="7" text="CARDIO">
      <formula>NOT(ISERROR(SEARCH(("CARDIO"),(AT31))))</formula>
    </cfRule>
    <cfRule type="containsText" priority="30194" operator="containsText" dxfId="7" text="ID">
      <formula>NOT(ISERROR(SEARCH(("ID"),(AT31))))</formula>
    </cfRule>
    <cfRule type="containsText" priority="30195" operator="containsText" dxfId="7" text="NEURO">
      <formula>NOT(ISERROR(SEARCH(("NEURO"),(AT31))))</formula>
    </cfRule>
    <cfRule type="containsText" priority="30196" operator="containsText" dxfId="6" text="NEURO">
      <formula>NOT(ISERROR(SEARCH(("NEURO"),(AT31))))</formula>
    </cfRule>
    <cfRule type="containsText" priority="30197" operator="containsText" dxfId="5" text="NEURO">
      <formula>NOT(ISERROR(SEARCH(("NEURO"),(AT31))))</formula>
    </cfRule>
    <cfRule type="containsText" priority="30198" operator="containsText" dxfId="0" text="ICU N">
      <formula>NOT(ISERROR(SEARCH(("ICU N"),(AT31))))</formula>
    </cfRule>
    <cfRule type="containsText" priority="30199" operator="containsText" dxfId="3" text="ICU">
      <formula>NOT(ISERROR(SEARCH(("ICU"),(AT31))))</formula>
    </cfRule>
    <cfRule type="containsText" priority="30200" operator="containsText" dxfId="0" text="SWING">
      <formula>NOT(ISERROR(SEARCH(("SWING"),(AT31))))</formula>
    </cfRule>
    <cfRule type="containsText" priority="30201" operator="containsText" dxfId="0" text="NF">
      <formula>NOT(ISERROR(SEARCH(("NF"),(AT31))))</formula>
    </cfRule>
    <cfRule type="containsText" priority="30202" operator="containsText" dxfId="0" text="ICU N">
      <formula>NOT(ISERROR(SEARCH(("ICU N"),(AT31))))</formula>
    </cfRule>
  </conditionalFormatting>
  <conditionalFormatting sqref="AU30:AU31">
    <cfRule type="containsText" priority="29400" operator="containsText" dxfId="7" text="PATH">
      <formula>NOT(ISERROR(SEARCH(("PATH"),(AU30))))</formula>
    </cfRule>
    <cfRule type="containsText" priority="29401" operator="containsText" dxfId="7" text="NEPHRO">
      <formula>NOT(ISERROR(SEARCH(("NEPHRO"),(AU30))))</formula>
    </cfRule>
    <cfRule type="containsText" priority="29402" operator="containsText" dxfId="7" text="PULM">
      <formula>NOT(ISERROR(SEARCH(("PULM"),(AU30))))</formula>
    </cfRule>
    <cfRule type="containsText" priority="29403" operator="containsText" dxfId="7" text="RADIOLOGY">
      <formula>NOT(ISERROR(SEARCH(("RADIOLOGY"),(AU30))))</formula>
    </cfRule>
    <cfRule type="containsText" priority="29404" operator="containsText" dxfId="7" text="HEM/ONC">
      <formula>NOT(ISERROR(SEARCH(("HEM/ONC"),(AU30))))</formula>
    </cfRule>
    <cfRule type="containsText" priority="29405" operator="containsText" dxfId="7" text="CARDIO">
      <formula>NOT(ISERROR(SEARCH(("CARDIO"),(AU30))))</formula>
    </cfRule>
    <cfRule type="containsText" priority="29406" operator="containsText" dxfId="7" text="ID">
      <formula>NOT(ISERROR(SEARCH(("ID"),(AU30))))</formula>
    </cfRule>
    <cfRule type="containsText" priority="29407" operator="containsText" dxfId="7" text="NEURO">
      <formula>NOT(ISERROR(SEARCH(("NEURO"),(AU30))))</formula>
    </cfRule>
    <cfRule type="containsText" priority="29408" operator="containsText" dxfId="6" text="NEURO">
      <formula>NOT(ISERROR(SEARCH(("NEURO"),(AU30))))</formula>
    </cfRule>
    <cfRule type="containsText" priority="29409" operator="containsText" dxfId="5" text="NEURO">
      <formula>NOT(ISERROR(SEARCH(("NEURO"),(AU30))))</formula>
    </cfRule>
    <cfRule type="containsText" priority="29410" operator="containsText" dxfId="0" text="ICU N">
      <formula>NOT(ISERROR(SEARCH(("ICU N"),(AU30))))</formula>
    </cfRule>
    <cfRule type="containsText" priority="29411" operator="containsText" dxfId="3" text="ICU">
      <formula>NOT(ISERROR(SEARCH(("ICU"),(AU30))))</formula>
    </cfRule>
    <cfRule type="containsText" priority="29412" operator="containsText" dxfId="0" text="SWING">
      <formula>NOT(ISERROR(SEARCH(("SWING"),(AU30))))</formula>
    </cfRule>
    <cfRule type="containsText" priority="29413" operator="containsText" dxfId="0" text="NF">
      <formula>NOT(ISERROR(SEARCH(("NF"),(AU30))))</formula>
    </cfRule>
    <cfRule type="containsText" priority="29414" operator="containsText" dxfId="0" text="ICU N">
      <formula>NOT(ISERROR(SEARCH(("ICU N"),(AU30))))</formula>
    </cfRule>
  </conditionalFormatting>
  <conditionalFormatting sqref="AV31">
    <cfRule type="containsText" priority="29385" operator="containsText" dxfId="7" text="PATH">
      <formula>NOT(ISERROR(SEARCH(("PATH"),(AV31))))</formula>
    </cfRule>
    <cfRule type="containsText" priority="29386" operator="containsText" dxfId="7" text="NEPHRO">
      <formula>NOT(ISERROR(SEARCH(("NEPHRO"),(AV31))))</formula>
    </cfRule>
    <cfRule type="containsText" priority="29387" operator="containsText" dxfId="7" text="PULM">
      <formula>NOT(ISERROR(SEARCH(("PULM"),(AV31))))</formula>
    </cfRule>
    <cfRule type="containsText" priority="29388" operator="containsText" dxfId="7" text="RADIOLOGY">
      <formula>NOT(ISERROR(SEARCH(("RADIOLOGY"),(AV31))))</formula>
    </cfRule>
    <cfRule type="containsText" priority="29389" operator="containsText" dxfId="7" text="HEM/ONC">
      <formula>NOT(ISERROR(SEARCH(("HEM/ONC"),(AV31))))</formula>
    </cfRule>
    <cfRule type="containsText" priority="29390" operator="containsText" dxfId="7" text="CARDIO">
      <formula>NOT(ISERROR(SEARCH(("CARDIO"),(AV31))))</formula>
    </cfRule>
    <cfRule type="containsText" priority="29391" operator="containsText" dxfId="7" text="ID">
      <formula>NOT(ISERROR(SEARCH(("ID"),(AV31))))</formula>
    </cfRule>
    <cfRule type="containsText" priority="29392" operator="containsText" dxfId="7" text="NEURO">
      <formula>NOT(ISERROR(SEARCH(("NEURO"),(AV31))))</formula>
    </cfRule>
    <cfRule type="containsText" priority="29393" operator="containsText" dxfId="6" text="NEURO">
      <formula>NOT(ISERROR(SEARCH(("NEURO"),(AV31))))</formula>
    </cfRule>
    <cfRule type="containsText" priority="29394" operator="containsText" dxfId="5" text="NEURO">
      <formula>NOT(ISERROR(SEARCH(("NEURO"),(AV31))))</formula>
    </cfRule>
    <cfRule type="containsText" priority="29395" operator="containsText" dxfId="0" text="ICU N">
      <formula>NOT(ISERROR(SEARCH(("ICU N"),(AV31))))</formula>
    </cfRule>
    <cfRule type="containsText" priority="29396" operator="containsText" dxfId="3" text="ICU">
      <formula>NOT(ISERROR(SEARCH(("ICU"),(AV31))))</formula>
    </cfRule>
    <cfRule type="containsText" priority="29397" operator="containsText" dxfId="0" text="SWING">
      <formula>NOT(ISERROR(SEARCH(("SWING"),(AV31))))</formula>
    </cfRule>
    <cfRule type="containsText" priority="29398" operator="containsText" dxfId="0" text="NF">
      <formula>NOT(ISERROR(SEARCH(("NF"),(AV31))))</formula>
    </cfRule>
    <cfRule type="containsText" priority="29399" operator="containsText" dxfId="0" text="ICU N">
      <formula>NOT(ISERROR(SEARCH(("ICU N"),(AV31))))</formula>
    </cfRule>
  </conditionalFormatting>
  <conditionalFormatting sqref="AV30">
    <cfRule type="containsText" priority="29316" operator="containsText" dxfId="7" text="PATH">
      <formula>NOT(ISERROR(SEARCH(("PATH"),(AV30))))</formula>
    </cfRule>
    <cfRule type="containsText" priority="29317" operator="containsText" dxfId="7" text="NEPHRO">
      <formula>NOT(ISERROR(SEARCH(("NEPHRO"),(AV30))))</formula>
    </cfRule>
    <cfRule type="containsText" priority="29318" operator="containsText" dxfId="7" text="PULM">
      <formula>NOT(ISERROR(SEARCH(("PULM"),(AV30))))</formula>
    </cfRule>
    <cfRule type="containsText" priority="29319" operator="containsText" dxfId="7" text="RADIOLOGY">
      <formula>NOT(ISERROR(SEARCH(("RADIOLOGY"),(AV30))))</formula>
    </cfRule>
    <cfRule type="containsText" priority="29320" operator="containsText" dxfId="7" text="HEM/ONC">
      <formula>NOT(ISERROR(SEARCH(("HEM/ONC"),(AV30))))</formula>
    </cfRule>
    <cfRule type="containsText" priority="29321" operator="containsText" dxfId="7" text="CARDIO">
      <formula>NOT(ISERROR(SEARCH(("CARDIO"),(AV30))))</formula>
    </cfRule>
    <cfRule type="containsText" priority="29322" operator="containsText" dxfId="7" text="ID">
      <formula>NOT(ISERROR(SEARCH(("ID"),(AV30))))</formula>
    </cfRule>
    <cfRule type="containsText" priority="29323" operator="containsText" dxfId="7" text="NEURO">
      <formula>NOT(ISERROR(SEARCH(("NEURO"),(AV30))))</formula>
    </cfRule>
    <cfRule type="containsText" priority="29324" operator="containsText" dxfId="6" text="NEURO">
      <formula>NOT(ISERROR(SEARCH(("NEURO"),(AV30))))</formula>
    </cfRule>
    <cfRule type="containsText" priority="29325" operator="containsText" dxfId="5" text="NEURO">
      <formula>NOT(ISERROR(SEARCH(("NEURO"),(AV30))))</formula>
    </cfRule>
    <cfRule type="containsText" priority="29326" operator="containsText" dxfId="0" text="ICU N">
      <formula>NOT(ISERROR(SEARCH(("ICU N"),(AV30))))</formula>
    </cfRule>
    <cfRule type="containsText" priority="29327" operator="containsText" dxfId="3" text="ICU">
      <formula>NOT(ISERROR(SEARCH(("ICU"),(AV30))))</formula>
    </cfRule>
    <cfRule type="containsText" priority="29328" operator="containsText" dxfId="0" text="SWING">
      <formula>NOT(ISERROR(SEARCH(("SWING"),(AV30))))</formula>
    </cfRule>
    <cfRule type="containsText" priority="29329" operator="containsText" dxfId="0" text="NF">
      <formula>NOT(ISERROR(SEARCH(("NF"),(AV30))))</formula>
    </cfRule>
    <cfRule type="containsText" priority="29330" operator="containsText" dxfId="0" text="ICU N">
      <formula>NOT(ISERROR(SEARCH(("ICU N"),(AV30))))</formula>
    </cfRule>
  </conditionalFormatting>
  <conditionalFormatting sqref="R51:S51 R55:S55 S53:W55 S56 T50:U50 T52:X52 V51 V56:W56">
    <cfRule type="containsText" priority="29135" operator="containsText" dxfId="17" text="VACATION">
      <formula>NOT(ISERROR(SEARCH(("VACATION"),(R50))))</formula>
    </cfRule>
    <cfRule type="containsText" priority="29136" operator="containsText" dxfId="16" text="ED">
      <formula>NOT(ISERROR(SEARCH(("ED"),(R50))))</formula>
    </cfRule>
    <cfRule type="containsText" priority="29137" operator="containsText" dxfId="15" text="GERIATRIC">
      <formula>NOT(ISERROR(SEARCH(("GERIATRIC"),(R50))))</formula>
    </cfRule>
    <cfRule type="containsText" priority="29138" operator="containsText" dxfId="7" text="PATH">
      <formula>NOT(ISERROR(SEARCH(("PATH"),(R50))))</formula>
    </cfRule>
    <cfRule type="containsText" priority="29139" operator="containsText" dxfId="7" text="NEPHRO">
      <formula>NOT(ISERROR(SEARCH(("NEPHRO"),(R50))))</formula>
    </cfRule>
    <cfRule type="containsText" priority="29140" operator="containsText" dxfId="7" text="PULM">
      <formula>NOT(ISERROR(SEARCH(("PULM"),(R50))))</formula>
    </cfRule>
    <cfRule type="containsText" priority="29141" operator="containsText" dxfId="7" text="RADIOLOGY">
      <formula>NOT(ISERROR(SEARCH(("RADIOLOGY"),(R50))))</formula>
    </cfRule>
    <cfRule type="containsText" priority="29142" operator="containsText" dxfId="7" text="HEM/ONC">
      <formula>NOT(ISERROR(SEARCH(("HEM/ONC"),(R50))))</formula>
    </cfRule>
    <cfRule type="containsText" priority="29143" operator="containsText" dxfId="7" text="CARDIO">
      <formula>NOT(ISERROR(SEARCH(("CARDIO"),(R50))))</formula>
    </cfRule>
    <cfRule type="containsText" priority="29144" operator="containsText" dxfId="7" text="ID">
      <formula>NOT(ISERROR(SEARCH(("ID"),(R50))))</formula>
    </cfRule>
    <cfRule type="containsText" priority="29145" operator="containsText" dxfId="7" text="NEURO">
      <formula>NOT(ISERROR(SEARCH(("NEURO"),(R50))))</formula>
    </cfRule>
    <cfRule type="containsText" priority="29146" operator="containsText" dxfId="6" text="NEURO">
      <formula>NOT(ISERROR(SEARCH(("NEURO"),(R50))))</formula>
    </cfRule>
    <cfRule type="containsText" priority="29147" operator="containsText" dxfId="5" text="NEURO">
      <formula>NOT(ISERROR(SEARCH(("NEURO"),(R50))))</formula>
    </cfRule>
    <cfRule type="containsText" priority="29148" operator="containsText" dxfId="0" text="ICU N">
      <formula>NOT(ISERROR(SEARCH(("ICU N"),(R50))))</formula>
    </cfRule>
    <cfRule type="containsText" priority="29149" operator="containsText" dxfId="3" text="ICU">
      <formula>NOT(ISERROR(SEARCH(("ICU"),(R50))))</formula>
    </cfRule>
    <cfRule type="containsText" priority="29150" operator="containsText" dxfId="0" text="SWING">
      <formula>NOT(ISERROR(SEARCH(("SWING"),(R50))))</formula>
    </cfRule>
    <cfRule type="containsText" priority="29151" operator="containsText" dxfId="0" text="NF">
      <formula>NOT(ISERROR(SEARCH(("NF"),(R50))))</formula>
    </cfRule>
    <cfRule type="containsText" priority="29120" operator="containsText" dxfId="7" text="PATH">
      <formula>NOT(ISERROR(SEARCH(("PATH"),(R50))))</formula>
    </cfRule>
    <cfRule type="containsText" priority="29121" operator="containsText" dxfId="7" text="NEPHRO">
      <formula>NOT(ISERROR(SEARCH(("NEPHRO"),(R50))))</formula>
    </cfRule>
    <cfRule type="containsText" priority="29122" operator="containsText" dxfId="7" text="PULM">
      <formula>NOT(ISERROR(SEARCH(("PULM"),(R50))))</formula>
    </cfRule>
    <cfRule type="containsText" priority="29123" operator="containsText" dxfId="7" text="RADIOLOGY">
      <formula>NOT(ISERROR(SEARCH(("RADIOLOGY"),(R50))))</formula>
    </cfRule>
    <cfRule type="containsText" priority="29124" operator="containsText" dxfId="7" text="HEM/ONC">
      <formula>NOT(ISERROR(SEARCH(("HEM/ONC"),(R50))))</formula>
    </cfRule>
    <cfRule type="containsText" priority="29125" operator="containsText" dxfId="7" text="CARDIO">
      <formula>NOT(ISERROR(SEARCH(("CARDIO"),(R50))))</formula>
    </cfRule>
    <cfRule type="containsText" priority="29126" operator="containsText" dxfId="7" text="ID">
      <formula>NOT(ISERROR(SEARCH(("ID"),(R50))))</formula>
    </cfRule>
    <cfRule type="containsText" priority="29127" operator="containsText" dxfId="7" text="NEURO">
      <formula>NOT(ISERROR(SEARCH(("NEURO"),(R50))))</formula>
    </cfRule>
    <cfRule type="containsText" priority="29128" operator="containsText" dxfId="6" text="NEURO">
      <formula>NOT(ISERROR(SEARCH(("NEURO"),(R50))))</formula>
    </cfRule>
    <cfRule type="containsText" priority="29129" operator="containsText" dxfId="5" text="NEURO">
      <formula>NOT(ISERROR(SEARCH(("NEURO"),(R50))))</formula>
    </cfRule>
    <cfRule type="containsText" priority="29130" operator="containsText" dxfId="0" text="ICU N">
      <formula>NOT(ISERROR(SEARCH(("ICU N"),(R50))))</formula>
    </cfRule>
    <cfRule type="containsText" priority="29131" operator="containsText" dxfId="3" text="ICU">
      <formula>NOT(ISERROR(SEARCH(("ICU"),(R50))))</formula>
    </cfRule>
    <cfRule type="containsText" priority="29132" operator="containsText" dxfId="0" text="SWING">
      <formula>NOT(ISERROR(SEARCH(("SWING"),(R50))))</formula>
    </cfRule>
    <cfRule type="containsText" priority="29133" operator="containsText" dxfId="0" text="NF">
      <formula>NOT(ISERROR(SEARCH(("NF"),(R50))))</formula>
    </cfRule>
    <cfRule type="containsText" priority="29134" operator="containsText" dxfId="0" text="ICU N">
      <formula>NOT(ISERROR(SEARCH(("ICU N"),(R50))))</formula>
    </cfRule>
  </conditionalFormatting>
  <conditionalFormatting sqref="L58">
    <cfRule type="containsText" priority="28925" operator="containsText" dxfId="16" text="ED">
      <formula>NOT(ISERROR(SEARCH(("ED"),(L58))))</formula>
    </cfRule>
    <cfRule type="containsText" priority="28926" operator="containsText" dxfId="15" text="GERIATRIC">
      <formula>NOT(ISERROR(SEARCH(("GERIATRIC"),(L58))))</formula>
    </cfRule>
    <cfRule type="containsText" priority="28927" operator="containsText" dxfId="17" text="VACATION">
      <formula>NOT(ISERROR(SEARCH(("VACATION"),(L58))))</formula>
    </cfRule>
    <cfRule type="containsText" priority="28928" operator="containsText" dxfId="7" text="PATH">
      <formula>NOT(ISERROR(SEARCH(("PATH"),(L58))))</formula>
    </cfRule>
    <cfRule type="containsText" priority="28929" operator="containsText" dxfId="7" text="NEPHRO">
      <formula>NOT(ISERROR(SEARCH(("NEPHRO"),(L58))))</formula>
    </cfRule>
    <cfRule type="containsText" priority="28930" operator="containsText" dxfId="7" text="PULM">
      <formula>NOT(ISERROR(SEARCH(("PULM"),(L58))))</formula>
    </cfRule>
    <cfRule type="containsText" priority="28931" operator="containsText" dxfId="7" text="RADIOLOGY">
      <formula>NOT(ISERROR(SEARCH(("RADIOLOGY"),(L58))))</formula>
    </cfRule>
    <cfRule type="containsText" priority="28932" operator="containsText" dxfId="7" text="HEM/ONC">
      <formula>NOT(ISERROR(SEARCH(("HEM/ONC"),(L58))))</formula>
    </cfRule>
    <cfRule type="containsText" priority="28933" operator="containsText" dxfId="7" text="CARDIO">
      <formula>NOT(ISERROR(SEARCH(("CARDIO"),(L58))))</formula>
    </cfRule>
    <cfRule type="containsText" priority="28934" operator="containsText" dxfId="7" text="ID">
      <formula>NOT(ISERROR(SEARCH(("ID"),(L58))))</formula>
    </cfRule>
    <cfRule type="containsText" priority="28935" operator="containsText" dxfId="7" text="NEURO">
      <formula>NOT(ISERROR(SEARCH(("NEURO"),(L58))))</formula>
    </cfRule>
    <cfRule type="containsText" priority="28936" operator="containsText" dxfId="6" text="NEURO">
      <formula>NOT(ISERROR(SEARCH(("NEURO"),(L58))))</formula>
    </cfRule>
    <cfRule type="containsText" priority="28937" operator="containsText" dxfId="5" text="NEURO">
      <formula>NOT(ISERROR(SEARCH(("NEURO"),(L58))))</formula>
    </cfRule>
    <cfRule type="containsText" priority="28938" operator="containsText" dxfId="0" text="ICU N">
      <formula>NOT(ISERROR(SEARCH(("ICU N"),(L58))))</formula>
    </cfRule>
    <cfRule type="containsText" priority="28939" operator="containsText" dxfId="3" text="ICU">
      <formula>NOT(ISERROR(SEARCH(("ICU"),(L58))))</formula>
    </cfRule>
    <cfRule type="containsText" priority="28940" operator="containsText" dxfId="0" text="SWING">
      <formula>NOT(ISERROR(SEARCH(("SWING"),(L58))))</formula>
    </cfRule>
    <cfRule type="containsText" priority="28941" operator="containsText" dxfId="0" text="NF">
      <formula>NOT(ISERROR(SEARCH(("NF"),(L58))))</formula>
    </cfRule>
    <cfRule type="containsText" priority="28942" operator="containsText" dxfId="0" text="ICU N">
      <formula>NOT(ISERROR(SEARCH(("ICU N"),(L58))))</formula>
    </cfRule>
  </conditionalFormatting>
  <conditionalFormatting sqref="L59">
    <cfRule type="containsText" priority="28907" operator="containsText" dxfId="16" text="ED">
      <formula>NOT(ISERROR(SEARCH(("ED"),(L59))))</formula>
    </cfRule>
    <cfRule type="containsText" priority="28908" operator="containsText" dxfId="15" text="GERIATRIC">
      <formula>NOT(ISERROR(SEARCH(("GERIATRIC"),(L59))))</formula>
    </cfRule>
    <cfRule type="containsText" priority="28909" operator="containsText" dxfId="17" text="VACATION">
      <formula>NOT(ISERROR(SEARCH(("VACATION"),(L59))))</formula>
    </cfRule>
    <cfRule type="containsText" priority="28910" operator="containsText" dxfId="7" text="PATH">
      <formula>NOT(ISERROR(SEARCH(("PATH"),(L59))))</formula>
    </cfRule>
    <cfRule type="containsText" priority="28911" operator="containsText" dxfId="7" text="NEPHRO">
      <formula>NOT(ISERROR(SEARCH(("NEPHRO"),(L59))))</formula>
    </cfRule>
    <cfRule type="containsText" priority="28912" operator="containsText" dxfId="7" text="PULM">
      <formula>NOT(ISERROR(SEARCH(("PULM"),(L59))))</formula>
    </cfRule>
    <cfRule type="containsText" priority="28913" operator="containsText" dxfId="7" text="RADIOLOGY">
      <formula>NOT(ISERROR(SEARCH(("RADIOLOGY"),(L59))))</formula>
    </cfRule>
    <cfRule type="containsText" priority="28914" operator="containsText" dxfId="7" text="HEM/ONC">
      <formula>NOT(ISERROR(SEARCH(("HEM/ONC"),(L59))))</formula>
    </cfRule>
    <cfRule type="containsText" priority="28915" operator="containsText" dxfId="7" text="CARDIO">
      <formula>NOT(ISERROR(SEARCH(("CARDIO"),(L59))))</formula>
    </cfRule>
    <cfRule type="containsText" priority="28916" operator="containsText" dxfId="7" text="ID">
      <formula>NOT(ISERROR(SEARCH(("ID"),(L59))))</formula>
    </cfRule>
    <cfRule type="containsText" priority="28917" operator="containsText" dxfId="7" text="NEURO">
      <formula>NOT(ISERROR(SEARCH(("NEURO"),(L59))))</formula>
    </cfRule>
    <cfRule type="containsText" priority="28918" operator="containsText" dxfId="6" text="NEURO">
      <formula>NOT(ISERROR(SEARCH(("NEURO"),(L59))))</formula>
    </cfRule>
    <cfRule type="containsText" priority="28919" operator="containsText" dxfId="5" text="NEURO">
      <formula>NOT(ISERROR(SEARCH(("NEURO"),(L59))))</formula>
    </cfRule>
    <cfRule type="containsText" priority="28920" operator="containsText" dxfId="0" text="ICU N">
      <formula>NOT(ISERROR(SEARCH(("ICU N"),(L59))))</formula>
    </cfRule>
    <cfRule type="containsText" priority="28921" operator="containsText" dxfId="3" text="ICU">
      <formula>NOT(ISERROR(SEARCH(("ICU"),(L59))))</formula>
    </cfRule>
    <cfRule type="containsText" priority="28922" operator="containsText" dxfId="0" text="SWING">
      <formula>NOT(ISERROR(SEARCH(("SWING"),(L59))))</formula>
    </cfRule>
    <cfRule type="containsText" priority="28923" operator="containsText" dxfId="0" text="NF">
      <formula>NOT(ISERROR(SEARCH(("NF"),(L59))))</formula>
    </cfRule>
    <cfRule type="containsText" priority="28924" operator="containsText" dxfId="0" text="ICU N">
      <formula>NOT(ISERROR(SEARCH(("ICU N"),(L59))))</formula>
    </cfRule>
  </conditionalFormatting>
  <conditionalFormatting sqref="F55">
    <cfRule type="containsText" priority="28837" operator="containsText" dxfId="16" text="ED">
      <formula>NOT(ISERROR(SEARCH(("ED"),(F55))))</formula>
    </cfRule>
    <cfRule type="containsText" priority="28838" operator="containsText" dxfId="15" text="GERIATRIC">
      <formula>NOT(ISERROR(SEARCH(("GERIATRIC"),(F55))))</formula>
    </cfRule>
    <cfRule type="containsText" priority="28839" operator="containsText" dxfId="7" text="PATH">
      <formula>NOT(ISERROR(SEARCH(("PATH"),(F55))))</formula>
    </cfRule>
    <cfRule type="containsText" priority="28840" operator="containsText" dxfId="7" text="NEPHRO">
      <formula>NOT(ISERROR(SEARCH(("NEPHRO"),(F55))))</formula>
    </cfRule>
    <cfRule type="containsText" priority="28841" operator="containsText" dxfId="7" text="PULM">
      <formula>NOT(ISERROR(SEARCH(("PULM"),(F55))))</formula>
    </cfRule>
    <cfRule type="containsText" priority="28842" operator="containsText" dxfId="7" text="RADIOLOGY">
      <formula>NOT(ISERROR(SEARCH(("RADIOLOGY"),(F55))))</formula>
    </cfRule>
    <cfRule type="containsText" priority="28843" operator="containsText" dxfId="7" text="HEM/ONC">
      <formula>NOT(ISERROR(SEARCH(("HEM/ONC"),(F55))))</formula>
    </cfRule>
    <cfRule type="containsText" priority="28844" operator="containsText" dxfId="7" text="CARDIO">
      <formula>NOT(ISERROR(SEARCH(("CARDIO"),(F55))))</formula>
    </cfRule>
    <cfRule type="containsText" priority="28845" operator="containsText" dxfId="7" text="ID">
      <formula>NOT(ISERROR(SEARCH(("ID"),(F55))))</formula>
    </cfRule>
    <cfRule type="containsText" priority="28846" operator="containsText" dxfId="7" text="NEURO">
      <formula>NOT(ISERROR(SEARCH(("NEURO"),(F55))))</formula>
    </cfRule>
    <cfRule type="containsText" priority="28847" operator="containsText" dxfId="6" text="NEURO">
      <formula>NOT(ISERROR(SEARCH(("NEURO"),(F55))))</formula>
    </cfRule>
    <cfRule type="containsText" priority="28848" operator="containsText" dxfId="5" text="NEURO">
      <formula>NOT(ISERROR(SEARCH(("NEURO"),(F55))))</formula>
    </cfRule>
    <cfRule type="containsText" priority="28849" operator="containsText" dxfId="0" text="ICU N">
      <formula>NOT(ISERROR(SEARCH(("ICU N"),(F55))))</formula>
    </cfRule>
    <cfRule type="containsText" priority="28850" operator="containsText" dxfId="3" text="ICU">
      <formula>NOT(ISERROR(SEARCH(("ICU"),(F55))))</formula>
    </cfRule>
    <cfRule type="containsText" priority="28851" operator="containsText" dxfId="0" text="SWING">
      <formula>NOT(ISERROR(SEARCH(("SWING"),(F55))))</formula>
    </cfRule>
    <cfRule type="containsText" priority="28852" operator="containsText" dxfId="0" text="NF">
      <formula>NOT(ISERROR(SEARCH(("NF"),(F55))))</formula>
    </cfRule>
    <cfRule type="containsText" priority="28836" operator="containsText" dxfId="17" text="VACATION">
      <formula>NOT(ISERROR(SEARCH(("VACATION"),(F55))))</formula>
    </cfRule>
  </conditionalFormatting>
  <conditionalFormatting sqref="Y4">
    <cfRule type="containsText" priority="28817" operator="containsText" dxfId="17" text="VACATION">
      <formula>NOT(ISERROR(SEARCH(("VACATION"),(Y4))))</formula>
    </cfRule>
    <cfRule type="containsText" priority="28818" operator="containsText" dxfId="0" text="ICU N">
      <formula>NOT(ISERROR(SEARCH(("ICU N"),(Y4))))</formula>
    </cfRule>
  </conditionalFormatting>
  <conditionalFormatting sqref="D58">
    <cfRule type="containsText" priority="28799" operator="containsText" dxfId="16" text="ED">
      <formula>NOT(ISERROR(SEARCH(("ED"),(D58))))</formula>
    </cfRule>
    <cfRule type="containsText" priority="28800" operator="containsText" dxfId="15" text="GERIATRIC">
      <formula>NOT(ISERROR(SEARCH(("GERIATRIC"),(D58))))</formula>
    </cfRule>
    <cfRule type="containsText" priority="28801" operator="containsText" dxfId="17" text="VACATION">
      <formula>NOT(ISERROR(SEARCH(("VACATION"),(D58))))</formula>
    </cfRule>
    <cfRule type="containsText" priority="28802" operator="containsText" dxfId="7" text="PATH">
      <formula>NOT(ISERROR(SEARCH(("PATH"),(D58))))</formula>
    </cfRule>
    <cfRule type="containsText" priority="28803" operator="containsText" dxfId="7" text="NEPHRO">
      <formula>NOT(ISERROR(SEARCH(("NEPHRO"),(D58))))</formula>
    </cfRule>
    <cfRule type="containsText" priority="28804" operator="containsText" dxfId="7" text="PULM">
      <formula>NOT(ISERROR(SEARCH(("PULM"),(D58))))</formula>
    </cfRule>
    <cfRule type="containsText" priority="28805" operator="containsText" dxfId="7" text="RADIOLOGY">
      <formula>NOT(ISERROR(SEARCH(("RADIOLOGY"),(D58))))</formula>
    </cfRule>
    <cfRule type="containsText" priority="28806" operator="containsText" dxfId="7" text="HEM/ONC">
      <formula>NOT(ISERROR(SEARCH(("HEM/ONC"),(D58))))</formula>
    </cfRule>
    <cfRule type="containsText" priority="28807" operator="containsText" dxfId="7" text="CARDIO">
      <formula>NOT(ISERROR(SEARCH(("CARDIO"),(D58))))</formula>
    </cfRule>
    <cfRule type="containsText" priority="28808" operator="containsText" dxfId="7" text="ID">
      <formula>NOT(ISERROR(SEARCH(("ID"),(D58))))</formula>
    </cfRule>
    <cfRule type="containsText" priority="28809" operator="containsText" dxfId="7" text="NEURO">
      <formula>NOT(ISERROR(SEARCH(("NEURO"),(D58))))</formula>
    </cfRule>
    <cfRule type="containsText" priority="28810" operator="containsText" dxfId="6" text="NEURO">
      <formula>NOT(ISERROR(SEARCH(("NEURO"),(D58))))</formula>
    </cfRule>
    <cfRule type="containsText" priority="28811" operator="containsText" dxfId="5" text="NEURO">
      <formula>NOT(ISERROR(SEARCH(("NEURO"),(D58))))</formula>
    </cfRule>
    <cfRule type="containsText" priority="28812" operator="containsText" dxfId="0" text="ICU N">
      <formula>NOT(ISERROR(SEARCH(("ICU N"),(D58))))</formula>
    </cfRule>
    <cfRule type="containsText" priority="28813" operator="containsText" dxfId="3" text="ICU">
      <formula>NOT(ISERROR(SEARCH(("ICU"),(D58))))</formula>
    </cfRule>
    <cfRule type="containsText" priority="28814" operator="containsText" dxfId="0" text="SWING">
      <formula>NOT(ISERROR(SEARCH(("SWING"),(D58))))</formula>
    </cfRule>
    <cfRule type="containsText" priority="28815" operator="containsText" dxfId="0" text="NF">
      <formula>NOT(ISERROR(SEARCH(("NF"),(D58))))</formula>
    </cfRule>
    <cfRule type="containsText" priority="28816" operator="containsText" dxfId="0" text="ICU N">
      <formula>NOT(ISERROR(SEARCH(("ICU N"),(D58))))</formula>
    </cfRule>
  </conditionalFormatting>
  <conditionalFormatting sqref="D57">
    <cfRule type="containsText" priority="28781" operator="containsText" dxfId="16" text="ED">
      <formula>NOT(ISERROR(SEARCH(("ED"),(D57))))</formula>
    </cfRule>
    <cfRule type="containsText" priority="28782" operator="containsText" dxfId="15" text="GERIATRIC">
      <formula>NOT(ISERROR(SEARCH(("GERIATRIC"),(D57))))</formula>
    </cfRule>
    <cfRule type="containsText" priority="28783" operator="containsText" dxfId="17" text="VACATION">
      <formula>NOT(ISERROR(SEARCH(("VACATION"),(D57))))</formula>
    </cfRule>
    <cfRule type="containsText" priority="28784" operator="containsText" dxfId="7" text="PATH">
      <formula>NOT(ISERROR(SEARCH(("PATH"),(D57))))</formula>
    </cfRule>
    <cfRule type="containsText" priority="28785" operator="containsText" dxfId="7" text="NEPHRO">
      <formula>NOT(ISERROR(SEARCH(("NEPHRO"),(D57))))</formula>
    </cfRule>
    <cfRule type="containsText" priority="28786" operator="containsText" dxfId="7" text="PULM">
      <formula>NOT(ISERROR(SEARCH(("PULM"),(D57))))</formula>
    </cfRule>
    <cfRule type="containsText" priority="28787" operator="containsText" dxfId="7" text="RADIOLOGY">
      <formula>NOT(ISERROR(SEARCH(("RADIOLOGY"),(D57))))</formula>
    </cfRule>
    <cfRule type="containsText" priority="28788" operator="containsText" dxfId="7" text="HEM/ONC">
      <formula>NOT(ISERROR(SEARCH(("HEM/ONC"),(D57))))</formula>
    </cfRule>
    <cfRule type="containsText" priority="28789" operator="containsText" dxfId="7" text="CARDIO">
      <formula>NOT(ISERROR(SEARCH(("CARDIO"),(D57))))</formula>
    </cfRule>
    <cfRule type="containsText" priority="28790" operator="containsText" dxfId="7" text="ID">
      <formula>NOT(ISERROR(SEARCH(("ID"),(D57))))</formula>
    </cfRule>
    <cfRule type="containsText" priority="28791" operator="containsText" dxfId="7" text="NEURO">
      <formula>NOT(ISERROR(SEARCH(("NEURO"),(D57))))</formula>
    </cfRule>
    <cfRule type="containsText" priority="28792" operator="containsText" dxfId="6" text="NEURO">
      <formula>NOT(ISERROR(SEARCH(("NEURO"),(D57))))</formula>
    </cfRule>
    <cfRule type="containsText" priority="28793" operator="containsText" dxfId="5" text="NEURO">
      <formula>NOT(ISERROR(SEARCH(("NEURO"),(D57))))</formula>
    </cfRule>
    <cfRule type="containsText" priority="28794" operator="containsText" dxfId="0" text="ICU N">
      <formula>NOT(ISERROR(SEARCH(("ICU N"),(D57))))</formula>
    </cfRule>
    <cfRule type="containsText" priority="28795" operator="containsText" dxfId="3" text="ICU">
      <formula>NOT(ISERROR(SEARCH(("ICU"),(D57))))</formula>
    </cfRule>
    <cfRule type="containsText" priority="28796" operator="containsText" dxfId="0" text="SWING">
      <formula>NOT(ISERROR(SEARCH(("SWING"),(D57))))</formula>
    </cfRule>
    <cfRule type="containsText" priority="28797" operator="containsText" dxfId="0" text="NF">
      <formula>NOT(ISERROR(SEARCH(("NF"),(D57))))</formula>
    </cfRule>
    <cfRule type="containsText" priority="28798" operator="containsText" dxfId="0" text="ICU N">
      <formula>NOT(ISERROR(SEARCH(("ICU N"),(D57))))</formula>
    </cfRule>
  </conditionalFormatting>
  <conditionalFormatting sqref="AT29">
    <cfRule type="containsText" priority="28670" operator="containsText" dxfId="7" text="PATH">
      <formula>NOT(ISERROR(SEARCH(("PATH"),(AT29))))</formula>
    </cfRule>
    <cfRule type="containsText" priority="28671" operator="containsText" dxfId="7" text="NEPHRO">
      <formula>NOT(ISERROR(SEARCH(("NEPHRO"),(AT29))))</formula>
    </cfRule>
    <cfRule type="containsText" priority="28672" operator="containsText" dxfId="7" text="PULM">
      <formula>NOT(ISERROR(SEARCH(("PULM"),(AT29))))</formula>
    </cfRule>
    <cfRule type="containsText" priority="28673" operator="containsText" dxfId="7" text="RADIOLOGY">
      <formula>NOT(ISERROR(SEARCH(("RADIOLOGY"),(AT29))))</formula>
    </cfRule>
    <cfRule type="containsText" priority="28674" operator="containsText" dxfId="7" text="HEM/ONC">
      <formula>NOT(ISERROR(SEARCH(("HEM/ONC"),(AT29))))</formula>
    </cfRule>
    <cfRule type="containsText" priority="28675" operator="containsText" dxfId="7" text="CARDIO">
      <formula>NOT(ISERROR(SEARCH(("CARDIO"),(AT29))))</formula>
    </cfRule>
    <cfRule type="containsText" priority="28676" operator="containsText" dxfId="7" text="ID">
      <formula>NOT(ISERROR(SEARCH(("ID"),(AT29))))</formula>
    </cfRule>
    <cfRule type="containsText" priority="28677" operator="containsText" dxfId="7" text="NEURO">
      <formula>NOT(ISERROR(SEARCH(("NEURO"),(AT29))))</formula>
    </cfRule>
    <cfRule type="containsText" priority="28678" operator="containsText" dxfId="6" text="NEURO">
      <formula>NOT(ISERROR(SEARCH(("NEURO"),(AT29))))</formula>
    </cfRule>
    <cfRule type="containsText" priority="28679" operator="containsText" dxfId="5" text="NEURO">
      <formula>NOT(ISERROR(SEARCH(("NEURO"),(AT29))))</formula>
    </cfRule>
    <cfRule type="containsText" priority="28680" operator="containsText" dxfId="0" text="ICU N">
      <formula>NOT(ISERROR(SEARCH(("ICU N"),(AT29))))</formula>
    </cfRule>
    <cfRule type="containsText" priority="28681" operator="containsText" dxfId="3" text="ICU">
      <formula>NOT(ISERROR(SEARCH(("ICU"),(AT29))))</formula>
    </cfRule>
    <cfRule type="containsText" priority="28682" operator="containsText" dxfId="0" text="SWING">
      <formula>NOT(ISERROR(SEARCH(("SWING"),(AT29))))</formula>
    </cfRule>
    <cfRule type="containsText" priority="28683" operator="containsText" dxfId="0" text="NF">
      <formula>NOT(ISERROR(SEARCH(("NF"),(AT29))))</formula>
    </cfRule>
    <cfRule type="containsText" priority="28684" operator="containsText" dxfId="0" text="ICU N">
      <formula>NOT(ISERROR(SEARCH(("ICU N"),(AT29))))</formula>
    </cfRule>
  </conditionalFormatting>
  <conditionalFormatting sqref="N51">
    <cfRule type="containsText" priority="28503" operator="containsText" dxfId="16" text="ED">
      <formula>NOT(ISERROR(SEARCH(("ED"),(N51))))</formula>
    </cfRule>
    <cfRule type="containsText" priority="28504" operator="containsText" dxfId="15" text="GERIATRIC">
      <formula>NOT(ISERROR(SEARCH(("GERIATRIC"),(N51))))</formula>
    </cfRule>
    <cfRule type="containsText" priority="28505" operator="containsText" dxfId="17" text="VACATION">
      <formula>NOT(ISERROR(SEARCH(("VACATION"),(N51))))</formula>
    </cfRule>
    <cfRule type="containsText" priority="28506" operator="containsText" dxfId="7" text="PATH">
      <formula>NOT(ISERROR(SEARCH(("PATH"),(N51))))</formula>
    </cfRule>
    <cfRule type="containsText" priority="28507" operator="containsText" dxfId="7" text="NEPHRO">
      <formula>NOT(ISERROR(SEARCH(("NEPHRO"),(N51))))</formula>
    </cfRule>
    <cfRule type="containsText" priority="28508" operator="containsText" dxfId="7" text="PULM">
      <formula>NOT(ISERROR(SEARCH(("PULM"),(N51))))</formula>
    </cfRule>
    <cfRule type="containsText" priority="28509" operator="containsText" dxfId="7" text="RADIOLOGY">
      <formula>NOT(ISERROR(SEARCH(("RADIOLOGY"),(N51))))</formula>
    </cfRule>
    <cfRule type="containsText" priority="28510" operator="containsText" dxfId="7" text="HEM/ONC">
      <formula>NOT(ISERROR(SEARCH(("HEM/ONC"),(N51))))</formula>
    </cfRule>
    <cfRule type="containsText" priority="28511" operator="containsText" dxfId="7" text="CARDIO">
      <formula>NOT(ISERROR(SEARCH(("CARDIO"),(N51))))</formula>
    </cfRule>
    <cfRule type="containsText" priority="28512" operator="containsText" dxfId="7" text="ID">
      <formula>NOT(ISERROR(SEARCH(("ID"),(N51))))</formula>
    </cfRule>
    <cfRule type="containsText" priority="28513" operator="containsText" dxfId="7" text="NEURO">
      <formula>NOT(ISERROR(SEARCH(("NEURO"),(N51))))</formula>
    </cfRule>
    <cfRule type="containsText" priority="28514" operator="containsText" dxfId="6" text="NEURO">
      <formula>NOT(ISERROR(SEARCH(("NEURO"),(N51))))</formula>
    </cfRule>
    <cfRule type="containsText" priority="28515" operator="containsText" dxfId="5" text="NEURO">
      <formula>NOT(ISERROR(SEARCH(("NEURO"),(N51))))</formula>
    </cfRule>
    <cfRule type="containsText" priority="28516" operator="containsText" dxfId="0" text="ICU N">
      <formula>NOT(ISERROR(SEARCH(("ICU N"),(N51))))</formula>
    </cfRule>
    <cfRule type="containsText" priority="28517" operator="containsText" dxfId="3" text="ICU">
      <formula>NOT(ISERROR(SEARCH(("ICU"),(N51))))</formula>
    </cfRule>
    <cfRule type="containsText" priority="28518" operator="containsText" dxfId="0" text="SWING">
      <formula>NOT(ISERROR(SEARCH(("SWING"),(N51))))</formula>
    </cfRule>
    <cfRule type="containsText" priority="28519" operator="containsText" dxfId="0" text="NF">
      <formula>NOT(ISERROR(SEARCH(("NF"),(N51))))</formula>
    </cfRule>
    <cfRule type="containsText" priority="28520" operator="containsText" dxfId="0" text="ICU N">
      <formula>NOT(ISERROR(SEARCH(("ICU N"),(N51))))</formula>
    </cfRule>
  </conditionalFormatting>
  <conditionalFormatting sqref="P53">
    <cfRule type="containsText" priority="28485" operator="containsText" dxfId="16" text="ED">
      <formula>NOT(ISERROR(SEARCH(("ED"),(P53))))</formula>
    </cfRule>
    <cfRule type="containsText" priority="28486" operator="containsText" dxfId="15" text="GERIATRIC">
      <formula>NOT(ISERROR(SEARCH(("GERIATRIC"),(P53))))</formula>
    </cfRule>
    <cfRule type="containsText" priority="28487" operator="containsText" dxfId="17" text="VACATION">
      <formula>NOT(ISERROR(SEARCH(("VACATION"),(P53))))</formula>
    </cfRule>
    <cfRule type="containsText" priority="28488" operator="containsText" dxfId="7" text="PATH">
      <formula>NOT(ISERROR(SEARCH(("PATH"),(P53))))</formula>
    </cfRule>
    <cfRule type="containsText" priority="28489" operator="containsText" dxfId="7" text="NEPHRO">
      <formula>NOT(ISERROR(SEARCH(("NEPHRO"),(P53))))</formula>
    </cfRule>
    <cfRule type="containsText" priority="28490" operator="containsText" dxfId="7" text="PULM">
      <formula>NOT(ISERROR(SEARCH(("PULM"),(P53))))</formula>
    </cfRule>
    <cfRule type="containsText" priority="28491" operator="containsText" dxfId="7" text="RADIOLOGY">
      <formula>NOT(ISERROR(SEARCH(("RADIOLOGY"),(P53))))</formula>
    </cfRule>
    <cfRule type="containsText" priority="28492" operator="containsText" dxfId="7" text="HEM/ONC">
      <formula>NOT(ISERROR(SEARCH(("HEM/ONC"),(P53))))</formula>
    </cfRule>
    <cfRule type="containsText" priority="28493" operator="containsText" dxfId="7" text="CARDIO">
      <formula>NOT(ISERROR(SEARCH(("CARDIO"),(P53))))</formula>
    </cfRule>
    <cfRule type="containsText" priority="28494" operator="containsText" dxfId="7" text="ID">
      <formula>NOT(ISERROR(SEARCH(("ID"),(P53))))</formula>
    </cfRule>
    <cfRule type="containsText" priority="28495" operator="containsText" dxfId="7" text="NEURO">
      <formula>NOT(ISERROR(SEARCH(("NEURO"),(P53))))</formula>
    </cfRule>
    <cfRule type="containsText" priority="28496" operator="containsText" dxfId="6" text="NEURO">
      <formula>NOT(ISERROR(SEARCH(("NEURO"),(P53))))</formula>
    </cfRule>
    <cfRule type="containsText" priority="28497" operator="containsText" dxfId="5" text="NEURO">
      <formula>NOT(ISERROR(SEARCH(("NEURO"),(P53))))</formula>
    </cfRule>
    <cfRule type="containsText" priority="28498" operator="containsText" dxfId="0" text="ICU N">
      <formula>NOT(ISERROR(SEARCH(("ICU N"),(P53))))</formula>
    </cfRule>
    <cfRule type="containsText" priority="28499" operator="containsText" dxfId="3" text="ICU">
      <formula>NOT(ISERROR(SEARCH(("ICU"),(P53))))</formula>
    </cfRule>
    <cfRule type="containsText" priority="28500" operator="containsText" dxfId="0" text="SWING">
      <formula>NOT(ISERROR(SEARCH(("SWING"),(P53))))</formula>
    </cfRule>
    <cfRule type="containsText" priority="28501" operator="containsText" dxfId="0" text="NF">
      <formula>NOT(ISERROR(SEARCH(("NF"),(P53))))</formula>
    </cfRule>
    <cfRule type="containsText" priority="28502" operator="containsText" dxfId="0" text="ICU N">
      <formula>NOT(ISERROR(SEARCH(("ICU N"),(P53))))</formula>
    </cfRule>
  </conditionalFormatting>
  <conditionalFormatting sqref="AI29">
    <cfRule type="containsText" priority="28419" operator="containsText" dxfId="17" text="VACATION">
      <formula>NOT(ISERROR(SEARCH(("VACATION"),(AI29))))</formula>
    </cfRule>
    <cfRule type="containsText" priority="28420" operator="containsText" dxfId="0" text="ICU N">
      <formula>NOT(ISERROR(SEARCH(("ICU N"),(AI29))))</formula>
    </cfRule>
    <cfRule type="containsText" priority="28418" operator="containsText" dxfId="17" text="VACATION">
      <formula>NOT(ISERROR(SEARCH(("VACATION"),(AI29))))</formula>
    </cfRule>
  </conditionalFormatting>
  <conditionalFormatting sqref="AK29">
    <cfRule type="containsText" priority="28417" operator="containsText" dxfId="17" text="VACATION">
      <formula>NOT(ISERROR(SEARCH(("VACATION"),(AK29))))</formula>
    </cfRule>
  </conditionalFormatting>
  <conditionalFormatting sqref="AN11">
    <cfRule type="containsText" priority="28141" operator="containsText" dxfId="16" text="ED">
      <formula>NOT(ISERROR(SEARCH(("ED"),(AN11))))</formula>
    </cfRule>
    <cfRule type="containsText" priority="28142" operator="containsText" dxfId="15" text="GERIATRIC">
      <formula>NOT(ISERROR(SEARCH(("GERIATRIC"),(AN11))))</formula>
    </cfRule>
    <cfRule type="containsText" priority="28143" operator="containsText" dxfId="7" text="PATH">
      <formula>NOT(ISERROR(SEARCH(("PATH"),(AN11))))</formula>
    </cfRule>
    <cfRule type="containsText" priority="28144" operator="containsText" dxfId="7" text="NEPHRO">
      <formula>NOT(ISERROR(SEARCH(("NEPHRO"),(AN11))))</formula>
    </cfRule>
    <cfRule type="containsText" priority="28145" operator="containsText" dxfId="7" text="PULM">
      <formula>NOT(ISERROR(SEARCH(("PULM"),(AN11))))</formula>
    </cfRule>
    <cfRule type="containsText" priority="28146" operator="containsText" dxfId="7" text="RADIOLOGY">
      <formula>NOT(ISERROR(SEARCH(("RADIOLOGY"),(AN11))))</formula>
    </cfRule>
    <cfRule type="containsText" priority="28147" operator="containsText" dxfId="7" text="HEM/ONC">
      <formula>NOT(ISERROR(SEARCH(("HEM/ONC"),(AN11))))</formula>
    </cfRule>
    <cfRule type="containsText" priority="28148" operator="containsText" dxfId="7" text="CARDIO">
      <formula>NOT(ISERROR(SEARCH(("CARDIO"),(AN11))))</formula>
    </cfRule>
    <cfRule type="containsText" priority="28149" operator="containsText" dxfId="7" text="ID">
      <formula>NOT(ISERROR(SEARCH(("ID"),(AN11))))</formula>
    </cfRule>
    <cfRule type="containsText" priority="28150" operator="containsText" dxfId="7" text="NEURO">
      <formula>NOT(ISERROR(SEARCH(("NEURO"),(AN11))))</formula>
    </cfRule>
    <cfRule type="containsText" priority="28151" operator="containsText" dxfId="6" text="NEURO">
      <formula>NOT(ISERROR(SEARCH(("NEURO"),(AN11))))</formula>
    </cfRule>
    <cfRule type="containsText" priority="28152" operator="containsText" dxfId="5" text="NEURO">
      <formula>NOT(ISERROR(SEARCH(("NEURO"),(AN11))))</formula>
    </cfRule>
    <cfRule type="containsText" priority="28153" operator="containsText" dxfId="0" text="ICU N">
      <formula>NOT(ISERROR(SEARCH(("ICU N"),(AN11))))</formula>
    </cfRule>
    <cfRule type="containsText" priority="28154" operator="containsText" dxfId="3" text="ICU">
      <formula>NOT(ISERROR(SEARCH(("ICU"),(AN11))))</formula>
    </cfRule>
    <cfRule type="containsText" priority="28155" operator="containsText" dxfId="0" text="SWING">
      <formula>NOT(ISERROR(SEARCH(("SWING"),(AN11))))</formula>
    </cfRule>
    <cfRule type="containsText" priority="28156" operator="containsText" dxfId="0" text="NF">
      <formula>NOT(ISERROR(SEARCH(("NF"),(AN11))))</formula>
    </cfRule>
    <cfRule type="containsText" priority="28109" operator="containsText" dxfId="16" text="ED">
      <formula>NOT(ISERROR(SEARCH(("ED"),(AN11))))</formula>
    </cfRule>
    <cfRule type="containsText" priority="28110" operator="containsText" dxfId="15" text="GERIATRIC">
      <formula>NOT(ISERROR(SEARCH(("GERIATRIC"),(AN11))))</formula>
    </cfRule>
    <cfRule type="containsText" priority="28111" operator="containsText" dxfId="7" text="PATH">
      <formula>NOT(ISERROR(SEARCH(("PATH"),(AN11))))</formula>
    </cfRule>
    <cfRule type="containsText" priority="28112" operator="containsText" dxfId="7" text="NEPHRO">
      <formula>NOT(ISERROR(SEARCH(("NEPHRO"),(AN11))))</formula>
    </cfRule>
    <cfRule type="containsText" priority="28113" operator="containsText" dxfId="7" text="PULM">
      <formula>NOT(ISERROR(SEARCH(("PULM"),(AN11))))</formula>
    </cfRule>
    <cfRule type="containsText" priority="28114" operator="containsText" dxfId="7" text="RADIOLOGY">
      <formula>NOT(ISERROR(SEARCH(("RADIOLOGY"),(AN11))))</formula>
    </cfRule>
    <cfRule type="containsText" priority="28115" operator="containsText" dxfId="7" text="HEM/ONC">
      <formula>NOT(ISERROR(SEARCH(("HEM/ONC"),(AN11))))</formula>
    </cfRule>
    <cfRule type="containsText" priority="28116" operator="containsText" dxfId="7" text="CARDIO">
      <formula>NOT(ISERROR(SEARCH(("CARDIO"),(AN11))))</formula>
    </cfRule>
    <cfRule type="containsText" priority="28117" operator="containsText" dxfId="7" text="ID">
      <formula>NOT(ISERROR(SEARCH(("ID"),(AN11))))</formula>
    </cfRule>
    <cfRule type="containsText" priority="28118" operator="containsText" dxfId="7" text="NEURO">
      <formula>NOT(ISERROR(SEARCH(("NEURO"),(AN11))))</formula>
    </cfRule>
    <cfRule type="containsText" priority="28119" operator="containsText" dxfId="6" text="NEURO">
      <formula>NOT(ISERROR(SEARCH(("NEURO"),(AN11))))</formula>
    </cfRule>
    <cfRule type="containsText" priority="28120" operator="containsText" dxfId="5" text="NEURO">
      <formula>NOT(ISERROR(SEARCH(("NEURO"),(AN11))))</formula>
    </cfRule>
    <cfRule type="containsText" priority="28121" operator="containsText" dxfId="0" text="ICU N">
      <formula>NOT(ISERROR(SEARCH(("ICU N"),(AN11))))</formula>
    </cfRule>
    <cfRule type="containsText" priority="28122" operator="containsText" dxfId="3" text="ICU">
      <formula>NOT(ISERROR(SEARCH(("ICU"),(AN11))))</formula>
    </cfRule>
    <cfRule type="containsText" priority="28123" operator="containsText" dxfId="0" text="SWING">
      <formula>NOT(ISERROR(SEARCH(("SWING"),(AN11))))</formula>
    </cfRule>
    <cfRule type="containsText" priority="28124" operator="containsText" dxfId="0" text="NF">
      <formula>NOT(ISERROR(SEARCH(("NF"),(AN11))))</formula>
    </cfRule>
  </conditionalFormatting>
  <conditionalFormatting sqref="I30">
    <cfRule type="containsText" priority="28055" operator="containsText" dxfId="16" text="ED">
      <formula>NOT(ISERROR(SEARCH(("ED"),(I30))))</formula>
    </cfRule>
    <cfRule type="containsText" priority="28056" operator="containsText" dxfId="15" text="GERIATRIC">
      <formula>NOT(ISERROR(SEARCH(("GERIATRIC"),(I30))))</formula>
    </cfRule>
    <cfRule type="containsText" priority="28057" operator="containsText" dxfId="17" text="VACATION">
      <formula>NOT(ISERROR(SEARCH(("VACATION"),(I30))))</formula>
    </cfRule>
    <cfRule type="containsText" priority="28058" operator="containsText" dxfId="7" text="PATH">
      <formula>NOT(ISERROR(SEARCH(("PATH"),(I30))))</formula>
    </cfRule>
    <cfRule type="containsText" priority="28059" operator="containsText" dxfId="7" text="NEPHRO">
      <formula>NOT(ISERROR(SEARCH(("NEPHRO"),(I30))))</formula>
    </cfRule>
    <cfRule type="containsText" priority="28060" operator="containsText" dxfId="7" text="PULM">
      <formula>NOT(ISERROR(SEARCH(("PULM"),(I30))))</formula>
    </cfRule>
    <cfRule type="containsText" priority="28061" operator="containsText" dxfId="7" text="RADIOLOGY">
      <formula>NOT(ISERROR(SEARCH(("RADIOLOGY"),(I30))))</formula>
    </cfRule>
    <cfRule type="containsText" priority="28062" operator="containsText" dxfId="7" text="HEM/ONC">
      <formula>NOT(ISERROR(SEARCH(("HEM/ONC"),(I30))))</formula>
    </cfRule>
    <cfRule type="containsText" priority="28063" operator="containsText" dxfId="7" text="CARDIO">
      <formula>NOT(ISERROR(SEARCH(("CARDIO"),(I30))))</formula>
    </cfRule>
    <cfRule type="containsText" priority="28064" operator="containsText" dxfId="7" text="ID">
      <formula>NOT(ISERROR(SEARCH(("ID"),(I30))))</formula>
    </cfRule>
    <cfRule type="containsText" priority="28065" operator="containsText" dxfId="7" text="NEURO">
      <formula>NOT(ISERROR(SEARCH(("NEURO"),(I30))))</formula>
    </cfRule>
    <cfRule type="containsText" priority="28066" operator="containsText" dxfId="6" text="NEURO">
      <formula>NOT(ISERROR(SEARCH(("NEURO"),(I30))))</formula>
    </cfRule>
    <cfRule type="containsText" priority="28067" operator="containsText" dxfId="5" text="NEURO">
      <formula>NOT(ISERROR(SEARCH(("NEURO"),(I30))))</formula>
    </cfRule>
    <cfRule type="containsText" priority="28068" operator="containsText" dxfId="0" text="ICU N">
      <formula>NOT(ISERROR(SEARCH(("ICU N"),(I30))))</formula>
    </cfRule>
    <cfRule type="containsText" priority="28069" operator="containsText" dxfId="3" text="ICU">
      <formula>NOT(ISERROR(SEARCH(("ICU"),(I30))))</formula>
    </cfRule>
    <cfRule type="containsText" priority="28070" operator="containsText" dxfId="0" text="SWING">
      <formula>NOT(ISERROR(SEARCH(("SWING"),(I30))))</formula>
    </cfRule>
    <cfRule type="containsText" priority="28071" operator="containsText" dxfId="0" text="NF">
      <formula>NOT(ISERROR(SEARCH(("NF"),(I30))))</formula>
    </cfRule>
    <cfRule type="containsText" priority="28072" operator="containsText" dxfId="0" text="ICU N">
      <formula>NOT(ISERROR(SEARCH(("ICU N"),(I30))))</formula>
    </cfRule>
  </conditionalFormatting>
  <conditionalFormatting sqref="H13">
    <cfRule type="containsText" priority="27964" operator="containsText" dxfId="17" text="VACATION">
      <formula>NOT(ISERROR(SEARCH(("VACATION"),(H13))))</formula>
    </cfRule>
  </conditionalFormatting>
  <conditionalFormatting sqref="W27">
    <cfRule type="containsText" priority="27959" operator="containsText" dxfId="17" text="VACATION">
      <formula>NOT(ISERROR(SEARCH(("VACATION"),(W27))))</formula>
    </cfRule>
    <cfRule type="containsText" priority="27960" operator="containsText" dxfId="0" text="ICU N">
      <formula>NOT(ISERROR(SEARCH(("ICU N"),(W27))))</formula>
    </cfRule>
  </conditionalFormatting>
  <conditionalFormatting sqref="T11">
    <cfRule type="containsText" priority="27795" operator="containsText" dxfId="16" text="ED">
      <formula>NOT(ISERROR(SEARCH(("ED"),(T11))))</formula>
    </cfRule>
    <cfRule type="containsText" priority="27796" operator="containsText" dxfId="17" text="VACATION">
      <formula>NOT(ISERROR(SEARCH(("VACATION"),(T11))))</formula>
    </cfRule>
    <cfRule type="containsText" priority="27797" operator="containsText" dxfId="0" text="ICU N">
      <formula>NOT(ISERROR(SEARCH(("ICU N"),(T11))))</formula>
    </cfRule>
  </conditionalFormatting>
  <conditionalFormatting sqref="T7">
    <cfRule type="containsText" priority="27790" operator="containsText" dxfId="17" text="VACATION">
      <formula>NOT(ISERROR(SEARCH(("VACATION"),(T7))))</formula>
    </cfRule>
    <cfRule type="containsText" priority="27791" operator="containsText" dxfId="0" text="ICU N">
      <formula>NOT(ISERROR(SEARCH(("ICU N"),(T7))))</formula>
    </cfRule>
  </conditionalFormatting>
  <conditionalFormatting sqref="W24">
    <cfRule type="containsText" priority="27774" operator="containsText" dxfId="16" text="ED">
      <formula>NOT(ISERROR(SEARCH(("ED"),(W24))))</formula>
    </cfRule>
    <cfRule type="containsText" priority="27775" operator="containsText" dxfId="17" text="VACATION">
      <formula>NOT(ISERROR(SEARCH(("VACATION"),(W24))))</formula>
    </cfRule>
    <cfRule type="containsText" priority="27776" operator="containsText" dxfId="0" text="ICU N">
      <formula>NOT(ISERROR(SEARCH(("ICU N"),(W24))))</formula>
    </cfRule>
  </conditionalFormatting>
  <conditionalFormatting sqref="W11">
    <cfRule type="containsText" priority="27756" operator="containsText" dxfId="16" text="ED">
      <formula>NOT(ISERROR(SEARCH(("ED"),(W11))))</formula>
    </cfRule>
    <cfRule type="containsText" priority="27757" operator="containsText" dxfId="15" text="GERIATRIC">
      <formula>NOT(ISERROR(SEARCH(("GERIATRIC"),(W11))))</formula>
    </cfRule>
    <cfRule type="containsText" priority="27758" operator="containsText" dxfId="17" text="VACATION">
      <formula>NOT(ISERROR(SEARCH(("VACATION"),(W11))))</formula>
    </cfRule>
    <cfRule type="containsText" priority="27759" operator="containsText" dxfId="7" text="PATH">
      <formula>NOT(ISERROR(SEARCH(("PATH"),(W11))))</formula>
    </cfRule>
    <cfRule type="containsText" priority="27760" operator="containsText" dxfId="7" text="NEPHRO">
      <formula>NOT(ISERROR(SEARCH(("NEPHRO"),(W11))))</formula>
    </cfRule>
    <cfRule type="containsText" priority="27761" operator="containsText" dxfId="7" text="PULM">
      <formula>NOT(ISERROR(SEARCH(("PULM"),(W11))))</formula>
    </cfRule>
    <cfRule type="containsText" priority="27762" operator="containsText" dxfId="7" text="RADIOLOGY">
      <formula>NOT(ISERROR(SEARCH(("RADIOLOGY"),(W11))))</formula>
    </cfRule>
    <cfRule type="containsText" priority="27763" operator="containsText" dxfId="7" text="HEM/ONC">
      <formula>NOT(ISERROR(SEARCH(("HEM/ONC"),(W11))))</formula>
    </cfRule>
    <cfRule type="containsText" priority="27764" operator="containsText" dxfId="7" text="CARDIO">
      <formula>NOT(ISERROR(SEARCH(("CARDIO"),(W11))))</formula>
    </cfRule>
    <cfRule type="containsText" priority="27765" operator="containsText" dxfId="7" text="ID">
      <formula>NOT(ISERROR(SEARCH(("ID"),(W11))))</formula>
    </cfRule>
    <cfRule type="containsText" priority="27766" operator="containsText" dxfId="7" text="NEURO">
      <formula>NOT(ISERROR(SEARCH(("NEURO"),(W11))))</formula>
    </cfRule>
    <cfRule type="containsText" priority="27767" operator="containsText" dxfId="6" text="NEURO">
      <formula>NOT(ISERROR(SEARCH(("NEURO"),(W11))))</formula>
    </cfRule>
    <cfRule type="containsText" priority="27768" operator="containsText" dxfId="5" text="NEURO">
      <formula>NOT(ISERROR(SEARCH(("NEURO"),(W11))))</formula>
    </cfRule>
    <cfRule type="containsText" priority="27769" operator="containsText" dxfId="0" text="ICU N">
      <formula>NOT(ISERROR(SEARCH(("ICU N"),(W11))))</formula>
    </cfRule>
    <cfRule type="containsText" priority="27770" operator="containsText" dxfId="3" text="ICU">
      <formula>NOT(ISERROR(SEARCH(("ICU"),(W11))))</formula>
    </cfRule>
    <cfRule type="containsText" priority="27771" operator="containsText" dxfId="0" text="SWING">
      <formula>NOT(ISERROR(SEARCH(("SWING"),(W11))))</formula>
    </cfRule>
    <cfRule type="containsText" priority="27772" operator="containsText" dxfId="0" text="NF">
      <formula>NOT(ISERROR(SEARCH(("NF"),(W11))))</formula>
    </cfRule>
    <cfRule type="containsText" priority="27773" operator="containsText" dxfId="0" text="ICU N">
      <formula>NOT(ISERROR(SEARCH(("ICU N"),(W11))))</formula>
    </cfRule>
  </conditionalFormatting>
  <conditionalFormatting sqref="X41">
    <cfRule type="containsText" priority="27746" operator="containsText" dxfId="17" text="VACATION">
      <formula>NOT(ISERROR(SEARCH(("VACATION"),(X41))))</formula>
    </cfRule>
    <cfRule type="containsText" priority="27747" operator="containsText" dxfId="0" text="ICU N">
      <formula>NOT(ISERROR(SEARCH(("ICU N"),(X41))))</formula>
    </cfRule>
  </conditionalFormatting>
  <conditionalFormatting sqref="D27">
    <cfRule type="containsText" priority="27744" operator="containsText" dxfId="17" text="VACATION">
      <formula>NOT(ISERROR(SEARCH(("VACATION"),(D27))))</formula>
    </cfRule>
    <cfRule type="containsText" priority="27745" operator="containsText" dxfId="0" text="ICU N">
      <formula>NOT(ISERROR(SEARCH(("ICU N"),(D27))))</formula>
    </cfRule>
    <cfRule type="containsText" priority="26065" operator="containsText" dxfId="17" text="VACATION">
      <formula>NOT(ISERROR(SEARCH(("VACATION"),(D27))))</formula>
    </cfRule>
    <cfRule type="containsText" priority="26066" operator="containsText" dxfId="0" text="ICU N">
      <formula>NOT(ISERROR(SEARCH(("ICU N"),(D27))))</formula>
    </cfRule>
    <cfRule type="containsText" priority="26064" operator="containsText" dxfId="17" text="VACATION">
      <formula>NOT(ISERROR(SEARCH(("VACATION"),(D27))))</formula>
    </cfRule>
  </conditionalFormatting>
  <conditionalFormatting sqref="D19">
    <cfRule type="containsText" priority="27743" operator="containsText" dxfId="17" text="VACATION">
      <formula>NOT(ISERROR(SEARCH(("VACATION"),(D19))))</formula>
    </cfRule>
    <cfRule type="containsText" priority="27742" operator="containsText" dxfId="17" text="VACATION">
      <formula>NOT(ISERROR(SEARCH(("VACATION"),(D19))))</formula>
    </cfRule>
  </conditionalFormatting>
  <conditionalFormatting sqref="Y7">
    <cfRule type="containsText" priority="27732" operator="containsText" dxfId="17" text="VACATION">
      <formula>NOT(ISERROR(SEARCH(("VACATION"),(Y7))))</formula>
    </cfRule>
    <cfRule type="containsText" priority="27733" operator="containsText" dxfId="0" text="ICU N">
      <formula>NOT(ISERROR(SEARCH(("ICU N"),(Y7))))</formula>
    </cfRule>
    <cfRule type="containsText" priority="14101" operator="containsText" dxfId="15" text="GERIATRIC">
      <formula>NOT(ISERROR(SEARCH(("GERIATRIC"),(Y7))))</formula>
    </cfRule>
    <cfRule type="containsText" priority="14102" operator="containsText" dxfId="7" text="PATH">
      <formula>NOT(ISERROR(SEARCH(("PATH"),(Y7))))</formula>
    </cfRule>
    <cfRule type="containsText" priority="14103" operator="containsText" dxfId="7" text="NEPHRO">
      <formula>NOT(ISERROR(SEARCH(("NEPHRO"),(Y7))))</formula>
    </cfRule>
    <cfRule type="containsText" priority="14104" operator="containsText" dxfId="7" text="PULM">
      <formula>NOT(ISERROR(SEARCH(("PULM"),(Y7))))</formula>
    </cfRule>
    <cfRule type="containsText" priority="14105" operator="containsText" dxfId="7" text="RADIOLOGY">
      <formula>NOT(ISERROR(SEARCH(("RADIOLOGY"),(Y7))))</formula>
    </cfRule>
    <cfRule type="containsText" priority="14106" operator="containsText" dxfId="7" text="HEM/ONC">
      <formula>NOT(ISERROR(SEARCH(("HEM/ONC"),(Y7))))</formula>
    </cfRule>
    <cfRule type="containsText" priority="14107" operator="containsText" dxfId="7" text="CARDIO">
      <formula>NOT(ISERROR(SEARCH(("CARDIO"),(Y7))))</formula>
    </cfRule>
    <cfRule type="containsText" priority="14108" operator="containsText" dxfId="7" text="ID">
      <formula>NOT(ISERROR(SEARCH(("ID"),(Y7))))</formula>
    </cfRule>
    <cfRule type="containsText" priority="14109" operator="containsText" dxfId="7" text="NEURO">
      <formula>NOT(ISERROR(SEARCH(("NEURO"),(Y7))))</formula>
    </cfRule>
    <cfRule type="containsText" priority="14110" operator="containsText" dxfId="6" text="NEURO">
      <formula>NOT(ISERROR(SEARCH(("NEURO"),(Y7))))</formula>
    </cfRule>
    <cfRule type="containsText" priority="14111" operator="containsText" dxfId="5" text="NEURO">
      <formula>NOT(ISERROR(SEARCH(("NEURO"),(Y7))))</formula>
    </cfRule>
    <cfRule type="containsText" priority="14112" operator="containsText" dxfId="3" text="ICU">
      <formula>NOT(ISERROR(SEARCH(("ICU"),(Y7))))</formula>
    </cfRule>
    <cfRule type="containsText" priority="14113" operator="containsText" dxfId="0" text="SWING">
      <formula>NOT(ISERROR(SEARCH(("SWING"),(Y7))))</formula>
    </cfRule>
    <cfRule type="containsText" priority="14114" operator="containsText" dxfId="0" text="NF">
      <formula>NOT(ISERROR(SEARCH(("NF"),(Y7))))</formula>
    </cfRule>
  </conditionalFormatting>
  <conditionalFormatting sqref="AB6:AC6">
    <cfRule type="containsText" priority="27667" operator="containsText" dxfId="17" text="VACATION">
      <formula>NOT(ISERROR(SEARCH(("VACATION"),(AB6))))</formula>
    </cfRule>
    <cfRule type="containsText" priority="27668" operator="containsText" dxfId="0" text="ICU N">
      <formula>NOT(ISERROR(SEARCH(("ICU N"),(AB6))))</formula>
    </cfRule>
  </conditionalFormatting>
  <conditionalFormatting sqref="AB27">
    <cfRule type="containsText" priority="27631" operator="containsText" dxfId="16" text="ED">
      <formula>NOT(ISERROR(SEARCH(("ED"),(AB27))))</formula>
    </cfRule>
    <cfRule type="containsText" priority="27632" operator="containsText" dxfId="15" text="GERIATRIC">
      <formula>NOT(ISERROR(SEARCH(("GERIATRIC"),(AB27))))</formula>
    </cfRule>
    <cfRule type="containsText" priority="27633" operator="containsText" dxfId="17" text="VACATION">
      <formula>NOT(ISERROR(SEARCH(("VACATION"),(AB27))))</formula>
    </cfRule>
    <cfRule type="containsText" priority="27634" operator="containsText" dxfId="7" text="PATH">
      <formula>NOT(ISERROR(SEARCH(("PATH"),(AB27))))</formula>
    </cfRule>
    <cfRule type="containsText" priority="27635" operator="containsText" dxfId="7" text="NEPHRO">
      <formula>NOT(ISERROR(SEARCH(("NEPHRO"),(AB27))))</formula>
    </cfRule>
    <cfRule type="containsText" priority="27636" operator="containsText" dxfId="7" text="PULM">
      <formula>NOT(ISERROR(SEARCH(("PULM"),(AB27))))</formula>
    </cfRule>
    <cfRule type="containsText" priority="27637" operator="containsText" dxfId="7" text="RADIOLOGY">
      <formula>NOT(ISERROR(SEARCH(("RADIOLOGY"),(AB27))))</formula>
    </cfRule>
    <cfRule type="containsText" priority="27638" operator="containsText" dxfId="7" text="HEM/ONC">
      <formula>NOT(ISERROR(SEARCH(("HEM/ONC"),(AB27))))</formula>
    </cfRule>
    <cfRule type="containsText" priority="27639" operator="containsText" dxfId="7" text="CARDIO">
      <formula>NOT(ISERROR(SEARCH(("CARDIO"),(AB27))))</formula>
    </cfRule>
    <cfRule type="containsText" priority="27640" operator="containsText" dxfId="7" text="ID">
      <formula>NOT(ISERROR(SEARCH(("ID"),(AB27))))</formula>
    </cfRule>
    <cfRule type="containsText" priority="27641" operator="containsText" dxfId="7" text="NEURO">
      <formula>NOT(ISERROR(SEARCH(("NEURO"),(AB27))))</formula>
    </cfRule>
    <cfRule type="containsText" priority="27642" operator="containsText" dxfId="6" text="NEURO">
      <formula>NOT(ISERROR(SEARCH(("NEURO"),(AB27))))</formula>
    </cfRule>
    <cfRule type="containsText" priority="27643" operator="containsText" dxfId="5" text="NEURO">
      <formula>NOT(ISERROR(SEARCH(("NEURO"),(AB27))))</formula>
    </cfRule>
    <cfRule type="containsText" priority="27644" operator="containsText" dxfId="0" text="ICU N">
      <formula>NOT(ISERROR(SEARCH(("ICU N"),(AB27))))</formula>
    </cfRule>
    <cfRule type="containsText" priority="27645" operator="containsText" dxfId="3" text="ICU">
      <formula>NOT(ISERROR(SEARCH(("ICU"),(AB27))))</formula>
    </cfRule>
    <cfRule type="containsText" priority="27646" operator="containsText" dxfId="0" text="SWING">
      <formula>NOT(ISERROR(SEARCH(("SWING"),(AB27))))</formula>
    </cfRule>
    <cfRule type="containsText" priority="27647" operator="containsText" dxfId="0" text="NF">
      <formula>NOT(ISERROR(SEARCH(("NF"),(AB27))))</formula>
    </cfRule>
    <cfRule type="containsText" priority="27648" operator="containsText" dxfId="0" text="ICU N">
      <formula>NOT(ISERROR(SEARCH(("ICU N"),(AB27))))</formula>
    </cfRule>
  </conditionalFormatting>
  <conditionalFormatting sqref="AC24:AD24">
    <cfRule type="containsText" priority="27606" operator="containsText" dxfId="17" text="VACATION">
      <formula>NOT(ISERROR(SEARCH(("VACATION"),(AC24))))</formula>
    </cfRule>
    <cfRule type="containsText" priority="27607" operator="containsText" dxfId="0" text="ICU N">
      <formula>NOT(ISERROR(SEARCH(("ICU N"),(AC24))))</formula>
    </cfRule>
  </conditionalFormatting>
  <conditionalFormatting sqref="AZ49:AZ50">
    <cfRule type="containsText" priority="27585" operator="containsText" dxfId="16" text="ED">
      <formula>NOT(ISERROR(SEARCH(("ED"),(AZ49))))</formula>
    </cfRule>
    <cfRule type="containsText" priority="27586" operator="containsText" dxfId="17" text="VACATION">
      <formula>NOT(ISERROR(SEARCH(("VACATION"),(AZ49))))</formula>
    </cfRule>
    <cfRule type="containsText" priority="27587" operator="containsText" dxfId="0" text="ICU N">
      <formula>NOT(ISERROR(SEARCH(("ICU N"),(AZ49))))</formula>
    </cfRule>
  </conditionalFormatting>
  <conditionalFormatting sqref="AE23">
    <cfRule type="containsText" priority="27328" operator="containsText" dxfId="17" text="VACATION">
      <formula>NOT(ISERROR(SEARCH(("VACATION"),(AE23))))</formula>
    </cfRule>
    <cfRule type="containsText" priority="27329" operator="containsText" dxfId="0" text="ICU N">
      <formula>NOT(ISERROR(SEARCH(("ICU N"),(AE23))))</formula>
    </cfRule>
    <cfRule type="containsText" priority="26429" operator="containsText" dxfId="17" text="VACATION">
      <formula>NOT(ISERROR(SEARCH(("VACATION"),(AE23))))</formula>
    </cfRule>
    <cfRule type="containsText" priority="26430" operator="containsText" dxfId="0" text="ICU N">
      <formula>NOT(ISERROR(SEARCH(("ICU N"),(AE23))))</formula>
    </cfRule>
    <cfRule type="containsText" priority="26428" operator="containsText" dxfId="17" text="VACATION">
      <formula>NOT(ISERROR(SEARCH(("VACATION"),(AE23))))</formula>
    </cfRule>
    <cfRule type="containsText" priority="26413" operator="containsText" dxfId="7" text="PATH">
      <formula>NOT(ISERROR(SEARCH(("PATH"),(AE23))))</formula>
    </cfRule>
    <cfRule type="containsText" priority="26414" operator="containsText" dxfId="7" text="NEPHRO">
      <formula>NOT(ISERROR(SEARCH(("NEPHRO"),(AE23))))</formula>
    </cfRule>
    <cfRule type="containsText" priority="26415" operator="containsText" dxfId="7" text="PULM">
      <formula>NOT(ISERROR(SEARCH(("PULM"),(AE23))))</formula>
    </cfRule>
    <cfRule type="containsText" priority="26416" operator="containsText" dxfId="7" text="RADIOLOGY">
      <formula>NOT(ISERROR(SEARCH(("RADIOLOGY"),(AE23))))</formula>
    </cfRule>
    <cfRule type="containsText" priority="26417" operator="containsText" dxfId="7" text="HEM/ONC">
      <formula>NOT(ISERROR(SEARCH(("HEM/ONC"),(AE23))))</formula>
    </cfRule>
    <cfRule type="containsText" priority="26418" operator="containsText" dxfId="7" text="CARDIO">
      <formula>NOT(ISERROR(SEARCH(("CARDIO"),(AE23))))</formula>
    </cfRule>
    <cfRule type="containsText" priority="26419" operator="containsText" dxfId="7" text="ID">
      <formula>NOT(ISERROR(SEARCH(("ID"),(AE23))))</formula>
    </cfRule>
    <cfRule type="containsText" priority="26420" operator="containsText" dxfId="7" text="NEURO">
      <formula>NOT(ISERROR(SEARCH(("NEURO"),(AE23))))</formula>
    </cfRule>
    <cfRule type="containsText" priority="26421" operator="containsText" dxfId="6" text="NEURO">
      <formula>NOT(ISERROR(SEARCH(("NEURO"),(AE23))))</formula>
    </cfRule>
    <cfRule type="containsText" priority="26422" operator="containsText" dxfId="5" text="NEURO">
      <formula>NOT(ISERROR(SEARCH(("NEURO"),(AE23))))</formula>
    </cfRule>
    <cfRule type="containsText" priority="26423" operator="containsText" dxfId="0" text="ICU N">
      <formula>NOT(ISERROR(SEARCH(("ICU N"),(AE23))))</formula>
    </cfRule>
    <cfRule type="containsText" priority="26424" operator="containsText" dxfId="3" text="ICU">
      <formula>NOT(ISERROR(SEARCH(("ICU"),(AE23))))</formula>
    </cfRule>
    <cfRule type="containsText" priority="26425" operator="containsText" dxfId="0" text="SWING">
      <formula>NOT(ISERROR(SEARCH(("SWING"),(AE23))))</formula>
    </cfRule>
    <cfRule type="containsText" priority="26426" operator="containsText" dxfId="0" text="NF">
      <formula>NOT(ISERROR(SEARCH(("NF"),(AE23))))</formula>
    </cfRule>
    <cfRule type="containsText" priority="26427" operator="containsText" dxfId="0" text="ICU N">
      <formula>NOT(ISERROR(SEARCH(("ICU N"),(AE23))))</formula>
    </cfRule>
  </conditionalFormatting>
  <conditionalFormatting sqref="H30">
    <cfRule type="containsText" priority="27307" operator="containsText" dxfId="17" text="VACATION">
      <formula>NOT(ISERROR(SEARCH(("VACATION"),(H30))))</formula>
    </cfRule>
    <cfRule type="containsText" priority="27308" operator="containsText" dxfId="16" text="ED">
      <formula>NOT(ISERROR(SEARCH(("ED"),(H30))))</formula>
    </cfRule>
    <cfRule type="containsText" priority="27309" operator="containsText" dxfId="15" text="GERIATRIC">
      <formula>NOT(ISERROR(SEARCH(("GERIATRIC"),(H30))))</formula>
    </cfRule>
    <cfRule type="containsText" priority="27310" operator="containsText" dxfId="17" text="VACATION">
      <formula>NOT(ISERROR(SEARCH(("VACATION"),(H30))))</formula>
    </cfRule>
    <cfRule type="containsText" priority="27311" operator="containsText" dxfId="7" text="PATH">
      <formula>NOT(ISERROR(SEARCH(("PATH"),(H30))))</formula>
    </cfRule>
    <cfRule type="containsText" priority="27312" operator="containsText" dxfId="7" text="NEPHRO">
      <formula>NOT(ISERROR(SEARCH(("NEPHRO"),(H30))))</formula>
    </cfRule>
    <cfRule type="containsText" priority="27313" operator="containsText" dxfId="7" text="PULM">
      <formula>NOT(ISERROR(SEARCH(("PULM"),(H30))))</formula>
    </cfRule>
    <cfRule type="containsText" priority="27314" operator="containsText" dxfId="7" text="RADIOLOGY">
      <formula>NOT(ISERROR(SEARCH(("RADIOLOGY"),(H30))))</formula>
    </cfRule>
    <cfRule type="containsText" priority="27315" operator="containsText" dxfId="7" text="HEM/ONC">
      <formula>NOT(ISERROR(SEARCH(("HEM/ONC"),(H30))))</formula>
    </cfRule>
    <cfRule type="containsText" priority="27316" operator="containsText" dxfId="7" text="CARDIO">
      <formula>NOT(ISERROR(SEARCH(("CARDIO"),(H30))))</formula>
    </cfRule>
    <cfRule type="containsText" priority="27317" operator="containsText" dxfId="7" text="ID">
      <formula>NOT(ISERROR(SEARCH(("ID"),(H30))))</formula>
    </cfRule>
    <cfRule type="containsText" priority="27318" operator="containsText" dxfId="7" text="NEURO">
      <formula>NOT(ISERROR(SEARCH(("NEURO"),(H30))))</formula>
    </cfRule>
    <cfRule type="containsText" priority="27319" operator="containsText" dxfId="6" text="NEURO">
      <formula>NOT(ISERROR(SEARCH(("NEURO"),(H30))))</formula>
    </cfRule>
    <cfRule type="containsText" priority="27320" operator="containsText" dxfId="5" text="NEURO">
      <formula>NOT(ISERROR(SEARCH(("NEURO"),(H30))))</formula>
    </cfRule>
    <cfRule type="containsText" priority="27321" operator="containsText" dxfId="0" text="ICU N">
      <formula>NOT(ISERROR(SEARCH(("ICU N"),(H30))))</formula>
    </cfRule>
    <cfRule type="containsText" priority="27322" operator="containsText" dxfId="3" text="ICU">
      <formula>NOT(ISERROR(SEARCH(("ICU"),(H30))))</formula>
    </cfRule>
    <cfRule type="containsText" priority="27323" operator="containsText" dxfId="0" text="SWING">
      <formula>NOT(ISERROR(SEARCH(("SWING"),(H30))))</formula>
    </cfRule>
    <cfRule type="containsText" priority="27324" operator="containsText" dxfId="0" text="NF">
      <formula>NOT(ISERROR(SEARCH(("NF"),(H30))))</formula>
    </cfRule>
    <cfRule type="containsText" priority="27325" operator="containsText" dxfId="0" text="ICU N">
      <formula>NOT(ISERROR(SEARCH(("ICU N"),(H30))))</formula>
    </cfRule>
  </conditionalFormatting>
  <conditionalFormatting sqref="I40">
    <cfRule type="containsText" priority="27287" operator="containsText" dxfId="17" text="VACATION">
      <formula>NOT(ISERROR(SEARCH(("VACATION"),(I40))))</formula>
    </cfRule>
    <cfRule type="containsText" priority="27288" operator="containsText" dxfId="0" text="ICU N">
      <formula>NOT(ISERROR(SEARCH(("ICU N"),(I40))))</formula>
    </cfRule>
    <cfRule type="containsText" priority="27286" operator="containsText" dxfId="17" text="VACATION">
      <formula>NOT(ISERROR(SEARCH(("VACATION"),(I40))))</formula>
    </cfRule>
  </conditionalFormatting>
  <conditionalFormatting sqref="U33:U34">
    <cfRule type="containsText" priority="27229" operator="containsText" dxfId="17" text="VACATION">
      <formula>NOT(ISERROR(SEARCH(("VACATION"),(U33))))</formula>
    </cfRule>
    <cfRule type="containsText" priority="27230" operator="containsText" dxfId="16" text="ED">
      <formula>NOT(ISERROR(SEARCH(("ED"),(U33))))</formula>
    </cfRule>
    <cfRule type="containsText" priority="27231" operator="containsText" dxfId="15" text="GERIATRIC">
      <formula>NOT(ISERROR(SEARCH(("GERIATRIC"),(U33))))</formula>
    </cfRule>
    <cfRule type="containsText" priority="27232" operator="containsText" dxfId="7" text="PATH">
      <formula>NOT(ISERROR(SEARCH(("PATH"),(U33))))</formula>
    </cfRule>
    <cfRule type="containsText" priority="27233" operator="containsText" dxfId="7" text="NEPHRO">
      <formula>NOT(ISERROR(SEARCH(("NEPHRO"),(U33))))</formula>
    </cfRule>
    <cfRule type="containsText" priority="27234" operator="containsText" dxfId="7" text="PULM">
      <formula>NOT(ISERROR(SEARCH(("PULM"),(U33))))</formula>
    </cfRule>
    <cfRule type="containsText" priority="27235" operator="containsText" dxfId="7" text="RADIOLOGY">
      <formula>NOT(ISERROR(SEARCH(("RADIOLOGY"),(U33))))</formula>
    </cfRule>
    <cfRule type="containsText" priority="27236" operator="containsText" dxfId="7" text="HEM/ONC">
      <formula>NOT(ISERROR(SEARCH(("HEM/ONC"),(U33))))</formula>
    </cfRule>
    <cfRule type="containsText" priority="27237" operator="containsText" dxfId="7" text="CARDIO">
      <formula>NOT(ISERROR(SEARCH(("CARDIO"),(U33))))</formula>
    </cfRule>
    <cfRule type="containsText" priority="27238" operator="containsText" dxfId="7" text="ID">
      <formula>NOT(ISERROR(SEARCH(("ID"),(U33))))</formula>
    </cfRule>
    <cfRule type="containsText" priority="27239" operator="containsText" dxfId="7" text="NEURO">
      <formula>NOT(ISERROR(SEARCH(("NEURO"),(U33))))</formula>
    </cfRule>
    <cfRule type="containsText" priority="27240" operator="containsText" dxfId="6" text="NEURO">
      <formula>NOT(ISERROR(SEARCH(("NEURO"),(U33))))</formula>
    </cfRule>
    <cfRule type="containsText" priority="27241" operator="containsText" dxfId="5" text="NEURO">
      <formula>NOT(ISERROR(SEARCH(("NEURO"),(U33))))</formula>
    </cfRule>
    <cfRule type="containsText" priority="27242" operator="containsText" dxfId="0" text="ICU N">
      <formula>NOT(ISERROR(SEARCH(("ICU N"),(U33))))</formula>
    </cfRule>
    <cfRule type="containsText" priority="27243" operator="containsText" dxfId="3" text="ICU">
      <formula>NOT(ISERROR(SEARCH(("ICU"),(U33))))</formula>
    </cfRule>
    <cfRule type="containsText" priority="27244" operator="containsText" dxfId="0" text="SWING">
      <formula>NOT(ISERROR(SEARCH(("SWING"),(U33))))</formula>
    </cfRule>
    <cfRule type="containsText" priority="27245" operator="containsText" dxfId="0" text="NF">
      <formula>NOT(ISERROR(SEARCH(("NF"),(U33))))</formula>
    </cfRule>
  </conditionalFormatting>
  <conditionalFormatting sqref="K44">
    <cfRule type="containsText" priority="27194" operator="containsText" dxfId="16" text="ED">
      <formula>NOT(ISERROR(SEARCH(("ED"),(K44))))</formula>
    </cfRule>
    <cfRule type="containsText" priority="27195" operator="containsText" dxfId="15" text="GERIATRIC">
      <formula>NOT(ISERROR(SEARCH(("GERIATRIC"),(K44))))</formula>
    </cfRule>
    <cfRule type="containsText" priority="27196" operator="containsText" dxfId="17" text="VACATION">
      <formula>NOT(ISERROR(SEARCH(("VACATION"),(K44))))</formula>
    </cfRule>
    <cfRule type="containsText" priority="27197" operator="containsText" dxfId="7" text="PATH">
      <formula>NOT(ISERROR(SEARCH(("PATH"),(K44))))</formula>
    </cfRule>
    <cfRule type="containsText" priority="27198" operator="containsText" dxfId="7" text="NEPHRO">
      <formula>NOT(ISERROR(SEARCH(("NEPHRO"),(K44))))</formula>
    </cfRule>
    <cfRule type="containsText" priority="27199" operator="containsText" dxfId="7" text="PULM">
      <formula>NOT(ISERROR(SEARCH(("PULM"),(K44))))</formula>
    </cfRule>
    <cfRule type="containsText" priority="27200" operator="containsText" dxfId="7" text="RADIOLOGY">
      <formula>NOT(ISERROR(SEARCH(("RADIOLOGY"),(K44))))</formula>
    </cfRule>
    <cfRule type="containsText" priority="27201" operator="containsText" dxfId="7" text="HEM/ONC">
      <formula>NOT(ISERROR(SEARCH(("HEM/ONC"),(K44))))</formula>
    </cfRule>
    <cfRule type="containsText" priority="27202" operator="containsText" dxfId="7" text="CARDIO">
      <formula>NOT(ISERROR(SEARCH(("CARDIO"),(K44))))</formula>
    </cfRule>
    <cfRule type="containsText" priority="27203" operator="containsText" dxfId="7" text="ID">
      <formula>NOT(ISERROR(SEARCH(("ID"),(K44))))</formula>
    </cfRule>
    <cfRule type="containsText" priority="27204" operator="containsText" dxfId="7" text="NEURO">
      <formula>NOT(ISERROR(SEARCH(("NEURO"),(K44))))</formula>
    </cfRule>
    <cfRule type="containsText" priority="27205" operator="containsText" dxfId="6" text="NEURO">
      <formula>NOT(ISERROR(SEARCH(("NEURO"),(K44))))</formula>
    </cfRule>
    <cfRule type="containsText" priority="27206" operator="containsText" dxfId="5" text="NEURO">
      <formula>NOT(ISERROR(SEARCH(("NEURO"),(K44))))</formula>
    </cfRule>
    <cfRule type="containsText" priority="27207" operator="containsText" dxfId="0" text="ICU N">
      <formula>NOT(ISERROR(SEARCH(("ICU N"),(K44))))</formula>
    </cfRule>
    <cfRule type="containsText" priority="27208" operator="containsText" dxfId="3" text="ICU">
      <formula>NOT(ISERROR(SEARCH(("ICU"),(K44))))</formula>
    </cfRule>
    <cfRule type="containsText" priority="27209" operator="containsText" dxfId="0" text="SWING">
      <formula>NOT(ISERROR(SEARCH(("SWING"),(K44))))</formula>
    </cfRule>
    <cfRule type="containsText" priority="27210" operator="containsText" dxfId="0" text="NF">
      <formula>NOT(ISERROR(SEARCH(("NF"),(K44))))</formula>
    </cfRule>
    <cfRule type="containsText" priority="27211" operator="containsText" dxfId="0" text="ICU N">
      <formula>NOT(ISERROR(SEARCH(("ICU N"),(K44))))</formula>
    </cfRule>
  </conditionalFormatting>
  <conditionalFormatting sqref="AK38">
    <cfRule type="containsText" priority="27137" operator="containsText" dxfId="17" text="VACATION">
      <formula>NOT(ISERROR(SEARCH(("VACATION"),(AK38))))</formula>
    </cfRule>
    <cfRule type="containsText" priority="27138" operator="containsText" dxfId="0" text="ICU N">
      <formula>NOT(ISERROR(SEARCH(("ICU N"),(AK38))))</formula>
    </cfRule>
  </conditionalFormatting>
  <conditionalFormatting sqref="AK37">
    <cfRule type="containsText" priority="27133" operator="containsText" dxfId="17" text="VACATION">
      <formula>NOT(ISERROR(SEARCH(("VACATION"),(AK37))))</formula>
    </cfRule>
    <cfRule type="containsText" priority="27134" operator="containsText" dxfId="0" text="ICU N">
      <formula>NOT(ISERROR(SEARCH(("ICU N"),(AK37))))</formula>
    </cfRule>
  </conditionalFormatting>
  <conditionalFormatting sqref="AL37">
    <cfRule type="containsText" priority="27131" operator="containsText" dxfId="17" text="VACATION">
      <formula>NOT(ISERROR(SEARCH(("VACATION"),(AL37))))</formula>
    </cfRule>
    <cfRule type="containsText" priority="27132" operator="containsText" dxfId="0" text="ICU N">
      <formula>NOT(ISERROR(SEARCH(("ICU N"),(AL37))))</formula>
    </cfRule>
  </conditionalFormatting>
  <conditionalFormatting sqref="D45">
    <cfRule type="containsText" priority="26973" operator="containsText" dxfId="17" text="VACATION">
      <formula>NOT(ISERROR(SEARCH(("VACATION"),(D45))))</formula>
    </cfRule>
    <cfRule type="containsText" priority="26974" operator="containsText" dxfId="0" text="ICU N">
      <formula>NOT(ISERROR(SEARCH(("ICU N"),(D45))))</formula>
    </cfRule>
  </conditionalFormatting>
  <conditionalFormatting sqref="L22">
    <cfRule type="containsText" priority="26807" operator="containsText" dxfId="17" text="VACATION">
      <formula>NOT(ISERROR(SEARCH(("VACATION"),(L22))))</formula>
    </cfRule>
    <cfRule type="containsText" priority="26808" operator="containsText" dxfId="0" text="ICU N">
      <formula>NOT(ISERROR(SEARCH(("ICU N"),(L22))))</formula>
    </cfRule>
    <cfRule type="containsText" priority="26806" operator="containsText" dxfId="17" text="VACATION">
      <formula>NOT(ISERROR(SEARCH(("VACATION"),(L22))))</formula>
    </cfRule>
    <cfRule type="containsText" priority="26791" operator="containsText" dxfId="7" text="PATH">
      <formula>NOT(ISERROR(SEARCH(("PATH"),(L22))))</formula>
    </cfRule>
    <cfRule type="containsText" priority="26792" operator="containsText" dxfId="7" text="NEPHRO">
      <formula>NOT(ISERROR(SEARCH(("NEPHRO"),(L22))))</formula>
    </cfRule>
    <cfRule type="containsText" priority="26793" operator="containsText" dxfId="7" text="PULM">
      <formula>NOT(ISERROR(SEARCH(("PULM"),(L22))))</formula>
    </cfRule>
    <cfRule type="containsText" priority="26794" operator="containsText" dxfId="7" text="RADIOLOGY">
      <formula>NOT(ISERROR(SEARCH(("RADIOLOGY"),(L22))))</formula>
    </cfRule>
    <cfRule type="containsText" priority="26795" operator="containsText" dxfId="7" text="HEM/ONC">
      <formula>NOT(ISERROR(SEARCH(("HEM/ONC"),(L22))))</formula>
    </cfRule>
    <cfRule type="containsText" priority="26796" operator="containsText" dxfId="7" text="CARDIO">
      <formula>NOT(ISERROR(SEARCH(("CARDIO"),(L22))))</formula>
    </cfRule>
    <cfRule type="containsText" priority="26797" operator="containsText" dxfId="7" text="ID">
      <formula>NOT(ISERROR(SEARCH(("ID"),(L22))))</formula>
    </cfRule>
    <cfRule type="containsText" priority="26798" operator="containsText" dxfId="7" text="NEURO">
      <formula>NOT(ISERROR(SEARCH(("NEURO"),(L22))))</formula>
    </cfRule>
    <cfRule type="containsText" priority="26799" operator="containsText" dxfId="6" text="NEURO">
      <formula>NOT(ISERROR(SEARCH(("NEURO"),(L22))))</formula>
    </cfRule>
    <cfRule type="containsText" priority="26800" operator="containsText" dxfId="5" text="NEURO">
      <formula>NOT(ISERROR(SEARCH(("NEURO"),(L22))))</formula>
    </cfRule>
    <cfRule type="containsText" priority="26801" operator="containsText" dxfId="0" text="ICU N">
      <formula>NOT(ISERROR(SEARCH(("ICU N"),(L22))))</formula>
    </cfRule>
    <cfRule type="containsText" priority="26802" operator="containsText" dxfId="3" text="ICU">
      <formula>NOT(ISERROR(SEARCH(("ICU"),(L22))))</formula>
    </cfRule>
    <cfRule type="containsText" priority="26803" operator="containsText" dxfId="0" text="SWING">
      <formula>NOT(ISERROR(SEARCH(("SWING"),(L22))))</formula>
    </cfRule>
    <cfRule type="containsText" priority="26804" operator="containsText" dxfId="0" text="NF">
      <formula>NOT(ISERROR(SEARCH(("NF"),(L22))))</formula>
    </cfRule>
    <cfRule type="containsText" priority="26805" operator="containsText" dxfId="0" text="ICU N">
      <formula>NOT(ISERROR(SEARCH(("ICU N"),(L22))))</formula>
    </cfRule>
  </conditionalFormatting>
  <conditionalFormatting sqref="K17">
    <cfRule type="containsText" priority="26771" operator="containsText" dxfId="17" text="VACATION">
      <formula>NOT(ISERROR(SEARCH(("VACATION"),(K17))))</formula>
    </cfRule>
    <cfRule type="containsText" priority="26772" operator="containsText" dxfId="0" text="ICU N">
      <formula>NOT(ISERROR(SEARCH(("ICU N"),(K17))))</formula>
    </cfRule>
    <cfRule type="containsText" priority="26770" operator="containsText" dxfId="17" text="VACATION">
      <formula>NOT(ISERROR(SEARCH(("VACATION"),(K17))))</formula>
    </cfRule>
    <cfRule type="containsText" priority="26755" operator="containsText" dxfId="7" text="PATH">
      <formula>NOT(ISERROR(SEARCH(("PATH"),(K17))))</formula>
    </cfRule>
    <cfRule type="containsText" priority="26756" operator="containsText" dxfId="7" text="NEPHRO">
      <formula>NOT(ISERROR(SEARCH(("NEPHRO"),(K17))))</formula>
    </cfRule>
    <cfRule type="containsText" priority="26757" operator="containsText" dxfId="7" text="PULM">
      <formula>NOT(ISERROR(SEARCH(("PULM"),(K17))))</formula>
    </cfRule>
    <cfRule type="containsText" priority="26758" operator="containsText" dxfId="7" text="RADIOLOGY">
      <formula>NOT(ISERROR(SEARCH(("RADIOLOGY"),(K17))))</formula>
    </cfRule>
    <cfRule type="containsText" priority="26759" operator="containsText" dxfId="7" text="HEM/ONC">
      <formula>NOT(ISERROR(SEARCH(("HEM/ONC"),(K17))))</formula>
    </cfRule>
    <cfRule type="containsText" priority="26760" operator="containsText" dxfId="7" text="CARDIO">
      <formula>NOT(ISERROR(SEARCH(("CARDIO"),(K17))))</formula>
    </cfRule>
    <cfRule type="containsText" priority="26761" operator="containsText" dxfId="7" text="ID">
      <formula>NOT(ISERROR(SEARCH(("ID"),(K17))))</formula>
    </cfRule>
    <cfRule type="containsText" priority="26762" operator="containsText" dxfId="7" text="NEURO">
      <formula>NOT(ISERROR(SEARCH(("NEURO"),(K17))))</formula>
    </cfRule>
    <cfRule type="containsText" priority="26763" operator="containsText" dxfId="6" text="NEURO">
      <formula>NOT(ISERROR(SEARCH(("NEURO"),(K17))))</formula>
    </cfRule>
    <cfRule type="containsText" priority="26764" operator="containsText" dxfId="5" text="NEURO">
      <formula>NOT(ISERROR(SEARCH(("NEURO"),(K17))))</formula>
    </cfRule>
    <cfRule type="containsText" priority="26765" operator="containsText" dxfId="0" text="ICU N">
      <formula>NOT(ISERROR(SEARCH(("ICU N"),(K17))))</formula>
    </cfRule>
    <cfRule type="containsText" priority="26766" operator="containsText" dxfId="3" text="ICU">
      <formula>NOT(ISERROR(SEARCH(("ICU"),(K17))))</formula>
    </cfRule>
    <cfRule type="containsText" priority="26767" operator="containsText" dxfId="0" text="SWING">
      <formula>NOT(ISERROR(SEARCH(("SWING"),(K17))))</formula>
    </cfRule>
    <cfRule type="containsText" priority="26768" operator="containsText" dxfId="0" text="NF">
      <formula>NOT(ISERROR(SEARCH(("NF"),(K17))))</formula>
    </cfRule>
    <cfRule type="containsText" priority="26769" operator="containsText" dxfId="0" text="ICU N">
      <formula>NOT(ISERROR(SEARCH(("ICU N"),(K17))))</formula>
    </cfRule>
  </conditionalFormatting>
  <conditionalFormatting sqref="L17">
    <cfRule type="containsText" priority="26753" operator="containsText" dxfId="17" text="VACATION">
      <formula>NOT(ISERROR(SEARCH(("VACATION"),(L17))))</formula>
    </cfRule>
    <cfRule type="containsText" priority="26754" operator="containsText" dxfId="0" text="ICU N">
      <formula>NOT(ISERROR(SEARCH(("ICU N"),(L17))))</formula>
    </cfRule>
    <cfRule type="containsText" priority="26752" operator="containsText" dxfId="17" text="VACATION">
      <formula>NOT(ISERROR(SEARCH(("VACATION"),(L17))))</formula>
    </cfRule>
    <cfRule type="containsText" priority="26737" operator="containsText" dxfId="7" text="PATH">
      <formula>NOT(ISERROR(SEARCH(("PATH"),(L17))))</formula>
    </cfRule>
    <cfRule type="containsText" priority="26738" operator="containsText" dxfId="7" text="NEPHRO">
      <formula>NOT(ISERROR(SEARCH(("NEPHRO"),(L17))))</formula>
    </cfRule>
    <cfRule type="containsText" priority="26739" operator="containsText" dxfId="7" text="PULM">
      <formula>NOT(ISERROR(SEARCH(("PULM"),(L17))))</formula>
    </cfRule>
    <cfRule type="containsText" priority="26740" operator="containsText" dxfId="7" text="RADIOLOGY">
      <formula>NOT(ISERROR(SEARCH(("RADIOLOGY"),(L17))))</formula>
    </cfRule>
    <cfRule type="containsText" priority="26741" operator="containsText" dxfId="7" text="HEM/ONC">
      <formula>NOT(ISERROR(SEARCH(("HEM/ONC"),(L17))))</formula>
    </cfRule>
    <cfRule type="containsText" priority="26742" operator="containsText" dxfId="7" text="CARDIO">
      <formula>NOT(ISERROR(SEARCH(("CARDIO"),(L17))))</formula>
    </cfRule>
    <cfRule type="containsText" priority="26743" operator="containsText" dxfId="7" text="ID">
      <formula>NOT(ISERROR(SEARCH(("ID"),(L17))))</formula>
    </cfRule>
    <cfRule type="containsText" priority="26744" operator="containsText" dxfId="7" text="NEURO">
      <formula>NOT(ISERROR(SEARCH(("NEURO"),(L17))))</formula>
    </cfRule>
    <cfRule type="containsText" priority="26745" operator="containsText" dxfId="6" text="NEURO">
      <formula>NOT(ISERROR(SEARCH(("NEURO"),(L17))))</formula>
    </cfRule>
    <cfRule type="containsText" priority="26746" operator="containsText" dxfId="5" text="NEURO">
      <formula>NOT(ISERROR(SEARCH(("NEURO"),(L17))))</formula>
    </cfRule>
    <cfRule type="containsText" priority="26747" operator="containsText" dxfId="0" text="ICU N">
      <formula>NOT(ISERROR(SEARCH(("ICU N"),(L17))))</formula>
    </cfRule>
    <cfRule type="containsText" priority="26748" operator="containsText" dxfId="3" text="ICU">
      <formula>NOT(ISERROR(SEARCH(("ICU"),(L17))))</formula>
    </cfRule>
    <cfRule type="containsText" priority="26749" operator="containsText" dxfId="0" text="SWING">
      <formula>NOT(ISERROR(SEARCH(("SWING"),(L17))))</formula>
    </cfRule>
    <cfRule type="containsText" priority="26750" operator="containsText" dxfId="0" text="NF">
      <formula>NOT(ISERROR(SEARCH(("NF"),(L17))))</formula>
    </cfRule>
    <cfRule type="containsText" priority="26751" operator="containsText" dxfId="0" text="ICU N">
      <formula>NOT(ISERROR(SEARCH(("ICU N"),(L17))))</formula>
    </cfRule>
  </conditionalFormatting>
  <conditionalFormatting sqref="N16">
    <cfRule type="containsText" priority="26717" operator="containsText" dxfId="17" text="VACATION">
      <formula>NOT(ISERROR(SEARCH(("VACATION"),(N16))))</formula>
    </cfRule>
    <cfRule type="containsText" priority="26718" operator="containsText" dxfId="0" text="ICU N">
      <formula>NOT(ISERROR(SEARCH(("ICU N"),(N16))))</formula>
    </cfRule>
    <cfRule type="containsText" priority="26716" operator="containsText" dxfId="17" text="VACATION">
      <formula>NOT(ISERROR(SEARCH(("VACATION"),(N16))))</formula>
    </cfRule>
    <cfRule type="containsText" priority="26701" operator="containsText" dxfId="7" text="PATH">
      <formula>NOT(ISERROR(SEARCH(("PATH"),(N16))))</formula>
    </cfRule>
    <cfRule type="containsText" priority="26702" operator="containsText" dxfId="7" text="NEPHRO">
      <formula>NOT(ISERROR(SEARCH(("NEPHRO"),(N16))))</formula>
    </cfRule>
    <cfRule type="containsText" priority="26703" operator="containsText" dxfId="7" text="PULM">
      <formula>NOT(ISERROR(SEARCH(("PULM"),(N16))))</formula>
    </cfRule>
    <cfRule type="containsText" priority="26704" operator="containsText" dxfId="7" text="RADIOLOGY">
      <formula>NOT(ISERROR(SEARCH(("RADIOLOGY"),(N16))))</formula>
    </cfRule>
    <cfRule type="containsText" priority="26705" operator="containsText" dxfId="7" text="HEM/ONC">
      <formula>NOT(ISERROR(SEARCH(("HEM/ONC"),(N16))))</formula>
    </cfRule>
    <cfRule type="containsText" priority="26706" operator="containsText" dxfId="7" text="CARDIO">
      <formula>NOT(ISERROR(SEARCH(("CARDIO"),(N16))))</formula>
    </cfRule>
    <cfRule type="containsText" priority="26707" operator="containsText" dxfId="7" text="ID">
      <formula>NOT(ISERROR(SEARCH(("ID"),(N16))))</formula>
    </cfRule>
    <cfRule type="containsText" priority="26708" operator="containsText" dxfId="7" text="NEURO">
      <formula>NOT(ISERROR(SEARCH(("NEURO"),(N16))))</formula>
    </cfRule>
    <cfRule type="containsText" priority="26709" operator="containsText" dxfId="6" text="NEURO">
      <formula>NOT(ISERROR(SEARCH(("NEURO"),(N16))))</formula>
    </cfRule>
    <cfRule type="containsText" priority="26710" operator="containsText" dxfId="5" text="NEURO">
      <formula>NOT(ISERROR(SEARCH(("NEURO"),(N16))))</formula>
    </cfRule>
    <cfRule type="containsText" priority="26711" operator="containsText" dxfId="0" text="ICU N">
      <formula>NOT(ISERROR(SEARCH(("ICU N"),(N16))))</formula>
    </cfRule>
    <cfRule type="containsText" priority="26712" operator="containsText" dxfId="3" text="ICU">
      <formula>NOT(ISERROR(SEARCH(("ICU"),(N16))))</formula>
    </cfRule>
    <cfRule type="containsText" priority="26713" operator="containsText" dxfId="0" text="SWING">
      <formula>NOT(ISERROR(SEARCH(("SWING"),(N16))))</formula>
    </cfRule>
    <cfRule type="containsText" priority="26714" operator="containsText" dxfId="0" text="NF">
      <formula>NOT(ISERROR(SEARCH(("NF"),(N16))))</formula>
    </cfRule>
    <cfRule type="containsText" priority="26715" operator="containsText" dxfId="0" text="ICU N">
      <formula>NOT(ISERROR(SEARCH(("ICU N"),(N16))))</formula>
    </cfRule>
  </conditionalFormatting>
  <conditionalFormatting sqref="Q41">
    <cfRule type="containsText" priority="26663" operator="containsText" dxfId="17" text="VACATION">
      <formula>NOT(ISERROR(SEARCH(("VACATION"),(Q41))))</formula>
    </cfRule>
    <cfRule type="containsText" priority="26664" operator="containsText" dxfId="0" text="ICU N">
      <formula>NOT(ISERROR(SEARCH(("ICU N"),(Q41))))</formula>
    </cfRule>
    <cfRule type="containsText" priority="26662" operator="containsText" dxfId="17" text="VACATION">
      <formula>NOT(ISERROR(SEARCH(("VACATION"),(Q41))))</formula>
    </cfRule>
    <cfRule type="containsText" priority="26647" operator="containsText" dxfId="7" text="PATH">
      <formula>NOT(ISERROR(SEARCH(("PATH"),(Q41))))</formula>
    </cfRule>
    <cfRule type="containsText" priority="26648" operator="containsText" dxfId="7" text="NEPHRO">
      <formula>NOT(ISERROR(SEARCH(("NEPHRO"),(Q41))))</formula>
    </cfRule>
    <cfRule type="containsText" priority="26649" operator="containsText" dxfId="7" text="PULM">
      <formula>NOT(ISERROR(SEARCH(("PULM"),(Q41))))</formula>
    </cfRule>
    <cfRule type="containsText" priority="26650" operator="containsText" dxfId="7" text="RADIOLOGY">
      <formula>NOT(ISERROR(SEARCH(("RADIOLOGY"),(Q41))))</formula>
    </cfRule>
    <cfRule type="containsText" priority="26651" operator="containsText" dxfId="7" text="HEM/ONC">
      <formula>NOT(ISERROR(SEARCH(("HEM/ONC"),(Q41))))</formula>
    </cfRule>
    <cfRule type="containsText" priority="26652" operator="containsText" dxfId="7" text="CARDIO">
      <formula>NOT(ISERROR(SEARCH(("CARDIO"),(Q41))))</formula>
    </cfRule>
    <cfRule type="containsText" priority="26653" operator="containsText" dxfId="7" text="ID">
      <formula>NOT(ISERROR(SEARCH(("ID"),(Q41))))</formula>
    </cfRule>
    <cfRule type="containsText" priority="26654" operator="containsText" dxfId="7" text="NEURO">
      <formula>NOT(ISERROR(SEARCH(("NEURO"),(Q41))))</formula>
    </cfRule>
    <cfRule type="containsText" priority="26655" operator="containsText" dxfId="6" text="NEURO">
      <formula>NOT(ISERROR(SEARCH(("NEURO"),(Q41))))</formula>
    </cfRule>
    <cfRule type="containsText" priority="26656" operator="containsText" dxfId="5" text="NEURO">
      <formula>NOT(ISERROR(SEARCH(("NEURO"),(Q41))))</formula>
    </cfRule>
    <cfRule type="containsText" priority="26657" operator="containsText" dxfId="0" text="ICU N">
      <formula>NOT(ISERROR(SEARCH(("ICU N"),(Q41))))</formula>
    </cfRule>
    <cfRule type="containsText" priority="26658" operator="containsText" dxfId="3" text="ICU">
      <formula>NOT(ISERROR(SEARCH(("ICU"),(Q41))))</formula>
    </cfRule>
    <cfRule type="containsText" priority="26659" operator="containsText" dxfId="0" text="SWING">
      <formula>NOT(ISERROR(SEARCH(("SWING"),(Q41))))</formula>
    </cfRule>
    <cfRule type="containsText" priority="26660" operator="containsText" dxfId="0" text="NF">
      <formula>NOT(ISERROR(SEARCH(("NF"),(Q41))))</formula>
    </cfRule>
    <cfRule type="containsText" priority="26661" operator="containsText" dxfId="0" text="ICU N">
      <formula>NOT(ISERROR(SEARCH(("ICU N"),(Q41))))</formula>
    </cfRule>
    <cfRule type="containsText" priority="22764" operator="containsText" dxfId="17" text="VACATION">
      <formula>NOT(ISERROR(SEARCH(("VACATION"),(Q41))))</formula>
    </cfRule>
    <cfRule type="containsText" priority="22765" operator="containsText" dxfId="0" text="ICU N">
      <formula>NOT(ISERROR(SEARCH(("ICU N"),(Q41))))</formula>
    </cfRule>
    <cfRule type="containsText" priority="22761" operator="containsText" dxfId="17" text="VACATION">
      <formula>NOT(ISERROR(SEARCH(("VACATION"),(Q41))))</formula>
    </cfRule>
    <cfRule type="containsText" priority="22762" operator="containsText" dxfId="0" text="ICU N">
      <formula>NOT(ISERROR(SEARCH(("ICU N"),(Q41))))</formula>
    </cfRule>
    <cfRule type="containsText" priority="22763" operator="containsText" dxfId="0" text="ICU N">
      <formula>NOT(ISERROR(SEARCH(("ICU N"),(Q41))))</formula>
    </cfRule>
    <cfRule type="containsText" priority="22698" operator="containsText" dxfId="17" text="VACATION">
      <formula>NOT(ISERROR(SEARCH(("VACATION"),(Q41))))</formula>
    </cfRule>
    <cfRule type="containsText" priority="22699" operator="containsText" dxfId="0" text="ICU N">
      <formula>NOT(ISERROR(SEARCH(("ICU N"),(Q41))))</formula>
    </cfRule>
    <cfRule type="containsText" priority="22695" operator="containsText" dxfId="17" text="VACATION">
      <formula>NOT(ISERROR(SEARCH(("VACATION"),(Q41))))</formula>
    </cfRule>
    <cfRule type="containsText" priority="22696" operator="containsText" dxfId="0" text="ICU N">
      <formula>NOT(ISERROR(SEARCH(("ICU N"),(Q41))))</formula>
    </cfRule>
    <cfRule type="containsText" priority="22697" operator="containsText" dxfId="0" text="ICU N">
      <formula>NOT(ISERROR(SEARCH(("ICU N"),(Q41))))</formula>
    </cfRule>
    <cfRule type="containsText" priority="22694" operator="containsText" dxfId="0" text="ICU N">
      <formula>NOT(ISERROR(SEARCH(("ICU N"),(Q41))))</formula>
    </cfRule>
    <cfRule type="containsText" priority="22692" operator="containsText" dxfId="17" text="VACATION">
      <formula>NOT(ISERROR(SEARCH(("VACATION"),(Q41))))</formula>
    </cfRule>
    <cfRule type="containsText" priority="22693" operator="containsText" dxfId="0" text="ICU N">
      <formula>NOT(ISERROR(SEARCH(("ICU N"),(Q41))))</formula>
    </cfRule>
    <cfRule type="containsText" priority="22691" operator="containsText" dxfId="17" text="VACATION">
      <formula>NOT(ISERROR(SEARCH(("VACATION"),(Q41))))</formula>
    </cfRule>
    <cfRule type="containsText" priority="22676" operator="containsText" dxfId="7" text="PATH">
      <formula>NOT(ISERROR(SEARCH(("PATH"),(Q41))))</formula>
    </cfRule>
    <cfRule type="containsText" priority="22677" operator="containsText" dxfId="7" text="NEPHRO">
      <formula>NOT(ISERROR(SEARCH(("NEPHRO"),(Q41))))</formula>
    </cfRule>
    <cfRule type="containsText" priority="22678" operator="containsText" dxfId="7" text="PULM">
      <formula>NOT(ISERROR(SEARCH(("PULM"),(Q41))))</formula>
    </cfRule>
    <cfRule type="containsText" priority="22679" operator="containsText" dxfId="7" text="RADIOLOGY">
      <formula>NOT(ISERROR(SEARCH(("RADIOLOGY"),(Q41))))</formula>
    </cfRule>
    <cfRule type="containsText" priority="22680" operator="containsText" dxfId="7" text="HEM/ONC">
      <formula>NOT(ISERROR(SEARCH(("HEM/ONC"),(Q41))))</formula>
    </cfRule>
    <cfRule type="containsText" priority="22681" operator="containsText" dxfId="7" text="CARDIO">
      <formula>NOT(ISERROR(SEARCH(("CARDIO"),(Q41))))</formula>
    </cfRule>
    <cfRule type="containsText" priority="22682" operator="containsText" dxfId="7" text="ID">
      <formula>NOT(ISERROR(SEARCH(("ID"),(Q41))))</formula>
    </cfRule>
    <cfRule type="containsText" priority="22683" operator="containsText" dxfId="7" text="NEURO">
      <formula>NOT(ISERROR(SEARCH(("NEURO"),(Q41))))</formula>
    </cfRule>
    <cfRule type="containsText" priority="22684" operator="containsText" dxfId="6" text="NEURO">
      <formula>NOT(ISERROR(SEARCH(("NEURO"),(Q41))))</formula>
    </cfRule>
    <cfRule type="containsText" priority="22685" operator="containsText" dxfId="5" text="NEURO">
      <formula>NOT(ISERROR(SEARCH(("NEURO"),(Q41))))</formula>
    </cfRule>
    <cfRule type="containsText" priority="22686" operator="containsText" dxfId="0" text="ICU N">
      <formula>NOT(ISERROR(SEARCH(("ICU N"),(Q41))))</formula>
    </cfRule>
    <cfRule type="containsText" priority="22687" operator="containsText" dxfId="3" text="ICU">
      <formula>NOT(ISERROR(SEARCH(("ICU"),(Q41))))</formula>
    </cfRule>
    <cfRule type="containsText" priority="22688" operator="containsText" dxfId="0" text="SWING">
      <formula>NOT(ISERROR(SEARCH(("SWING"),(Q41))))</formula>
    </cfRule>
    <cfRule type="containsText" priority="22689" operator="containsText" dxfId="0" text="NF">
      <formula>NOT(ISERROR(SEARCH(("NF"),(Q41))))</formula>
    </cfRule>
    <cfRule type="containsText" priority="22690" operator="containsText" dxfId="0" text="ICU N">
      <formula>NOT(ISERROR(SEARCH(("ICU N"),(Q41))))</formula>
    </cfRule>
  </conditionalFormatting>
  <conditionalFormatting sqref="S23:T23">
    <cfRule type="containsText" priority="26609" operator="containsText" dxfId="17" text="VACATION">
      <formula>NOT(ISERROR(SEARCH(("VACATION"),(S23))))</formula>
    </cfRule>
    <cfRule type="containsText" priority="26610" operator="containsText" dxfId="0" text="ICU N">
      <formula>NOT(ISERROR(SEARCH(("ICU N"),(S23))))</formula>
    </cfRule>
    <cfRule type="containsText" priority="26608" operator="containsText" dxfId="17" text="VACATION">
      <formula>NOT(ISERROR(SEARCH(("VACATION"),(S23))))</formula>
    </cfRule>
    <cfRule type="containsText" priority="26593" operator="containsText" dxfId="7" text="PATH">
      <formula>NOT(ISERROR(SEARCH(("PATH"),(S23))))</formula>
    </cfRule>
    <cfRule type="containsText" priority="26594" operator="containsText" dxfId="7" text="NEPHRO">
      <formula>NOT(ISERROR(SEARCH(("NEPHRO"),(S23))))</formula>
    </cfRule>
    <cfRule type="containsText" priority="26595" operator="containsText" dxfId="7" text="PULM">
      <formula>NOT(ISERROR(SEARCH(("PULM"),(S23))))</formula>
    </cfRule>
    <cfRule type="containsText" priority="26596" operator="containsText" dxfId="7" text="RADIOLOGY">
      <formula>NOT(ISERROR(SEARCH(("RADIOLOGY"),(S23))))</formula>
    </cfRule>
    <cfRule type="containsText" priority="26597" operator="containsText" dxfId="7" text="HEM/ONC">
      <formula>NOT(ISERROR(SEARCH(("HEM/ONC"),(S23))))</formula>
    </cfRule>
    <cfRule type="containsText" priority="26598" operator="containsText" dxfId="7" text="CARDIO">
      <formula>NOT(ISERROR(SEARCH(("CARDIO"),(S23))))</formula>
    </cfRule>
    <cfRule type="containsText" priority="26599" operator="containsText" dxfId="7" text="ID">
      <formula>NOT(ISERROR(SEARCH(("ID"),(S23))))</formula>
    </cfRule>
    <cfRule type="containsText" priority="26600" operator="containsText" dxfId="7" text="NEURO">
      <formula>NOT(ISERROR(SEARCH(("NEURO"),(S23))))</formula>
    </cfRule>
    <cfRule type="containsText" priority="26601" operator="containsText" dxfId="6" text="NEURO">
      <formula>NOT(ISERROR(SEARCH(("NEURO"),(S23))))</formula>
    </cfRule>
    <cfRule type="containsText" priority="26602" operator="containsText" dxfId="5" text="NEURO">
      <formula>NOT(ISERROR(SEARCH(("NEURO"),(S23))))</formula>
    </cfRule>
    <cfRule type="containsText" priority="26603" operator="containsText" dxfId="0" text="ICU N">
      <formula>NOT(ISERROR(SEARCH(("ICU N"),(S23))))</formula>
    </cfRule>
    <cfRule type="containsText" priority="26604" operator="containsText" dxfId="3" text="ICU">
      <formula>NOT(ISERROR(SEARCH(("ICU"),(S23))))</formula>
    </cfRule>
    <cfRule type="containsText" priority="26605" operator="containsText" dxfId="0" text="SWING">
      <formula>NOT(ISERROR(SEARCH(("SWING"),(S23))))</formula>
    </cfRule>
    <cfRule type="containsText" priority="26606" operator="containsText" dxfId="0" text="NF">
      <formula>NOT(ISERROR(SEARCH(("NF"),(S23))))</formula>
    </cfRule>
    <cfRule type="containsText" priority="26607" operator="containsText" dxfId="0" text="ICU N">
      <formula>NOT(ISERROR(SEARCH(("ICU N"),(S23))))</formula>
    </cfRule>
  </conditionalFormatting>
  <conditionalFormatting sqref="W33">
    <cfRule type="containsText" priority="26537" operator="containsText" dxfId="17" text="VACATION">
      <formula>NOT(ISERROR(SEARCH(("VACATION"),(W33))))</formula>
    </cfRule>
    <cfRule type="containsText" priority="26538" operator="containsText" dxfId="0" text="ICU N">
      <formula>NOT(ISERROR(SEARCH(("ICU N"),(W33))))</formula>
    </cfRule>
    <cfRule type="containsText" priority="26536" operator="containsText" dxfId="17" text="VACATION">
      <formula>NOT(ISERROR(SEARCH(("VACATION"),(W33))))</formula>
    </cfRule>
    <cfRule type="containsText" priority="26521" operator="containsText" dxfId="7" text="PATH">
      <formula>NOT(ISERROR(SEARCH(("PATH"),(W33))))</formula>
    </cfRule>
    <cfRule type="containsText" priority="26522" operator="containsText" dxfId="7" text="NEPHRO">
      <formula>NOT(ISERROR(SEARCH(("NEPHRO"),(W33))))</formula>
    </cfRule>
    <cfRule type="containsText" priority="26523" operator="containsText" dxfId="7" text="PULM">
      <formula>NOT(ISERROR(SEARCH(("PULM"),(W33))))</formula>
    </cfRule>
    <cfRule type="containsText" priority="26524" operator="containsText" dxfId="7" text="RADIOLOGY">
      <formula>NOT(ISERROR(SEARCH(("RADIOLOGY"),(W33))))</formula>
    </cfRule>
    <cfRule type="containsText" priority="26525" operator="containsText" dxfId="7" text="HEM/ONC">
      <formula>NOT(ISERROR(SEARCH(("HEM/ONC"),(W33))))</formula>
    </cfRule>
    <cfRule type="containsText" priority="26526" operator="containsText" dxfId="7" text="CARDIO">
      <formula>NOT(ISERROR(SEARCH(("CARDIO"),(W33))))</formula>
    </cfRule>
    <cfRule type="containsText" priority="26527" operator="containsText" dxfId="7" text="ID">
      <formula>NOT(ISERROR(SEARCH(("ID"),(W33))))</formula>
    </cfRule>
    <cfRule type="containsText" priority="26528" operator="containsText" dxfId="7" text="NEURO">
      <formula>NOT(ISERROR(SEARCH(("NEURO"),(W33))))</formula>
    </cfRule>
    <cfRule type="containsText" priority="26529" operator="containsText" dxfId="6" text="NEURO">
      <formula>NOT(ISERROR(SEARCH(("NEURO"),(W33))))</formula>
    </cfRule>
    <cfRule type="containsText" priority="26530" operator="containsText" dxfId="5" text="NEURO">
      <formula>NOT(ISERROR(SEARCH(("NEURO"),(W33))))</formula>
    </cfRule>
    <cfRule type="containsText" priority="26531" operator="containsText" dxfId="0" text="ICU N">
      <formula>NOT(ISERROR(SEARCH(("ICU N"),(W33))))</formula>
    </cfRule>
    <cfRule type="containsText" priority="26532" operator="containsText" dxfId="3" text="ICU">
      <formula>NOT(ISERROR(SEARCH(("ICU"),(W33))))</formula>
    </cfRule>
    <cfRule type="containsText" priority="26533" operator="containsText" dxfId="0" text="SWING">
      <formula>NOT(ISERROR(SEARCH(("SWING"),(W33))))</formula>
    </cfRule>
    <cfRule type="containsText" priority="26534" operator="containsText" dxfId="0" text="NF">
      <formula>NOT(ISERROR(SEARCH(("NF"),(W33))))</formula>
    </cfRule>
    <cfRule type="containsText" priority="26535" operator="containsText" dxfId="0" text="ICU N">
      <formula>NOT(ISERROR(SEARCH(("ICU N"),(W33))))</formula>
    </cfRule>
  </conditionalFormatting>
  <conditionalFormatting sqref="AA44">
    <cfRule type="containsText" priority="26465" operator="containsText" dxfId="17" text="VACATION">
      <formula>NOT(ISERROR(SEARCH(("VACATION"),(AA44))))</formula>
    </cfRule>
    <cfRule type="containsText" priority="26466" operator="containsText" dxfId="0" text="ICU N">
      <formula>NOT(ISERROR(SEARCH(("ICU N"),(AA44))))</formula>
    </cfRule>
    <cfRule type="containsText" priority="26464" operator="containsText" dxfId="17" text="VACATION">
      <formula>NOT(ISERROR(SEARCH(("VACATION"),(AA44))))</formula>
    </cfRule>
    <cfRule type="containsText" priority="26449" operator="containsText" dxfId="7" text="PATH">
      <formula>NOT(ISERROR(SEARCH(("PATH"),(AA44))))</formula>
    </cfRule>
    <cfRule type="containsText" priority="26450" operator="containsText" dxfId="7" text="NEPHRO">
      <formula>NOT(ISERROR(SEARCH(("NEPHRO"),(AA44))))</formula>
    </cfRule>
    <cfRule type="containsText" priority="26451" operator="containsText" dxfId="7" text="PULM">
      <formula>NOT(ISERROR(SEARCH(("PULM"),(AA44))))</formula>
    </cfRule>
    <cfRule type="containsText" priority="26452" operator="containsText" dxfId="7" text="RADIOLOGY">
      <formula>NOT(ISERROR(SEARCH(("RADIOLOGY"),(AA44))))</formula>
    </cfRule>
    <cfRule type="containsText" priority="26453" operator="containsText" dxfId="7" text="HEM/ONC">
      <formula>NOT(ISERROR(SEARCH(("HEM/ONC"),(AA44))))</formula>
    </cfRule>
    <cfRule type="containsText" priority="26454" operator="containsText" dxfId="7" text="CARDIO">
      <formula>NOT(ISERROR(SEARCH(("CARDIO"),(AA44))))</formula>
    </cfRule>
    <cfRule type="containsText" priority="26455" operator="containsText" dxfId="7" text="ID">
      <formula>NOT(ISERROR(SEARCH(("ID"),(AA44))))</formula>
    </cfRule>
    <cfRule type="containsText" priority="26456" operator="containsText" dxfId="7" text="NEURO">
      <formula>NOT(ISERROR(SEARCH(("NEURO"),(AA44))))</formula>
    </cfRule>
    <cfRule type="containsText" priority="26457" operator="containsText" dxfId="6" text="NEURO">
      <formula>NOT(ISERROR(SEARCH(("NEURO"),(AA44))))</formula>
    </cfRule>
    <cfRule type="containsText" priority="26458" operator="containsText" dxfId="5" text="NEURO">
      <formula>NOT(ISERROR(SEARCH(("NEURO"),(AA44))))</formula>
    </cfRule>
    <cfRule type="containsText" priority="26459" operator="containsText" dxfId="0" text="ICU N">
      <formula>NOT(ISERROR(SEARCH(("ICU N"),(AA44))))</formula>
    </cfRule>
    <cfRule type="containsText" priority="26460" operator="containsText" dxfId="3" text="ICU">
      <formula>NOT(ISERROR(SEARCH(("ICU"),(AA44))))</formula>
    </cfRule>
    <cfRule type="containsText" priority="26461" operator="containsText" dxfId="0" text="SWING">
      <formula>NOT(ISERROR(SEARCH(("SWING"),(AA44))))</formula>
    </cfRule>
    <cfRule type="containsText" priority="26462" operator="containsText" dxfId="0" text="NF">
      <formula>NOT(ISERROR(SEARCH(("NF"),(AA44))))</formula>
    </cfRule>
    <cfRule type="containsText" priority="26463" operator="containsText" dxfId="0" text="ICU N">
      <formula>NOT(ISERROR(SEARCH(("ICU N"),(AA44))))</formula>
    </cfRule>
  </conditionalFormatting>
  <conditionalFormatting sqref="H8">
    <cfRule type="containsText" priority="26315" operator="containsText" dxfId="17" text="VACATION">
      <formula>NOT(ISERROR(SEARCH(("VACATION"),(H8))))</formula>
    </cfRule>
  </conditionalFormatting>
  <conditionalFormatting sqref="M11">
    <cfRule type="containsText" priority="26310" operator="containsText" dxfId="17" text="VACATION">
      <formula>NOT(ISERROR(SEARCH(("VACATION"),(M11))))</formula>
    </cfRule>
    <cfRule type="containsText" priority="26311" operator="containsText" dxfId="0" text="ICU N">
      <formula>NOT(ISERROR(SEARCH(("ICU N"),(M11))))</formula>
    </cfRule>
  </conditionalFormatting>
  <conditionalFormatting sqref="V8 V11">
    <cfRule type="containsText" priority="26290" operator="containsText" dxfId="17" text="VACATION">
      <formula>NOT(ISERROR(SEARCH(("VACATION"),(V8))))</formula>
    </cfRule>
    <cfRule type="containsText" priority="26291" operator="containsText" dxfId="0" text="ICU N">
      <formula>NOT(ISERROR(SEARCH(("ICU N"),(V8))))</formula>
    </cfRule>
  </conditionalFormatting>
  <conditionalFormatting sqref="W5:W6">
    <cfRule type="containsText" priority="26273" operator="containsText" dxfId="17" text="VACATION">
      <formula>NOT(ISERROR(SEARCH(("VACATION"),(W5))))</formula>
    </cfRule>
    <cfRule type="containsText" priority="26274" operator="containsText" dxfId="0" text="ICU N">
      <formula>NOT(ISERROR(SEARCH(("ICU N"),(W5))))</formula>
    </cfRule>
  </conditionalFormatting>
  <conditionalFormatting sqref="X17">
    <cfRule type="containsText" priority="26267" operator="containsText" dxfId="17" text="VACATION">
      <formula>NOT(ISERROR(SEARCH(("VACATION"),(X17))))</formula>
    </cfRule>
    <cfRule type="containsText" priority="26268" operator="containsText" dxfId="0" text="ICU N">
      <formula>NOT(ISERROR(SEARCH(("ICU N"),(X17))))</formula>
    </cfRule>
  </conditionalFormatting>
  <conditionalFormatting sqref="AK8">
    <cfRule type="containsText" priority="26259" operator="containsText" dxfId="17" text="VACATION">
      <formula>NOT(ISERROR(SEARCH(("VACATION"),(AK8))))</formula>
    </cfRule>
    <cfRule type="containsText" priority="26260" operator="containsText" dxfId="0" text="ICU N">
      <formula>NOT(ISERROR(SEARCH(("ICU N"),(AK8))))</formula>
    </cfRule>
  </conditionalFormatting>
  <conditionalFormatting sqref="AK33">
    <cfRule type="containsText" priority="26257" operator="containsText" dxfId="17" text="VACATION">
      <formula>NOT(ISERROR(SEARCH(("VACATION"),(AK33))))</formula>
    </cfRule>
    <cfRule type="containsText" priority="26258" operator="containsText" dxfId="0" text="ICU N">
      <formula>NOT(ISERROR(SEARCH(("ICU N"),(AK33))))</formula>
    </cfRule>
  </conditionalFormatting>
  <conditionalFormatting sqref="AN28">
    <cfRule type="containsText" priority="26248" operator="containsText" dxfId="17" text="VACATION">
      <formula>NOT(ISERROR(SEARCH(("VACATION"),(AN28))))</formula>
    </cfRule>
    <cfRule type="containsText" priority="26249" operator="containsText" dxfId="16" text="ED">
      <formula>NOT(ISERROR(SEARCH(("ED"),(AN28))))</formula>
    </cfRule>
    <cfRule type="containsText" priority="26250" operator="containsText" dxfId="15" text="GERIATRIC">
      <formula>NOT(ISERROR(SEARCH(("GERIATRIC"),(AN28))))</formula>
    </cfRule>
  </conditionalFormatting>
  <conditionalFormatting sqref="AT19">
    <cfRule type="containsText" priority="26246" operator="containsText" dxfId="0" text="ICU N">
      <formula>NOT(ISERROR(SEARCH(("ICU N"),(AT19))))</formula>
    </cfRule>
  </conditionalFormatting>
  <conditionalFormatting sqref="AT18">
    <cfRule type="containsText" priority="26244" operator="containsText" dxfId="0" text="ICU N">
      <formula>NOT(ISERROR(SEARCH(("ICU N"),(AT18))))</formula>
    </cfRule>
  </conditionalFormatting>
  <conditionalFormatting sqref="BB6">
    <cfRule type="containsText" priority="26228" operator="containsText" dxfId="0" text="ICU N">
      <formula>NOT(ISERROR(SEARCH(("ICU N"),(BB6))))</formula>
    </cfRule>
  </conditionalFormatting>
  <conditionalFormatting sqref="I37">
    <cfRule type="containsText" priority="26207" operator="containsText" dxfId="17" text="VACATION">
      <formula>NOT(ISERROR(SEARCH(("VACATION"),(I37))))</formula>
    </cfRule>
    <cfRule type="containsText" priority="26206" operator="containsText" dxfId="17" text="VACATION">
      <formula>NOT(ISERROR(SEARCH(("VACATION"),(I37))))</formula>
    </cfRule>
    <cfRule type="containsText" priority="26205" operator="containsText" dxfId="17" text="VACATION">
      <formula>NOT(ISERROR(SEARCH(("VACATION"),(I37))))</formula>
    </cfRule>
    <cfRule type="containsText" priority="26204" operator="containsText" dxfId="17" text="VACATION">
      <formula>NOT(ISERROR(SEARCH(("VACATION"),(I37))))</formula>
    </cfRule>
  </conditionalFormatting>
  <conditionalFormatting sqref="BB45">
    <cfRule type="containsText" priority="26203" operator="containsText" dxfId="0" text="ICU N">
      <formula>NOT(ISERROR(SEARCH(("ICU N"),(BB45))))</formula>
    </cfRule>
    <cfRule type="containsText" priority="26202" operator="containsText" dxfId="0" text="ICU N">
      <formula>NOT(ISERROR(SEARCH(("ICU N"),(BB45))))</formula>
    </cfRule>
    <cfRule type="containsText" priority="26201" operator="containsText" dxfId="0" text="ICU N">
      <formula>NOT(ISERROR(SEARCH(("ICU N"),(BB45))))</formula>
    </cfRule>
  </conditionalFormatting>
  <conditionalFormatting sqref="BB24">
    <cfRule type="containsText" priority="26200" operator="containsText" dxfId="0" text="ICU N">
      <formula>NOT(ISERROR(SEARCH(("ICU N"),(BB24))))</formula>
    </cfRule>
    <cfRule type="containsText" priority="5119" operator="containsText" dxfId="0" text="ICU N">
      <formula>NOT(ISERROR(SEARCH(("ICU N"),(BB24))))</formula>
    </cfRule>
  </conditionalFormatting>
  <conditionalFormatting sqref="H20">
    <cfRule type="containsText" priority="26197" operator="containsText" dxfId="17" text="VACATION">
      <formula>NOT(ISERROR(SEARCH(("VACATION"),(H20))))</formula>
    </cfRule>
    <cfRule type="containsText" priority="22932" operator="containsText" dxfId="17" text="VACATION">
      <formula>NOT(ISERROR(SEARCH(("VACATION"),(H20))))</formula>
    </cfRule>
  </conditionalFormatting>
  <conditionalFormatting sqref="K31">
    <cfRule type="containsText" priority="26195" operator="containsText" dxfId="17" text="VACATION">
      <formula>NOT(ISERROR(SEARCH(("VACATION"),(K31))))</formula>
    </cfRule>
  </conditionalFormatting>
  <conditionalFormatting sqref="P30:Q30">
    <cfRule type="containsText" priority="26194" operator="containsText" dxfId="17" text="VACATION">
      <formula>NOT(ISERROR(SEARCH(("VACATION"),(P30))))</formula>
    </cfRule>
  </conditionalFormatting>
  <conditionalFormatting sqref="T31:U31">
    <cfRule type="containsText" priority="26193" operator="containsText" dxfId="17" text="VACATION">
      <formula>NOT(ISERROR(SEARCH(("VACATION"),(T31))))</formula>
    </cfRule>
  </conditionalFormatting>
  <conditionalFormatting sqref="T4">
    <cfRule type="containsText" priority="26192" operator="containsText" dxfId="17" text="VACATION">
      <formula>NOT(ISERROR(SEARCH(("VACATION"),(T4))))</formula>
    </cfRule>
  </conditionalFormatting>
  <conditionalFormatting sqref="T5">
    <cfRule type="containsText" priority="26191" operator="containsText" dxfId="17" text="VACATION">
      <formula>NOT(ISERROR(SEARCH(("VACATION"),(T5))))</formula>
    </cfRule>
  </conditionalFormatting>
  <conditionalFormatting sqref="U4:U5">
    <cfRule type="containsText" priority="26190" operator="containsText" dxfId="17" text="VACATION">
      <formula>NOT(ISERROR(SEARCH(("VACATION"),(U4))))</formula>
    </cfRule>
  </conditionalFormatting>
  <conditionalFormatting sqref="Z30">
    <cfRule type="containsText" priority="26187" operator="containsText" dxfId="17" text="VACATION">
      <formula>NOT(ISERROR(SEARCH(("VACATION"),(Z30))))</formula>
    </cfRule>
    <cfRule type="containsText" priority="22835" operator="containsText" dxfId="17" text="VACATION">
      <formula>NOT(ISERROR(SEARCH(("VACATION"),(Z30))))</formula>
    </cfRule>
  </conditionalFormatting>
  <conditionalFormatting sqref="AH13">
    <cfRule type="containsText" priority="26186" operator="containsText" dxfId="17" text="VACATION">
      <formula>NOT(ISERROR(SEARCH(("VACATION"),(AH13))))</formula>
    </cfRule>
  </conditionalFormatting>
  <conditionalFormatting sqref="BA18:BC18">
    <cfRule type="containsText" priority="26105" operator="containsText" dxfId="0" text="ICU N">
      <formula>NOT(ISERROR(SEARCH(("ICU N"),(BA18))))</formula>
    </cfRule>
  </conditionalFormatting>
  <conditionalFormatting sqref="S27:T27">
    <cfRule type="containsText" priority="26062" operator="containsText" dxfId="17" text="VACATION">
      <formula>NOT(ISERROR(SEARCH(("VACATION"),(S27))))</formula>
    </cfRule>
    <cfRule type="containsText" priority="26063" operator="containsText" dxfId="0" text="ICU N">
      <formula>NOT(ISERROR(SEARCH(("ICU N"),(S27))))</formula>
    </cfRule>
    <cfRule type="containsText" priority="15678" operator="containsText" dxfId="17" text="VACATION">
      <formula>NOT(ISERROR(SEARCH(("VACATION"),(S27))))</formula>
    </cfRule>
    <cfRule type="containsText" priority="15679" operator="containsText" dxfId="0" text="ICU N">
      <formula>NOT(ISERROR(SEARCH(("ICU N"),(S27))))</formula>
    </cfRule>
  </conditionalFormatting>
  <conditionalFormatting sqref="BA46">
    <cfRule type="containsText" priority="26061" operator="containsText" dxfId="0" text="ICU N">
      <formula>NOT(ISERROR(SEARCH(("ICU N"),(BA46))))</formula>
    </cfRule>
    <cfRule type="containsText" priority="26046" operator="containsText" dxfId="7" text="PATH">
      <formula>NOT(ISERROR(SEARCH(("PATH"),(BA46))))</formula>
    </cfRule>
    <cfRule type="containsText" priority="26047" operator="containsText" dxfId="7" text="NEPHRO">
      <formula>NOT(ISERROR(SEARCH(("NEPHRO"),(BA46))))</formula>
    </cfRule>
    <cfRule type="containsText" priority="26048" operator="containsText" dxfId="7" text="PULM">
      <formula>NOT(ISERROR(SEARCH(("PULM"),(BA46))))</formula>
    </cfRule>
    <cfRule type="containsText" priority="26049" operator="containsText" dxfId="7" text="RADIOLOGY">
      <formula>NOT(ISERROR(SEARCH(("RADIOLOGY"),(BA46))))</formula>
    </cfRule>
    <cfRule type="containsText" priority="26050" operator="containsText" dxfId="7" text="HEM/ONC">
      <formula>NOT(ISERROR(SEARCH(("HEM/ONC"),(BA46))))</formula>
    </cfRule>
    <cfRule type="containsText" priority="26051" operator="containsText" dxfId="7" text="CARDIO">
      <formula>NOT(ISERROR(SEARCH(("CARDIO"),(BA46))))</formula>
    </cfRule>
    <cfRule type="containsText" priority="26052" operator="containsText" dxfId="7" text="ID">
      <formula>NOT(ISERROR(SEARCH(("ID"),(BA46))))</formula>
    </cfRule>
    <cfRule type="containsText" priority="26053" operator="containsText" dxfId="7" text="NEURO">
      <formula>NOT(ISERROR(SEARCH(("NEURO"),(BA46))))</formula>
    </cfRule>
    <cfRule type="containsText" priority="26054" operator="containsText" dxfId="6" text="NEURO">
      <formula>NOT(ISERROR(SEARCH(("NEURO"),(BA46))))</formula>
    </cfRule>
    <cfRule type="containsText" priority="26055" operator="containsText" dxfId="5" text="NEURO">
      <formula>NOT(ISERROR(SEARCH(("NEURO"),(BA46))))</formula>
    </cfRule>
    <cfRule type="containsText" priority="26056" operator="containsText" dxfId="0" text="ICU N">
      <formula>NOT(ISERROR(SEARCH(("ICU N"),(BA46))))</formula>
    </cfRule>
    <cfRule type="containsText" priority="26057" operator="containsText" dxfId="3" text="ICU">
      <formula>NOT(ISERROR(SEARCH(("ICU"),(BA46))))</formula>
    </cfRule>
    <cfRule type="containsText" priority="26058" operator="containsText" dxfId="0" text="SWING">
      <formula>NOT(ISERROR(SEARCH(("SWING"),(BA46))))</formula>
    </cfRule>
    <cfRule type="containsText" priority="26059" operator="containsText" dxfId="0" text="NF">
      <formula>NOT(ISERROR(SEARCH(("NF"),(BA46))))</formula>
    </cfRule>
    <cfRule type="containsText" priority="26060" operator="containsText" dxfId="0" text="ICU N">
      <formula>NOT(ISERROR(SEARCH(("ICU N"),(BA46))))</formula>
    </cfRule>
  </conditionalFormatting>
  <conditionalFormatting sqref="BB46">
    <cfRule type="containsText" priority="26045" operator="containsText" dxfId="0" text="ICU N">
      <formula>NOT(ISERROR(SEARCH(("ICU N"),(BB46))))</formula>
    </cfRule>
    <cfRule type="containsText" priority="26030" operator="containsText" dxfId="7" text="PATH">
      <formula>NOT(ISERROR(SEARCH(("PATH"),(BB46))))</formula>
    </cfRule>
    <cfRule type="containsText" priority="26031" operator="containsText" dxfId="7" text="NEPHRO">
      <formula>NOT(ISERROR(SEARCH(("NEPHRO"),(BB46))))</formula>
    </cfRule>
    <cfRule type="containsText" priority="26032" operator="containsText" dxfId="7" text="PULM">
      <formula>NOT(ISERROR(SEARCH(("PULM"),(BB46))))</formula>
    </cfRule>
    <cfRule type="containsText" priority="26033" operator="containsText" dxfId="7" text="RADIOLOGY">
      <formula>NOT(ISERROR(SEARCH(("RADIOLOGY"),(BB46))))</formula>
    </cfRule>
    <cfRule type="containsText" priority="26034" operator="containsText" dxfId="7" text="HEM/ONC">
      <formula>NOT(ISERROR(SEARCH(("HEM/ONC"),(BB46))))</formula>
    </cfRule>
    <cfRule type="containsText" priority="26035" operator="containsText" dxfId="7" text="CARDIO">
      <formula>NOT(ISERROR(SEARCH(("CARDIO"),(BB46))))</formula>
    </cfRule>
    <cfRule type="containsText" priority="26036" operator="containsText" dxfId="7" text="ID">
      <formula>NOT(ISERROR(SEARCH(("ID"),(BB46))))</formula>
    </cfRule>
    <cfRule type="containsText" priority="26037" operator="containsText" dxfId="7" text="NEURO">
      <formula>NOT(ISERROR(SEARCH(("NEURO"),(BB46))))</formula>
    </cfRule>
    <cfRule type="containsText" priority="26038" operator="containsText" dxfId="6" text="NEURO">
      <formula>NOT(ISERROR(SEARCH(("NEURO"),(BB46))))</formula>
    </cfRule>
    <cfRule type="containsText" priority="26039" operator="containsText" dxfId="5" text="NEURO">
      <formula>NOT(ISERROR(SEARCH(("NEURO"),(BB46))))</formula>
    </cfRule>
    <cfRule type="containsText" priority="26040" operator="containsText" dxfId="0" text="ICU N">
      <formula>NOT(ISERROR(SEARCH(("ICU N"),(BB46))))</formula>
    </cfRule>
    <cfRule type="containsText" priority="26041" operator="containsText" dxfId="3" text="ICU">
      <formula>NOT(ISERROR(SEARCH(("ICU"),(BB46))))</formula>
    </cfRule>
    <cfRule type="containsText" priority="26042" operator="containsText" dxfId="0" text="SWING">
      <formula>NOT(ISERROR(SEARCH(("SWING"),(BB46))))</formula>
    </cfRule>
    <cfRule type="containsText" priority="26043" operator="containsText" dxfId="0" text="NF">
      <formula>NOT(ISERROR(SEARCH(("NF"),(BB46))))</formula>
    </cfRule>
    <cfRule type="containsText" priority="26044" operator="containsText" dxfId="0" text="ICU N">
      <formula>NOT(ISERROR(SEARCH(("ICU N"),(BB46))))</formula>
    </cfRule>
  </conditionalFormatting>
  <conditionalFormatting sqref="F36">
    <cfRule type="containsText" priority="25854" operator="containsText" dxfId="16" text="ED">
      <formula>NOT(ISERROR(SEARCH(("ED"),(F36))))</formula>
    </cfRule>
    <cfRule type="containsText" priority="25855" operator="containsText" dxfId="15" text="GERIATRIC">
      <formula>NOT(ISERROR(SEARCH(("GERIATRIC"),(F36))))</formula>
    </cfRule>
    <cfRule type="containsText" priority="25856" operator="containsText" dxfId="17" text="VACATION">
      <formula>NOT(ISERROR(SEARCH(("VACATION"),(F36))))</formula>
    </cfRule>
    <cfRule type="containsText" priority="25857" operator="containsText" dxfId="7" text="PATH">
      <formula>NOT(ISERROR(SEARCH(("PATH"),(F36))))</formula>
    </cfRule>
    <cfRule type="containsText" priority="25858" operator="containsText" dxfId="7" text="NEPHRO">
      <formula>NOT(ISERROR(SEARCH(("NEPHRO"),(F36))))</formula>
    </cfRule>
    <cfRule type="containsText" priority="25859" operator="containsText" dxfId="7" text="PULM">
      <formula>NOT(ISERROR(SEARCH(("PULM"),(F36))))</formula>
    </cfRule>
    <cfRule type="containsText" priority="25860" operator="containsText" dxfId="7" text="RADIOLOGY">
      <formula>NOT(ISERROR(SEARCH(("RADIOLOGY"),(F36))))</formula>
    </cfRule>
    <cfRule type="containsText" priority="25861" operator="containsText" dxfId="7" text="HEM/ONC">
      <formula>NOT(ISERROR(SEARCH(("HEM/ONC"),(F36))))</formula>
    </cfRule>
    <cfRule type="containsText" priority="25862" operator="containsText" dxfId="7" text="CARDIO">
      <formula>NOT(ISERROR(SEARCH(("CARDIO"),(F36))))</formula>
    </cfRule>
    <cfRule type="containsText" priority="25863" operator="containsText" dxfId="7" text="ID">
      <formula>NOT(ISERROR(SEARCH(("ID"),(F36))))</formula>
    </cfRule>
    <cfRule type="containsText" priority="25864" operator="containsText" dxfId="7" text="NEURO">
      <formula>NOT(ISERROR(SEARCH(("NEURO"),(F36))))</formula>
    </cfRule>
    <cfRule type="containsText" priority="25865" operator="containsText" dxfId="6" text="NEURO">
      <formula>NOT(ISERROR(SEARCH(("NEURO"),(F36))))</formula>
    </cfRule>
    <cfRule type="containsText" priority="25866" operator="containsText" dxfId="5" text="NEURO">
      <formula>NOT(ISERROR(SEARCH(("NEURO"),(F36))))</formula>
    </cfRule>
    <cfRule type="containsText" priority="25867" operator="containsText" dxfId="0" text="ICU N">
      <formula>NOT(ISERROR(SEARCH(("ICU N"),(F36))))</formula>
    </cfRule>
    <cfRule type="containsText" priority="25868" operator="containsText" dxfId="3" text="ICU">
      <formula>NOT(ISERROR(SEARCH(("ICU"),(F36))))</formula>
    </cfRule>
    <cfRule type="containsText" priority="25869" operator="containsText" dxfId="0" text="SWING">
      <formula>NOT(ISERROR(SEARCH(("SWING"),(F36))))</formula>
    </cfRule>
    <cfRule type="containsText" priority="25870" operator="containsText" dxfId="0" text="NF">
      <formula>NOT(ISERROR(SEARCH(("NF"),(F36))))</formula>
    </cfRule>
    <cfRule type="containsText" priority="25871" operator="containsText" dxfId="0" text="ICU N">
      <formula>NOT(ISERROR(SEARCH(("ICU N"),(F36))))</formula>
    </cfRule>
  </conditionalFormatting>
  <conditionalFormatting sqref="Q45">
    <cfRule type="containsText" priority="25754" operator="containsText" dxfId="17" text="VACATION">
      <formula>NOT(ISERROR(SEARCH(("VACATION"),(Q45))))</formula>
    </cfRule>
    <cfRule type="containsText" priority="25755" operator="containsText" dxfId="0" text="ICU N">
      <formula>NOT(ISERROR(SEARCH(("ICU N"),(Q45))))</formula>
    </cfRule>
    <cfRule type="containsText" priority="25756" operator="containsText" dxfId="7" text="PATH">
      <formula>NOT(ISERROR(SEARCH(("PATH"),(Q45))))</formula>
    </cfRule>
    <cfRule type="containsText" priority="25757" operator="containsText" dxfId="7" text="NEPHRO">
      <formula>NOT(ISERROR(SEARCH(("NEPHRO"),(Q45))))</formula>
    </cfRule>
    <cfRule type="containsText" priority="25758" operator="containsText" dxfId="7" text="PULM">
      <formula>NOT(ISERROR(SEARCH(("PULM"),(Q45))))</formula>
    </cfRule>
    <cfRule type="containsText" priority="25759" operator="containsText" dxfId="7" text="RADIOLOGY">
      <formula>NOT(ISERROR(SEARCH(("RADIOLOGY"),(Q45))))</formula>
    </cfRule>
    <cfRule type="containsText" priority="25760" operator="containsText" dxfId="7" text="HEM/ONC">
      <formula>NOT(ISERROR(SEARCH(("HEM/ONC"),(Q45))))</formula>
    </cfRule>
    <cfRule type="containsText" priority="25761" operator="containsText" dxfId="7" text="CARDIO">
      <formula>NOT(ISERROR(SEARCH(("CARDIO"),(Q45))))</formula>
    </cfRule>
    <cfRule type="containsText" priority="25762" operator="containsText" dxfId="7" text="ID">
      <formula>NOT(ISERROR(SEARCH(("ID"),(Q45))))</formula>
    </cfRule>
    <cfRule type="containsText" priority="25763" operator="containsText" dxfId="7" text="NEURO">
      <formula>NOT(ISERROR(SEARCH(("NEURO"),(Q45))))</formula>
    </cfRule>
    <cfRule type="containsText" priority="25764" operator="containsText" dxfId="6" text="NEURO">
      <formula>NOT(ISERROR(SEARCH(("NEURO"),(Q45))))</formula>
    </cfRule>
    <cfRule type="containsText" priority="25765" operator="containsText" dxfId="5" text="NEURO">
      <formula>NOT(ISERROR(SEARCH(("NEURO"),(Q45))))</formula>
    </cfRule>
    <cfRule type="containsText" priority="25766" operator="containsText" dxfId="0" text="ICU N">
      <formula>NOT(ISERROR(SEARCH(("ICU N"),(Q45))))</formula>
    </cfRule>
    <cfRule type="containsText" priority="25767" operator="containsText" dxfId="3" text="ICU">
      <formula>NOT(ISERROR(SEARCH(("ICU"),(Q45))))</formula>
    </cfRule>
    <cfRule type="containsText" priority="25768" operator="containsText" dxfId="0" text="SWING">
      <formula>NOT(ISERROR(SEARCH(("SWING"),(Q45))))</formula>
    </cfRule>
    <cfRule type="containsText" priority="25769" operator="containsText" dxfId="0" text="NF">
      <formula>NOT(ISERROR(SEARCH(("NF"),(Q45))))</formula>
    </cfRule>
    <cfRule type="containsText" priority="25770" operator="containsText" dxfId="0" text="ICU N">
      <formula>NOT(ISERROR(SEARCH(("ICU N"),(Q45))))</formula>
    </cfRule>
    <cfRule type="containsText" priority="25739" operator="containsText" dxfId="7" text="PATH">
      <formula>NOT(ISERROR(SEARCH(("PATH"),(Q45))))</formula>
    </cfRule>
    <cfRule type="containsText" priority="25740" operator="containsText" dxfId="7" text="NEPHRO">
      <formula>NOT(ISERROR(SEARCH(("NEPHRO"),(Q45))))</formula>
    </cfRule>
    <cfRule type="containsText" priority="25741" operator="containsText" dxfId="7" text="PULM">
      <formula>NOT(ISERROR(SEARCH(("PULM"),(Q45))))</formula>
    </cfRule>
    <cfRule type="containsText" priority="25742" operator="containsText" dxfId="7" text="RADIOLOGY">
      <formula>NOT(ISERROR(SEARCH(("RADIOLOGY"),(Q45))))</formula>
    </cfRule>
    <cfRule type="containsText" priority="25743" operator="containsText" dxfId="7" text="HEM/ONC">
      <formula>NOT(ISERROR(SEARCH(("HEM/ONC"),(Q45))))</formula>
    </cfRule>
    <cfRule type="containsText" priority="25744" operator="containsText" dxfId="7" text="CARDIO">
      <formula>NOT(ISERROR(SEARCH(("CARDIO"),(Q45))))</formula>
    </cfRule>
    <cfRule type="containsText" priority="25745" operator="containsText" dxfId="7" text="ID">
      <formula>NOT(ISERROR(SEARCH(("ID"),(Q45))))</formula>
    </cfRule>
    <cfRule type="containsText" priority="25746" operator="containsText" dxfId="7" text="NEURO">
      <formula>NOT(ISERROR(SEARCH(("NEURO"),(Q45))))</formula>
    </cfRule>
    <cfRule type="containsText" priority="25747" operator="containsText" dxfId="6" text="NEURO">
      <formula>NOT(ISERROR(SEARCH(("NEURO"),(Q45))))</formula>
    </cfRule>
    <cfRule type="containsText" priority="25748" operator="containsText" dxfId="5" text="NEURO">
      <formula>NOT(ISERROR(SEARCH(("NEURO"),(Q45))))</formula>
    </cfRule>
    <cfRule type="containsText" priority="25749" operator="containsText" dxfId="0" text="ICU N">
      <formula>NOT(ISERROR(SEARCH(("ICU N"),(Q45))))</formula>
    </cfRule>
    <cfRule type="containsText" priority="25750" operator="containsText" dxfId="3" text="ICU">
      <formula>NOT(ISERROR(SEARCH(("ICU"),(Q45))))</formula>
    </cfRule>
    <cfRule type="containsText" priority="25751" operator="containsText" dxfId="0" text="SWING">
      <formula>NOT(ISERROR(SEARCH(("SWING"),(Q45))))</formula>
    </cfRule>
    <cfRule type="containsText" priority="25752" operator="containsText" dxfId="0" text="NF">
      <formula>NOT(ISERROR(SEARCH(("NF"),(Q45))))</formula>
    </cfRule>
    <cfRule type="containsText" priority="25753" operator="containsText" dxfId="0" text="ICU N">
      <formula>NOT(ISERROR(SEARCH(("ICU N"),(Q45))))</formula>
    </cfRule>
    <cfRule type="containsText" priority="25724" operator="containsText" dxfId="7" text="PATH">
      <formula>NOT(ISERROR(SEARCH(("PATH"),(Q45))))</formula>
    </cfRule>
    <cfRule type="containsText" priority="25725" operator="containsText" dxfId="7" text="NEPHRO">
      <formula>NOT(ISERROR(SEARCH(("NEPHRO"),(Q45))))</formula>
    </cfRule>
    <cfRule type="containsText" priority="25726" operator="containsText" dxfId="7" text="PULM">
      <formula>NOT(ISERROR(SEARCH(("PULM"),(Q45))))</formula>
    </cfRule>
    <cfRule type="containsText" priority="25727" operator="containsText" dxfId="7" text="RADIOLOGY">
      <formula>NOT(ISERROR(SEARCH(("RADIOLOGY"),(Q45))))</formula>
    </cfRule>
    <cfRule type="containsText" priority="25728" operator="containsText" dxfId="7" text="HEM/ONC">
      <formula>NOT(ISERROR(SEARCH(("HEM/ONC"),(Q45))))</formula>
    </cfRule>
    <cfRule type="containsText" priority="25729" operator="containsText" dxfId="7" text="CARDIO">
      <formula>NOT(ISERROR(SEARCH(("CARDIO"),(Q45))))</formula>
    </cfRule>
    <cfRule type="containsText" priority="25730" operator="containsText" dxfId="7" text="ID">
      <formula>NOT(ISERROR(SEARCH(("ID"),(Q45))))</formula>
    </cfRule>
    <cfRule type="containsText" priority="25731" operator="containsText" dxfId="7" text="NEURO">
      <formula>NOT(ISERROR(SEARCH(("NEURO"),(Q45))))</formula>
    </cfRule>
    <cfRule type="containsText" priority="25732" operator="containsText" dxfId="6" text="NEURO">
      <formula>NOT(ISERROR(SEARCH(("NEURO"),(Q45))))</formula>
    </cfRule>
    <cfRule type="containsText" priority="25733" operator="containsText" dxfId="5" text="NEURO">
      <formula>NOT(ISERROR(SEARCH(("NEURO"),(Q45))))</formula>
    </cfRule>
    <cfRule type="containsText" priority="25734" operator="containsText" dxfId="0" text="ICU N">
      <formula>NOT(ISERROR(SEARCH(("ICU N"),(Q45))))</formula>
    </cfRule>
    <cfRule type="containsText" priority="25735" operator="containsText" dxfId="3" text="ICU">
      <formula>NOT(ISERROR(SEARCH(("ICU"),(Q45))))</formula>
    </cfRule>
    <cfRule type="containsText" priority="25736" operator="containsText" dxfId="0" text="SWING">
      <formula>NOT(ISERROR(SEARCH(("SWING"),(Q45))))</formula>
    </cfRule>
    <cfRule type="containsText" priority="25737" operator="containsText" dxfId="0" text="NF">
      <formula>NOT(ISERROR(SEARCH(("NF"),(Q45))))</formula>
    </cfRule>
    <cfRule type="containsText" priority="25738" operator="containsText" dxfId="0" text="ICU N">
      <formula>NOT(ISERROR(SEARCH(("ICU N"),(Q45))))</formula>
    </cfRule>
  </conditionalFormatting>
  <conditionalFormatting sqref="T36">
    <cfRule type="containsText" priority="25706" operator="containsText" dxfId="16" text="ED">
      <formula>NOT(ISERROR(SEARCH(("ED"),(T36))))</formula>
    </cfRule>
    <cfRule type="containsText" priority="25707" operator="containsText" dxfId="15" text="GERIATRIC">
      <formula>NOT(ISERROR(SEARCH(("GERIATRIC"),(T36))))</formula>
    </cfRule>
    <cfRule type="containsText" priority="25708" operator="containsText" dxfId="17" text="VACATION">
      <formula>NOT(ISERROR(SEARCH(("VACATION"),(T36))))</formula>
    </cfRule>
    <cfRule type="containsText" priority="25709" operator="containsText" dxfId="7" text="PATH">
      <formula>NOT(ISERROR(SEARCH(("PATH"),(T36))))</formula>
    </cfRule>
    <cfRule type="containsText" priority="25710" operator="containsText" dxfId="7" text="NEPHRO">
      <formula>NOT(ISERROR(SEARCH(("NEPHRO"),(T36))))</formula>
    </cfRule>
    <cfRule type="containsText" priority="25711" operator="containsText" dxfId="7" text="PULM">
      <formula>NOT(ISERROR(SEARCH(("PULM"),(T36))))</formula>
    </cfRule>
    <cfRule type="containsText" priority="25712" operator="containsText" dxfId="7" text="RADIOLOGY">
      <formula>NOT(ISERROR(SEARCH(("RADIOLOGY"),(T36))))</formula>
    </cfRule>
    <cfRule type="containsText" priority="25713" operator="containsText" dxfId="7" text="HEM/ONC">
      <formula>NOT(ISERROR(SEARCH(("HEM/ONC"),(T36))))</formula>
    </cfRule>
    <cfRule type="containsText" priority="25714" operator="containsText" dxfId="7" text="CARDIO">
      <formula>NOT(ISERROR(SEARCH(("CARDIO"),(T36))))</formula>
    </cfRule>
    <cfRule type="containsText" priority="25715" operator="containsText" dxfId="7" text="ID">
      <formula>NOT(ISERROR(SEARCH(("ID"),(T36))))</formula>
    </cfRule>
    <cfRule type="containsText" priority="25716" operator="containsText" dxfId="7" text="NEURO">
      <formula>NOT(ISERROR(SEARCH(("NEURO"),(T36))))</formula>
    </cfRule>
    <cfRule type="containsText" priority="25717" operator="containsText" dxfId="6" text="NEURO">
      <formula>NOT(ISERROR(SEARCH(("NEURO"),(T36))))</formula>
    </cfRule>
    <cfRule type="containsText" priority="25718" operator="containsText" dxfId="5" text="NEURO">
      <formula>NOT(ISERROR(SEARCH(("NEURO"),(T36))))</formula>
    </cfRule>
    <cfRule type="containsText" priority="25719" operator="containsText" dxfId="0" text="ICU N">
      <formula>NOT(ISERROR(SEARCH(("ICU N"),(T36))))</formula>
    </cfRule>
    <cfRule type="containsText" priority="25720" operator="containsText" dxfId="3" text="ICU">
      <formula>NOT(ISERROR(SEARCH(("ICU"),(T36))))</formula>
    </cfRule>
    <cfRule type="containsText" priority="25721" operator="containsText" dxfId="0" text="SWING">
      <formula>NOT(ISERROR(SEARCH(("SWING"),(T36))))</formula>
    </cfRule>
    <cfRule type="containsText" priority="25722" operator="containsText" dxfId="0" text="NF">
      <formula>NOT(ISERROR(SEARCH(("NF"),(T36))))</formula>
    </cfRule>
    <cfRule type="containsText" priority="25723" operator="containsText" dxfId="0" text="ICU N">
      <formula>NOT(ISERROR(SEARCH(("ICU N"),(T36))))</formula>
    </cfRule>
  </conditionalFormatting>
  <conditionalFormatting sqref="X43:X44">
    <cfRule type="containsText" priority="25688" operator="containsText" dxfId="16" text="ED">
      <formula>NOT(ISERROR(SEARCH(("ED"),(X43))))</formula>
    </cfRule>
    <cfRule type="containsText" priority="25689" operator="containsText" dxfId="15" text="GERIATRIC">
      <formula>NOT(ISERROR(SEARCH(("GERIATRIC"),(X43))))</formula>
    </cfRule>
    <cfRule type="containsText" priority="25690" operator="containsText" dxfId="17" text="VACATION">
      <formula>NOT(ISERROR(SEARCH(("VACATION"),(X43))))</formula>
    </cfRule>
    <cfRule type="containsText" priority="25691" operator="containsText" dxfId="7" text="PATH">
      <formula>NOT(ISERROR(SEARCH(("PATH"),(X43))))</formula>
    </cfRule>
    <cfRule type="containsText" priority="25692" operator="containsText" dxfId="7" text="NEPHRO">
      <formula>NOT(ISERROR(SEARCH(("NEPHRO"),(X43))))</formula>
    </cfRule>
    <cfRule type="containsText" priority="25693" operator="containsText" dxfId="7" text="PULM">
      <formula>NOT(ISERROR(SEARCH(("PULM"),(X43))))</formula>
    </cfRule>
    <cfRule type="containsText" priority="25694" operator="containsText" dxfId="7" text="RADIOLOGY">
      <formula>NOT(ISERROR(SEARCH(("RADIOLOGY"),(X43))))</formula>
    </cfRule>
    <cfRule type="containsText" priority="25695" operator="containsText" dxfId="7" text="HEM/ONC">
      <formula>NOT(ISERROR(SEARCH(("HEM/ONC"),(X43))))</formula>
    </cfRule>
    <cfRule type="containsText" priority="25696" operator="containsText" dxfId="7" text="CARDIO">
      <formula>NOT(ISERROR(SEARCH(("CARDIO"),(X43))))</formula>
    </cfRule>
    <cfRule type="containsText" priority="25697" operator="containsText" dxfId="7" text="ID">
      <formula>NOT(ISERROR(SEARCH(("ID"),(X43))))</formula>
    </cfRule>
    <cfRule type="containsText" priority="25698" operator="containsText" dxfId="7" text="NEURO">
      <formula>NOT(ISERROR(SEARCH(("NEURO"),(X43))))</formula>
    </cfRule>
    <cfRule type="containsText" priority="25699" operator="containsText" dxfId="6" text="NEURO">
      <formula>NOT(ISERROR(SEARCH(("NEURO"),(X43))))</formula>
    </cfRule>
    <cfRule type="containsText" priority="25700" operator="containsText" dxfId="5" text="NEURO">
      <formula>NOT(ISERROR(SEARCH(("NEURO"),(X43))))</formula>
    </cfRule>
    <cfRule type="containsText" priority="25701" operator="containsText" dxfId="0" text="ICU N">
      <formula>NOT(ISERROR(SEARCH(("ICU N"),(X43))))</formula>
    </cfRule>
    <cfRule type="containsText" priority="25702" operator="containsText" dxfId="3" text="ICU">
      <formula>NOT(ISERROR(SEARCH(("ICU"),(X43))))</formula>
    </cfRule>
    <cfRule type="containsText" priority="25703" operator="containsText" dxfId="0" text="SWING">
      <formula>NOT(ISERROR(SEARCH(("SWING"),(X43))))</formula>
    </cfRule>
    <cfRule type="containsText" priority="25704" operator="containsText" dxfId="0" text="NF">
      <formula>NOT(ISERROR(SEARCH(("NF"),(X43))))</formula>
    </cfRule>
    <cfRule type="containsText" priority="25705" operator="containsText" dxfId="0" text="ICU N">
      <formula>NOT(ISERROR(SEARCH(("ICU N"),(X43))))</formula>
    </cfRule>
  </conditionalFormatting>
  <conditionalFormatting sqref="F44">
    <cfRule type="containsText" priority="25653" operator="containsText" dxfId="17" text="VACATION">
      <formula>NOT(ISERROR(SEARCH(("VACATION"),(F44))))</formula>
    </cfRule>
    <cfRule type="containsText" priority="25654" operator="containsText" dxfId="0" text="ICU N">
      <formula>NOT(ISERROR(SEARCH(("ICU N"),(F44))))</formula>
    </cfRule>
    <cfRule type="containsText" priority="25655" operator="containsText" dxfId="7" text="PATH">
      <formula>NOT(ISERROR(SEARCH(("PATH"),(F44))))</formula>
    </cfRule>
    <cfRule type="containsText" priority="25656" operator="containsText" dxfId="7" text="NEPHRO">
      <formula>NOT(ISERROR(SEARCH(("NEPHRO"),(F44))))</formula>
    </cfRule>
    <cfRule type="containsText" priority="25657" operator="containsText" dxfId="7" text="PULM">
      <formula>NOT(ISERROR(SEARCH(("PULM"),(F44))))</formula>
    </cfRule>
    <cfRule type="containsText" priority="25658" operator="containsText" dxfId="7" text="RADIOLOGY">
      <formula>NOT(ISERROR(SEARCH(("RADIOLOGY"),(F44))))</formula>
    </cfRule>
    <cfRule type="containsText" priority="25659" operator="containsText" dxfId="7" text="HEM/ONC">
      <formula>NOT(ISERROR(SEARCH(("HEM/ONC"),(F44))))</formula>
    </cfRule>
    <cfRule type="containsText" priority="25660" operator="containsText" dxfId="7" text="CARDIO">
      <formula>NOT(ISERROR(SEARCH(("CARDIO"),(F44))))</formula>
    </cfRule>
    <cfRule type="containsText" priority="25661" operator="containsText" dxfId="7" text="ID">
      <formula>NOT(ISERROR(SEARCH(("ID"),(F44))))</formula>
    </cfRule>
    <cfRule type="containsText" priority="25662" operator="containsText" dxfId="7" text="NEURO">
      <formula>NOT(ISERROR(SEARCH(("NEURO"),(F44))))</formula>
    </cfRule>
    <cfRule type="containsText" priority="25663" operator="containsText" dxfId="6" text="NEURO">
      <formula>NOT(ISERROR(SEARCH(("NEURO"),(F44))))</formula>
    </cfRule>
    <cfRule type="containsText" priority="25664" operator="containsText" dxfId="5" text="NEURO">
      <formula>NOT(ISERROR(SEARCH(("NEURO"),(F44))))</formula>
    </cfRule>
    <cfRule type="containsText" priority="25665" operator="containsText" dxfId="0" text="ICU N">
      <formula>NOT(ISERROR(SEARCH(("ICU N"),(F44))))</formula>
    </cfRule>
    <cfRule type="containsText" priority="25666" operator="containsText" dxfId="3" text="ICU">
      <formula>NOT(ISERROR(SEARCH(("ICU"),(F44))))</formula>
    </cfRule>
    <cfRule type="containsText" priority="25667" operator="containsText" dxfId="0" text="SWING">
      <formula>NOT(ISERROR(SEARCH(("SWING"),(F44))))</formula>
    </cfRule>
    <cfRule type="containsText" priority="25668" operator="containsText" dxfId="0" text="NF">
      <formula>NOT(ISERROR(SEARCH(("NF"),(F44))))</formula>
    </cfRule>
    <cfRule type="containsText" priority="25669" operator="containsText" dxfId="0" text="ICU N">
      <formula>NOT(ISERROR(SEARCH(("ICU N"),(F44))))</formula>
    </cfRule>
    <cfRule type="containsText" priority="25638" operator="containsText" dxfId="7" text="PATH">
      <formula>NOT(ISERROR(SEARCH(("PATH"),(F44))))</formula>
    </cfRule>
    <cfRule type="containsText" priority="25639" operator="containsText" dxfId="7" text="NEPHRO">
      <formula>NOT(ISERROR(SEARCH(("NEPHRO"),(F44))))</formula>
    </cfRule>
    <cfRule type="containsText" priority="25640" operator="containsText" dxfId="7" text="PULM">
      <formula>NOT(ISERROR(SEARCH(("PULM"),(F44))))</formula>
    </cfRule>
    <cfRule type="containsText" priority="25641" operator="containsText" dxfId="7" text="RADIOLOGY">
      <formula>NOT(ISERROR(SEARCH(("RADIOLOGY"),(F44))))</formula>
    </cfRule>
    <cfRule type="containsText" priority="25642" operator="containsText" dxfId="7" text="HEM/ONC">
      <formula>NOT(ISERROR(SEARCH(("HEM/ONC"),(F44))))</formula>
    </cfRule>
    <cfRule type="containsText" priority="25643" operator="containsText" dxfId="7" text="CARDIO">
      <formula>NOT(ISERROR(SEARCH(("CARDIO"),(F44))))</formula>
    </cfRule>
    <cfRule type="containsText" priority="25644" operator="containsText" dxfId="7" text="ID">
      <formula>NOT(ISERROR(SEARCH(("ID"),(F44))))</formula>
    </cfRule>
    <cfRule type="containsText" priority="25645" operator="containsText" dxfId="7" text="NEURO">
      <formula>NOT(ISERROR(SEARCH(("NEURO"),(F44))))</formula>
    </cfRule>
    <cfRule type="containsText" priority="25646" operator="containsText" dxfId="6" text="NEURO">
      <formula>NOT(ISERROR(SEARCH(("NEURO"),(F44))))</formula>
    </cfRule>
    <cfRule type="containsText" priority="25647" operator="containsText" dxfId="5" text="NEURO">
      <formula>NOT(ISERROR(SEARCH(("NEURO"),(F44))))</formula>
    </cfRule>
    <cfRule type="containsText" priority="25648" operator="containsText" dxfId="0" text="ICU N">
      <formula>NOT(ISERROR(SEARCH(("ICU N"),(F44))))</formula>
    </cfRule>
    <cfRule type="containsText" priority="25649" operator="containsText" dxfId="3" text="ICU">
      <formula>NOT(ISERROR(SEARCH(("ICU"),(F44))))</formula>
    </cfRule>
    <cfRule type="containsText" priority="25650" operator="containsText" dxfId="0" text="SWING">
      <formula>NOT(ISERROR(SEARCH(("SWING"),(F44))))</formula>
    </cfRule>
    <cfRule type="containsText" priority="25651" operator="containsText" dxfId="0" text="NF">
      <formula>NOT(ISERROR(SEARCH(("NF"),(F44))))</formula>
    </cfRule>
    <cfRule type="containsText" priority="25652" operator="containsText" dxfId="0" text="ICU N">
      <formula>NOT(ISERROR(SEARCH(("ICU N"),(F44))))</formula>
    </cfRule>
    <cfRule type="containsText" priority="25623" operator="containsText" dxfId="7" text="PATH">
      <formula>NOT(ISERROR(SEARCH(("PATH"),(F44))))</formula>
    </cfRule>
    <cfRule type="containsText" priority="25624" operator="containsText" dxfId="7" text="NEPHRO">
      <formula>NOT(ISERROR(SEARCH(("NEPHRO"),(F44))))</formula>
    </cfRule>
    <cfRule type="containsText" priority="25625" operator="containsText" dxfId="7" text="PULM">
      <formula>NOT(ISERROR(SEARCH(("PULM"),(F44))))</formula>
    </cfRule>
    <cfRule type="containsText" priority="25626" operator="containsText" dxfId="7" text="RADIOLOGY">
      <formula>NOT(ISERROR(SEARCH(("RADIOLOGY"),(F44))))</formula>
    </cfRule>
    <cfRule type="containsText" priority="25627" operator="containsText" dxfId="7" text="HEM/ONC">
      <formula>NOT(ISERROR(SEARCH(("HEM/ONC"),(F44))))</formula>
    </cfRule>
    <cfRule type="containsText" priority="25628" operator="containsText" dxfId="7" text="CARDIO">
      <formula>NOT(ISERROR(SEARCH(("CARDIO"),(F44))))</formula>
    </cfRule>
    <cfRule type="containsText" priority="25629" operator="containsText" dxfId="7" text="ID">
      <formula>NOT(ISERROR(SEARCH(("ID"),(F44))))</formula>
    </cfRule>
    <cfRule type="containsText" priority="25630" operator="containsText" dxfId="7" text="NEURO">
      <formula>NOT(ISERROR(SEARCH(("NEURO"),(F44))))</formula>
    </cfRule>
    <cfRule type="containsText" priority="25631" operator="containsText" dxfId="6" text="NEURO">
      <formula>NOT(ISERROR(SEARCH(("NEURO"),(F44))))</formula>
    </cfRule>
    <cfRule type="containsText" priority="25632" operator="containsText" dxfId="5" text="NEURO">
      <formula>NOT(ISERROR(SEARCH(("NEURO"),(F44))))</formula>
    </cfRule>
    <cfRule type="containsText" priority="25633" operator="containsText" dxfId="0" text="ICU N">
      <formula>NOT(ISERROR(SEARCH(("ICU N"),(F44))))</formula>
    </cfRule>
    <cfRule type="containsText" priority="25634" operator="containsText" dxfId="3" text="ICU">
      <formula>NOT(ISERROR(SEARCH(("ICU"),(F44))))</formula>
    </cfRule>
    <cfRule type="containsText" priority="25635" operator="containsText" dxfId="0" text="SWING">
      <formula>NOT(ISERROR(SEARCH(("SWING"),(F44))))</formula>
    </cfRule>
    <cfRule type="containsText" priority="25636" operator="containsText" dxfId="0" text="NF">
      <formula>NOT(ISERROR(SEARCH(("NF"),(F44))))</formula>
    </cfRule>
    <cfRule type="containsText" priority="25637" operator="containsText" dxfId="0" text="ICU N">
      <formula>NOT(ISERROR(SEARCH(("ICU N"),(F44))))</formula>
    </cfRule>
  </conditionalFormatting>
  <conditionalFormatting sqref="H38">
    <cfRule type="containsText" priority="25570" operator="containsText" dxfId="17" text="VACATION">
      <formula>NOT(ISERROR(SEARCH(("VACATION"),(H38))))</formula>
    </cfRule>
    <cfRule type="containsText" priority="25571" operator="containsText" dxfId="16" text="ED">
      <formula>NOT(ISERROR(SEARCH(("ED"),(H38))))</formula>
    </cfRule>
    <cfRule type="containsText" priority="25572" operator="containsText" dxfId="15" text="GERIATRIC">
      <formula>NOT(ISERROR(SEARCH(("GERIATRIC"),(H38))))</formula>
    </cfRule>
    <cfRule type="containsText" priority="25573" operator="containsText" dxfId="7" text="PATH">
      <formula>NOT(ISERROR(SEARCH(("PATH"),(H38))))</formula>
    </cfRule>
    <cfRule type="containsText" priority="25574" operator="containsText" dxfId="7" text="NEPHRO">
      <formula>NOT(ISERROR(SEARCH(("NEPHRO"),(H38))))</formula>
    </cfRule>
    <cfRule type="containsText" priority="25575" operator="containsText" dxfId="7" text="PULM">
      <formula>NOT(ISERROR(SEARCH(("PULM"),(H38))))</formula>
    </cfRule>
    <cfRule type="containsText" priority="25576" operator="containsText" dxfId="7" text="RADIOLOGY">
      <formula>NOT(ISERROR(SEARCH(("RADIOLOGY"),(H38))))</formula>
    </cfRule>
    <cfRule type="containsText" priority="25577" operator="containsText" dxfId="7" text="HEM/ONC">
      <formula>NOT(ISERROR(SEARCH(("HEM/ONC"),(H38))))</formula>
    </cfRule>
    <cfRule type="containsText" priority="25578" operator="containsText" dxfId="7" text="CARDIO">
      <formula>NOT(ISERROR(SEARCH(("CARDIO"),(H38))))</formula>
    </cfRule>
    <cfRule type="containsText" priority="25579" operator="containsText" dxfId="7" text="ID">
      <formula>NOT(ISERROR(SEARCH(("ID"),(H38))))</formula>
    </cfRule>
    <cfRule type="containsText" priority="25580" operator="containsText" dxfId="7" text="NEURO">
      <formula>NOT(ISERROR(SEARCH(("NEURO"),(H38))))</formula>
    </cfRule>
    <cfRule type="containsText" priority="25581" operator="containsText" dxfId="6" text="NEURO">
      <formula>NOT(ISERROR(SEARCH(("NEURO"),(H38))))</formula>
    </cfRule>
    <cfRule type="containsText" priority="25582" operator="containsText" dxfId="5" text="NEURO">
      <formula>NOT(ISERROR(SEARCH(("NEURO"),(H38))))</formula>
    </cfRule>
    <cfRule type="containsText" priority="25583" operator="containsText" dxfId="0" text="ICU N">
      <formula>NOT(ISERROR(SEARCH(("ICU N"),(H38))))</formula>
    </cfRule>
    <cfRule type="containsText" priority="25584" operator="containsText" dxfId="3" text="ICU">
      <formula>NOT(ISERROR(SEARCH(("ICU"),(H38))))</formula>
    </cfRule>
    <cfRule type="containsText" priority="25585" operator="containsText" dxfId="0" text="SWING">
      <formula>NOT(ISERROR(SEARCH(("SWING"),(H38))))</formula>
    </cfRule>
    <cfRule type="containsText" priority="25586" operator="containsText" dxfId="0" text="NF">
      <formula>NOT(ISERROR(SEARCH(("NF"),(H38))))</formula>
    </cfRule>
  </conditionalFormatting>
  <conditionalFormatting sqref="Y38:Z38">
    <cfRule type="containsText" priority="25535" operator="containsText" dxfId="16" text="ED">
      <formula>NOT(ISERROR(SEARCH(("ED"),(Y38))))</formula>
    </cfRule>
    <cfRule type="containsText" priority="25536" operator="containsText" dxfId="15" text="GERIATRIC">
      <formula>NOT(ISERROR(SEARCH(("GERIATRIC"),(Y38))))</formula>
    </cfRule>
    <cfRule type="containsText" priority="25537" operator="containsText" dxfId="17" text="VACATION">
      <formula>NOT(ISERROR(SEARCH(("VACATION"),(Y38))))</formula>
    </cfRule>
    <cfRule type="containsText" priority="25538" operator="containsText" dxfId="7" text="PATH">
      <formula>NOT(ISERROR(SEARCH(("PATH"),(Y38))))</formula>
    </cfRule>
    <cfRule type="containsText" priority="25539" operator="containsText" dxfId="7" text="NEPHRO">
      <formula>NOT(ISERROR(SEARCH(("NEPHRO"),(Y38))))</formula>
    </cfRule>
    <cfRule type="containsText" priority="25540" operator="containsText" dxfId="7" text="PULM">
      <formula>NOT(ISERROR(SEARCH(("PULM"),(Y38))))</formula>
    </cfRule>
    <cfRule type="containsText" priority="25541" operator="containsText" dxfId="7" text="RADIOLOGY">
      <formula>NOT(ISERROR(SEARCH(("RADIOLOGY"),(Y38))))</formula>
    </cfRule>
    <cfRule type="containsText" priority="25542" operator="containsText" dxfId="7" text="HEM/ONC">
      <formula>NOT(ISERROR(SEARCH(("HEM/ONC"),(Y38))))</formula>
    </cfRule>
    <cfRule type="containsText" priority="25543" operator="containsText" dxfId="7" text="CARDIO">
      <formula>NOT(ISERROR(SEARCH(("CARDIO"),(Y38))))</formula>
    </cfRule>
    <cfRule type="containsText" priority="25544" operator="containsText" dxfId="7" text="ID">
      <formula>NOT(ISERROR(SEARCH(("ID"),(Y38))))</formula>
    </cfRule>
    <cfRule type="containsText" priority="25545" operator="containsText" dxfId="7" text="NEURO">
      <formula>NOT(ISERROR(SEARCH(("NEURO"),(Y38))))</formula>
    </cfRule>
    <cfRule type="containsText" priority="25546" operator="containsText" dxfId="6" text="NEURO">
      <formula>NOT(ISERROR(SEARCH(("NEURO"),(Y38))))</formula>
    </cfRule>
    <cfRule type="containsText" priority="25547" operator="containsText" dxfId="5" text="NEURO">
      <formula>NOT(ISERROR(SEARCH(("NEURO"),(Y38))))</formula>
    </cfRule>
    <cfRule type="containsText" priority="25548" operator="containsText" dxfId="3" text="ICU">
      <formula>NOT(ISERROR(SEARCH(("ICU"),(Y38))))</formula>
    </cfRule>
    <cfRule type="containsText" priority="25549" operator="containsText" dxfId="0" text="SWING">
      <formula>NOT(ISERROR(SEARCH(("SWING"),(Y38))))</formula>
    </cfRule>
    <cfRule type="containsText" priority="25550" operator="containsText" dxfId="0" text="NF">
      <formula>NOT(ISERROR(SEARCH(("NF"),(Y38))))</formula>
    </cfRule>
    <cfRule type="containsText" priority="25551" operator="containsText" dxfId="0" text="ICU N">
      <formula>NOT(ISERROR(SEARCH(("ICU N"),(Y38))))</formula>
    </cfRule>
  </conditionalFormatting>
  <conditionalFormatting sqref="P55:Q55">
    <cfRule type="containsText" priority="24208" operator="containsText" dxfId="16" text="ED">
      <formula>NOT(ISERROR(SEARCH(("ED"),(P55))))</formula>
    </cfRule>
    <cfRule type="containsText" priority="24209" operator="containsText" dxfId="17" text="VACATION">
      <formula>NOT(ISERROR(SEARCH(("VACATION"),(P55))))</formula>
    </cfRule>
    <cfRule type="containsText" priority="24210" operator="containsText" dxfId="0" text="ICU N">
      <formula>NOT(ISERROR(SEARCH(("ICU N"),(P55))))</formula>
    </cfRule>
  </conditionalFormatting>
  <conditionalFormatting sqref="J52">
    <cfRule type="containsText" priority="24086" operator="containsText" dxfId="16" text="ED">
      <formula>NOT(ISERROR(SEARCH(("ED"),(J52))))</formula>
    </cfRule>
    <cfRule type="containsText" priority="24087" operator="containsText" dxfId="15" text="GERIATRIC">
      <formula>NOT(ISERROR(SEARCH(("GERIATRIC"),(J52))))</formula>
    </cfRule>
    <cfRule type="containsText" priority="24088" operator="containsText" dxfId="17" text="VACATION">
      <formula>NOT(ISERROR(SEARCH(("VACATION"),(J52))))</formula>
    </cfRule>
    <cfRule type="containsText" priority="24089" operator="containsText" dxfId="7" text="PATH">
      <formula>NOT(ISERROR(SEARCH(("PATH"),(J52))))</formula>
    </cfRule>
    <cfRule type="containsText" priority="24090" operator="containsText" dxfId="7" text="NEPHRO">
      <formula>NOT(ISERROR(SEARCH(("NEPHRO"),(J52))))</formula>
    </cfRule>
    <cfRule type="containsText" priority="24091" operator="containsText" dxfId="7" text="PULM">
      <formula>NOT(ISERROR(SEARCH(("PULM"),(J52))))</formula>
    </cfRule>
    <cfRule type="containsText" priority="24092" operator="containsText" dxfId="7" text="RADIOLOGY">
      <formula>NOT(ISERROR(SEARCH(("RADIOLOGY"),(J52))))</formula>
    </cfRule>
    <cfRule type="containsText" priority="24093" operator="containsText" dxfId="7" text="HEM/ONC">
      <formula>NOT(ISERROR(SEARCH(("HEM/ONC"),(J52))))</formula>
    </cfRule>
    <cfRule type="containsText" priority="24094" operator="containsText" dxfId="7" text="CARDIO">
      <formula>NOT(ISERROR(SEARCH(("CARDIO"),(J52))))</formula>
    </cfRule>
    <cfRule type="containsText" priority="24095" operator="containsText" dxfId="7" text="ID">
      <formula>NOT(ISERROR(SEARCH(("ID"),(J52))))</formula>
    </cfRule>
    <cfRule type="containsText" priority="24096" operator="containsText" dxfId="7" text="NEURO">
      <formula>NOT(ISERROR(SEARCH(("NEURO"),(J52))))</formula>
    </cfRule>
    <cfRule type="containsText" priority="24097" operator="containsText" dxfId="6" text="NEURO">
      <formula>NOT(ISERROR(SEARCH(("NEURO"),(J52))))</formula>
    </cfRule>
    <cfRule type="containsText" priority="24098" operator="containsText" dxfId="5" text="NEURO">
      <formula>NOT(ISERROR(SEARCH(("NEURO"),(J52))))</formula>
    </cfRule>
    <cfRule type="containsText" priority="24099" operator="containsText" dxfId="0" text="ICU N">
      <formula>NOT(ISERROR(SEARCH(("ICU N"),(J52))))</formula>
    </cfRule>
    <cfRule type="containsText" priority="24100" operator="containsText" dxfId="3" text="ICU">
      <formula>NOT(ISERROR(SEARCH(("ICU"),(J52))))</formula>
    </cfRule>
    <cfRule type="containsText" priority="24101" operator="containsText" dxfId="0" text="SWING">
      <formula>NOT(ISERROR(SEARCH(("SWING"),(J52))))</formula>
    </cfRule>
    <cfRule type="containsText" priority="24102" operator="containsText" dxfId="0" text="NF">
      <formula>NOT(ISERROR(SEARCH(("NF"),(J52))))</formula>
    </cfRule>
    <cfRule type="containsText" priority="24103" operator="containsText" dxfId="0" text="ICU N">
      <formula>NOT(ISERROR(SEARCH(("ICU N"),(J52))))</formula>
    </cfRule>
  </conditionalFormatting>
  <conditionalFormatting sqref="AZ46">
    <cfRule type="containsText" priority="23817" operator="containsText" dxfId="0" text="ICU N">
      <formula>NOT(ISERROR(SEARCH(("ICU N"),(AZ46))))</formula>
    </cfRule>
    <cfRule type="containsText" priority="11652" operator="containsText" dxfId="0" text="ICU N">
      <formula>NOT(ISERROR(SEARCH(("ICU N"),(AZ46))))</formula>
    </cfRule>
  </conditionalFormatting>
  <conditionalFormatting sqref="J38">
    <cfRule type="containsText" priority="23781" operator="containsText" dxfId="16" text="ED">
      <formula>NOT(ISERROR(SEARCH(("ED"),(J38))))</formula>
    </cfRule>
    <cfRule type="containsText" priority="23782" operator="containsText" dxfId="15" text="GERIATRIC">
      <formula>NOT(ISERROR(SEARCH(("GERIATRIC"),(J38))))</formula>
    </cfRule>
    <cfRule type="containsText" priority="23783" operator="containsText" dxfId="17" text="VACATION">
      <formula>NOT(ISERROR(SEARCH(("VACATION"),(J38))))</formula>
    </cfRule>
    <cfRule type="containsText" priority="23784" operator="containsText" dxfId="7" text="PATH">
      <formula>NOT(ISERROR(SEARCH(("PATH"),(J38))))</formula>
    </cfRule>
    <cfRule type="containsText" priority="23785" operator="containsText" dxfId="7" text="NEPHRO">
      <formula>NOT(ISERROR(SEARCH(("NEPHRO"),(J38))))</formula>
    </cfRule>
    <cfRule type="containsText" priority="23786" operator="containsText" dxfId="7" text="PULM">
      <formula>NOT(ISERROR(SEARCH(("PULM"),(J38))))</formula>
    </cfRule>
    <cfRule type="containsText" priority="23787" operator="containsText" dxfId="7" text="RADIOLOGY">
      <formula>NOT(ISERROR(SEARCH(("RADIOLOGY"),(J38))))</formula>
    </cfRule>
    <cfRule type="containsText" priority="23788" operator="containsText" dxfId="7" text="HEM/ONC">
      <formula>NOT(ISERROR(SEARCH(("HEM/ONC"),(J38))))</formula>
    </cfRule>
    <cfRule type="containsText" priority="23789" operator="containsText" dxfId="7" text="CARDIO">
      <formula>NOT(ISERROR(SEARCH(("CARDIO"),(J38))))</formula>
    </cfRule>
    <cfRule type="containsText" priority="23790" operator="containsText" dxfId="7" text="ID">
      <formula>NOT(ISERROR(SEARCH(("ID"),(J38))))</formula>
    </cfRule>
    <cfRule type="containsText" priority="23791" operator="containsText" dxfId="7" text="NEURO">
      <formula>NOT(ISERROR(SEARCH(("NEURO"),(J38))))</formula>
    </cfRule>
    <cfRule type="containsText" priority="23792" operator="containsText" dxfId="6" text="NEURO">
      <formula>NOT(ISERROR(SEARCH(("NEURO"),(J38))))</formula>
    </cfRule>
    <cfRule type="containsText" priority="23793" operator="containsText" dxfId="5" text="NEURO">
      <formula>NOT(ISERROR(SEARCH(("NEURO"),(J38))))</formula>
    </cfRule>
    <cfRule type="containsText" priority="23794" operator="containsText" dxfId="0" text="ICU N">
      <formula>NOT(ISERROR(SEARCH(("ICU N"),(J38))))</formula>
    </cfRule>
    <cfRule type="containsText" priority="23795" operator="containsText" dxfId="3" text="ICU">
      <formula>NOT(ISERROR(SEARCH(("ICU"),(J38))))</formula>
    </cfRule>
    <cfRule type="containsText" priority="23796" operator="containsText" dxfId="0" text="SWING">
      <formula>NOT(ISERROR(SEARCH(("SWING"),(J38))))</formula>
    </cfRule>
    <cfRule type="containsText" priority="23797" operator="containsText" dxfId="0" text="NF">
      <formula>NOT(ISERROR(SEARCH(("NF"),(J38))))</formula>
    </cfRule>
    <cfRule type="containsText" priority="23798" operator="containsText" dxfId="0" text="ICU N">
      <formula>NOT(ISERROR(SEARCH(("ICU N"),(J38))))</formula>
    </cfRule>
  </conditionalFormatting>
  <conditionalFormatting sqref="I38">
    <cfRule type="containsText" priority="23780" operator="containsText" dxfId="17" text="VACATION">
      <formula>NOT(ISERROR(SEARCH(("VACATION"),(I38))))</formula>
    </cfRule>
    <cfRule type="containsText" priority="23779" operator="containsText" dxfId="17" text="VACATION">
      <formula>NOT(ISERROR(SEARCH(("VACATION"),(I38))))</formula>
    </cfRule>
  </conditionalFormatting>
  <conditionalFormatting sqref="E19">
    <cfRule type="containsText" priority="23673" operator="containsText" dxfId="17" text="VACATION">
      <formula>NOT(ISERROR(SEARCH(("VACATION"),(E19))))</formula>
    </cfRule>
    <cfRule type="containsText" priority="23674" operator="containsText" dxfId="7" text="PATH">
      <formula>NOT(ISERROR(SEARCH(("PATH"),(E19))))</formula>
    </cfRule>
    <cfRule type="containsText" priority="23675" operator="containsText" dxfId="7" text="NEPHRO">
      <formula>NOT(ISERROR(SEARCH(("NEPHRO"),(E19))))</formula>
    </cfRule>
    <cfRule type="containsText" priority="23676" operator="containsText" dxfId="7" text="PULM">
      <formula>NOT(ISERROR(SEARCH(("PULM"),(E19))))</formula>
    </cfRule>
    <cfRule type="containsText" priority="23677" operator="containsText" dxfId="7" text="RADIOLOGY">
      <formula>NOT(ISERROR(SEARCH(("RADIOLOGY"),(E19))))</formula>
    </cfRule>
    <cfRule type="containsText" priority="23678" operator="containsText" dxfId="7" text="HEM/ONC">
      <formula>NOT(ISERROR(SEARCH(("HEM/ONC"),(E19))))</formula>
    </cfRule>
    <cfRule type="containsText" priority="23679" operator="containsText" dxfId="7" text="CARDIO">
      <formula>NOT(ISERROR(SEARCH(("CARDIO"),(E19))))</formula>
    </cfRule>
    <cfRule type="containsText" priority="23680" operator="containsText" dxfId="7" text="ID">
      <formula>NOT(ISERROR(SEARCH(("ID"),(E19))))</formula>
    </cfRule>
    <cfRule type="containsText" priority="23681" operator="containsText" dxfId="7" text="NEURO">
      <formula>NOT(ISERROR(SEARCH(("NEURO"),(E19))))</formula>
    </cfRule>
    <cfRule type="containsText" priority="23682" operator="containsText" dxfId="6" text="NEURO">
      <formula>NOT(ISERROR(SEARCH(("NEURO"),(E19))))</formula>
    </cfRule>
    <cfRule type="containsText" priority="23683" operator="containsText" dxfId="5" text="NEURO">
      <formula>NOT(ISERROR(SEARCH(("NEURO"),(E19))))</formula>
    </cfRule>
    <cfRule type="containsText" priority="23684" operator="containsText" dxfId="0" text="ICU N">
      <formula>NOT(ISERROR(SEARCH(("ICU N"),(E19))))</formula>
    </cfRule>
    <cfRule type="containsText" priority="23685" operator="containsText" dxfId="3" text="ICU">
      <formula>NOT(ISERROR(SEARCH(("ICU"),(E19))))</formula>
    </cfRule>
    <cfRule type="containsText" priority="23686" operator="containsText" dxfId="0" text="SWING">
      <formula>NOT(ISERROR(SEARCH(("SWING"),(E19))))</formula>
    </cfRule>
    <cfRule type="containsText" priority="23687" operator="containsText" dxfId="0" text="NF">
      <formula>NOT(ISERROR(SEARCH(("NF"),(E19))))</formula>
    </cfRule>
    <cfRule type="containsText" priority="23688" operator="containsText" dxfId="0" text="ICU N">
      <formula>NOT(ISERROR(SEARCH(("ICU N"),(E19))))</formula>
    </cfRule>
  </conditionalFormatting>
  <conditionalFormatting sqref="N56:P56">
    <cfRule type="containsText" priority="23637" operator="containsText" dxfId="16" text="ED">
      <formula>NOT(ISERROR(SEARCH(("ED"),(N56))))</formula>
    </cfRule>
    <cfRule type="containsText" priority="23638" operator="containsText" dxfId="15" text="GERIATRIC">
      <formula>NOT(ISERROR(SEARCH(("GERIATRIC"),(N56))))</formula>
    </cfRule>
    <cfRule type="containsText" priority="23639" operator="containsText" dxfId="17" text="VACATION">
      <formula>NOT(ISERROR(SEARCH(("VACATION"),(N56))))</formula>
    </cfRule>
    <cfRule type="containsText" priority="23640" operator="containsText" dxfId="7" text="PATH">
      <formula>NOT(ISERROR(SEARCH(("PATH"),(N56))))</formula>
    </cfRule>
    <cfRule type="containsText" priority="23641" operator="containsText" dxfId="7" text="NEPHRO">
      <formula>NOT(ISERROR(SEARCH(("NEPHRO"),(N56))))</formula>
    </cfRule>
    <cfRule type="containsText" priority="23642" operator="containsText" dxfId="7" text="PULM">
      <formula>NOT(ISERROR(SEARCH(("PULM"),(N56))))</formula>
    </cfRule>
    <cfRule type="containsText" priority="23643" operator="containsText" dxfId="7" text="RADIOLOGY">
      <formula>NOT(ISERROR(SEARCH(("RADIOLOGY"),(N56))))</formula>
    </cfRule>
    <cfRule type="containsText" priority="23644" operator="containsText" dxfId="7" text="HEM/ONC">
      <formula>NOT(ISERROR(SEARCH(("HEM/ONC"),(N56))))</formula>
    </cfRule>
    <cfRule type="containsText" priority="23645" operator="containsText" dxfId="7" text="CARDIO">
      <formula>NOT(ISERROR(SEARCH(("CARDIO"),(N56))))</formula>
    </cfRule>
    <cfRule type="containsText" priority="23646" operator="containsText" dxfId="7" text="ID">
      <formula>NOT(ISERROR(SEARCH(("ID"),(N56))))</formula>
    </cfRule>
    <cfRule type="containsText" priority="23647" operator="containsText" dxfId="7" text="NEURO">
      <formula>NOT(ISERROR(SEARCH(("NEURO"),(N56))))</formula>
    </cfRule>
    <cfRule type="containsText" priority="23648" operator="containsText" dxfId="6" text="NEURO">
      <formula>NOT(ISERROR(SEARCH(("NEURO"),(N56))))</formula>
    </cfRule>
    <cfRule type="containsText" priority="23649" operator="containsText" dxfId="5" text="NEURO">
      <formula>NOT(ISERROR(SEARCH(("NEURO"),(N56))))</formula>
    </cfRule>
    <cfRule type="containsText" priority="23650" operator="containsText" dxfId="0" text="ICU N">
      <formula>NOT(ISERROR(SEARCH(("ICU N"),(N56))))</formula>
    </cfRule>
    <cfRule type="containsText" priority="23651" operator="containsText" dxfId="3" text="ICU">
      <formula>NOT(ISERROR(SEARCH(("ICU"),(N56))))</formula>
    </cfRule>
    <cfRule type="containsText" priority="23652" operator="containsText" dxfId="0" text="SWING">
      <formula>NOT(ISERROR(SEARCH(("SWING"),(N56))))</formula>
    </cfRule>
    <cfRule type="containsText" priority="23653" operator="containsText" dxfId="0" text="NF">
      <formula>NOT(ISERROR(SEARCH(("NF"),(N56))))</formula>
    </cfRule>
    <cfRule type="containsText" priority="23654" operator="containsText" dxfId="0" text="ICU N">
      <formula>NOT(ISERROR(SEARCH(("ICU N"),(N56))))</formula>
    </cfRule>
    <cfRule type="containsText" priority="23655" operator="containsText" dxfId="16" text="ED">
      <formula>NOT(ISERROR(SEARCH(("ED"),(N56))))</formula>
    </cfRule>
    <cfRule type="containsText" priority="23656" operator="containsText" dxfId="15" text="GERIATRIC">
      <formula>NOT(ISERROR(SEARCH(("GERIATRIC"),(N56))))</formula>
    </cfRule>
    <cfRule type="containsText" priority="23657" operator="containsText" dxfId="17" text="VACATION">
      <formula>NOT(ISERROR(SEARCH(("VACATION"),(N56))))</formula>
    </cfRule>
    <cfRule type="containsText" priority="23658" operator="containsText" dxfId="7" text="PATH">
      <formula>NOT(ISERROR(SEARCH(("PATH"),(N56))))</formula>
    </cfRule>
    <cfRule type="containsText" priority="23659" operator="containsText" dxfId="7" text="NEPHRO">
      <formula>NOT(ISERROR(SEARCH(("NEPHRO"),(N56))))</formula>
    </cfRule>
    <cfRule type="containsText" priority="23660" operator="containsText" dxfId="7" text="PULM">
      <formula>NOT(ISERROR(SEARCH(("PULM"),(N56))))</formula>
    </cfRule>
    <cfRule type="containsText" priority="23661" operator="containsText" dxfId="7" text="RADIOLOGY">
      <formula>NOT(ISERROR(SEARCH(("RADIOLOGY"),(N56))))</formula>
    </cfRule>
    <cfRule type="containsText" priority="23662" operator="containsText" dxfId="7" text="HEM/ONC">
      <formula>NOT(ISERROR(SEARCH(("HEM/ONC"),(N56))))</formula>
    </cfRule>
    <cfRule type="containsText" priority="23663" operator="containsText" dxfId="7" text="CARDIO">
      <formula>NOT(ISERROR(SEARCH(("CARDIO"),(N56))))</formula>
    </cfRule>
    <cfRule type="containsText" priority="23664" operator="containsText" dxfId="7" text="ID">
      <formula>NOT(ISERROR(SEARCH(("ID"),(N56))))</formula>
    </cfRule>
    <cfRule type="containsText" priority="23665" operator="containsText" dxfId="7" text="NEURO">
      <formula>NOT(ISERROR(SEARCH(("NEURO"),(N56))))</formula>
    </cfRule>
    <cfRule type="containsText" priority="23666" operator="containsText" dxfId="6" text="NEURO">
      <formula>NOT(ISERROR(SEARCH(("NEURO"),(N56))))</formula>
    </cfRule>
    <cfRule type="containsText" priority="23667" operator="containsText" dxfId="5" text="NEURO">
      <formula>NOT(ISERROR(SEARCH(("NEURO"),(N56))))</formula>
    </cfRule>
    <cfRule type="containsText" priority="23668" operator="containsText" dxfId="0" text="ICU N">
      <formula>NOT(ISERROR(SEARCH(("ICU N"),(N56))))</formula>
    </cfRule>
    <cfRule type="containsText" priority="23669" operator="containsText" dxfId="3" text="ICU">
      <formula>NOT(ISERROR(SEARCH(("ICU"),(N56))))</formula>
    </cfRule>
    <cfRule type="containsText" priority="23670" operator="containsText" dxfId="0" text="SWING">
      <formula>NOT(ISERROR(SEARCH(("SWING"),(N56))))</formula>
    </cfRule>
    <cfRule type="containsText" priority="23671" operator="containsText" dxfId="0" text="NF">
      <formula>NOT(ISERROR(SEARCH(("NF"),(N56))))</formula>
    </cfRule>
    <cfRule type="containsText" priority="23672" operator="containsText" dxfId="0" text="ICU N">
      <formula>NOT(ISERROR(SEARCH(("ICU N"),(N56))))</formula>
    </cfRule>
  </conditionalFormatting>
  <conditionalFormatting sqref="K49">
    <cfRule type="containsText" priority="23601" operator="containsText" dxfId="16" text="ED">
      <formula>NOT(ISERROR(SEARCH(("ED"),(K49))))</formula>
    </cfRule>
    <cfRule type="containsText" priority="23602" operator="containsText" dxfId="15" text="GERIATRIC">
      <formula>NOT(ISERROR(SEARCH(("GERIATRIC"),(K49))))</formula>
    </cfRule>
    <cfRule type="containsText" priority="23603" operator="containsText" dxfId="17" text="VACATION">
      <formula>NOT(ISERROR(SEARCH(("VACATION"),(K49))))</formula>
    </cfRule>
    <cfRule type="containsText" priority="23604" operator="containsText" dxfId="7" text="PATH">
      <formula>NOT(ISERROR(SEARCH(("PATH"),(K49))))</formula>
    </cfRule>
    <cfRule type="containsText" priority="23605" operator="containsText" dxfId="7" text="NEPHRO">
      <formula>NOT(ISERROR(SEARCH(("NEPHRO"),(K49))))</formula>
    </cfRule>
    <cfRule type="containsText" priority="23606" operator="containsText" dxfId="7" text="PULM">
      <formula>NOT(ISERROR(SEARCH(("PULM"),(K49))))</formula>
    </cfRule>
    <cfRule type="containsText" priority="23607" operator="containsText" dxfId="7" text="RADIOLOGY">
      <formula>NOT(ISERROR(SEARCH(("RADIOLOGY"),(K49))))</formula>
    </cfRule>
    <cfRule type="containsText" priority="23608" operator="containsText" dxfId="7" text="HEM/ONC">
      <formula>NOT(ISERROR(SEARCH(("HEM/ONC"),(K49))))</formula>
    </cfRule>
    <cfRule type="containsText" priority="23609" operator="containsText" dxfId="7" text="CARDIO">
      <formula>NOT(ISERROR(SEARCH(("CARDIO"),(K49))))</formula>
    </cfRule>
    <cfRule type="containsText" priority="23610" operator="containsText" dxfId="7" text="ID">
      <formula>NOT(ISERROR(SEARCH(("ID"),(K49))))</formula>
    </cfRule>
    <cfRule type="containsText" priority="23611" operator="containsText" dxfId="7" text="NEURO">
      <formula>NOT(ISERROR(SEARCH(("NEURO"),(K49))))</formula>
    </cfRule>
    <cfRule type="containsText" priority="23612" operator="containsText" dxfId="6" text="NEURO">
      <formula>NOT(ISERROR(SEARCH(("NEURO"),(K49))))</formula>
    </cfRule>
    <cfRule type="containsText" priority="23613" operator="containsText" dxfId="5" text="NEURO">
      <formula>NOT(ISERROR(SEARCH(("NEURO"),(K49))))</formula>
    </cfRule>
    <cfRule type="containsText" priority="23614" operator="containsText" dxfId="0" text="ICU N">
      <formula>NOT(ISERROR(SEARCH(("ICU N"),(K49))))</formula>
    </cfRule>
    <cfRule type="containsText" priority="23615" operator="containsText" dxfId="3" text="ICU">
      <formula>NOT(ISERROR(SEARCH(("ICU"),(K49))))</formula>
    </cfRule>
    <cfRule type="containsText" priority="23616" operator="containsText" dxfId="0" text="SWING">
      <formula>NOT(ISERROR(SEARCH(("SWING"),(K49))))</formula>
    </cfRule>
    <cfRule type="containsText" priority="23617" operator="containsText" dxfId="0" text="NF">
      <formula>NOT(ISERROR(SEARCH(("NF"),(K49))))</formula>
    </cfRule>
    <cfRule type="containsText" priority="23618" operator="containsText" dxfId="0" text="ICU N">
      <formula>NOT(ISERROR(SEARCH(("ICU N"),(K49))))</formula>
    </cfRule>
  </conditionalFormatting>
  <conditionalFormatting sqref="J49">
    <cfRule type="containsText" priority="23583" operator="containsText" dxfId="16" text="ED">
      <formula>NOT(ISERROR(SEARCH(("ED"),(J49))))</formula>
    </cfRule>
    <cfRule type="containsText" priority="23584" operator="containsText" dxfId="15" text="GERIATRIC">
      <formula>NOT(ISERROR(SEARCH(("GERIATRIC"),(J49))))</formula>
    </cfRule>
    <cfRule type="containsText" priority="23585" operator="containsText" dxfId="17" text="VACATION">
      <formula>NOT(ISERROR(SEARCH(("VACATION"),(J49))))</formula>
    </cfRule>
    <cfRule type="containsText" priority="23586" operator="containsText" dxfId="7" text="PATH">
      <formula>NOT(ISERROR(SEARCH(("PATH"),(J49))))</formula>
    </cfRule>
    <cfRule type="containsText" priority="23587" operator="containsText" dxfId="7" text="NEPHRO">
      <formula>NOT(ISERROR(SEARCH(("NEPHRO"),(J49))))</formula>
    </cfRule>
    <cfRule type="containsText" priority="23588" operator="containsText" dxfId="7" text="PULM">
      <formula>NOT(ISERROR(SEARCH(("PULM"),(J49))))</formula>
    </cfRule>
    <cfRule type="containsText" priority="23589" operator="containsText" dxfId="7" text="RADIOLOGY">
      <formula>NOT(ISERROR(SEARCH(("RADIOLOGY"),(J49))))</formula>
    </cfRule>
    <cfRule type="containsText" priority="23590" operator="containsText" dxfId="7" text="HEM/ONC">
      <formula>NOT(ISERROR(SEARCH(("HEM/ONC"),(J49))))</formula>
    </cfRule>
    <cfRule type="containsText" priority="23591" operator="containsText" dxfId="7" text="CARDIO">
      <formula>NOT(ISERROR(SEARCH(("CARDIO"),(J49))))</formula>
    </cfRule>
    <cfRule type="containsText" priority="23592" operator="containsText" dxfId="7" text="ID">
      <formula>NOT(ISERROR(SEARCH(("ID"),(J49))))</formula>
    </cfRule>
    <cfRule type="containsText" priority="23593" operator="containsText" dxfId="7" text="NEURO">
      <formula>NOT(ISERROR(SEARCH(("NEURO"),(J49))))</formula>
    </cfRule>
    <cfRule type="containsText" priority="23594" operator="containsText" dxfId="6" text="NEURO">
      <formula>NOT(ISERROR(SEARCH(("NEURO"),(J49))))</formula>
    </cfRule>
    <cfRule type="containsText" priority="23595" operator="containsText" dxfId="5" text="NEURO">
      <formula>NOT(ISERROR(SEARCH(("NEURO"),(J49))))</formula>
    </cfRule>
    <cfRule type="containsText" priority="23596" operator="containsText" dxfId="0" text="ICU N">
      <formula>NOT(ISERROR(SEARCH(("ICU N"),(J49))))</formula>
    </cfRule>
    <cfRule type="containsText" priority="23597" operator="containsText" dxfId="3" text="ICU">
      <formula>NOT(ISERROR(SEARCH(("ICU"),(J49))))</formula>
    </cfRule>
    <cfRule type="containsText" priority="23598" operator="containsText" dxfId="0" text="SWING">
      <formula>NOT(ISERROR(SEARCH(("SWING"),(J49))))</formula>
    </cfRule>
    <cfRule type="containsText" priority="23599" operator="containsText" dxfId="0" text="NF">
      <formula>NOT(ISERROR(SEARCH(("NF"),(J49))))</formula>
    </cfRule>
    <cfRule type="containsText" priority="23600" operator="containsText" dxfId="0" text="ICU N">
      <formula>NOT(ISERROR(SEARCH(("ICU N"),(J49))))</formula>
    </cfRule>
  </conditionalFormatting>
  <conditionalFormatting sqref="D59:E59">
    <cfRule type="containsText" priority="23507" operator="containsText" dxfId="16" text="ED">
      <formula>NOT(ISERROR(SEARCH(("ED"),(D59))))</formula>
    </cfRule>
    <cfRule type="containsText" priority="23508" operator="containsText" dxfId="15" text="GERIATRIC">
      <formula>NOT(ISERROR(SEARCH(("GERIATRIC"),(D59))))</formula>
    </cfRule>
    <cfRule type="containsText" priority="23509" operator="containsText" dxfId="17" text="VACATION">
      <formula>NOT(ISERROR(SEARCH(("VACATION"),(D59))))</formula>
    </cfRule>
    <cfRule type="containsText" priority="23510" operator="containsText" dxfId="7" text="PATH">
      <formula>NOT(ISERROR(SEARCH(("PATH"),(D59))))</formula>
    </cfRule>
    <cfRule type="containsText" priority="23511" operator="containsText" dxfId="7" text="NEPHRO">
      <formula>NOT(ISERROR(SEARCH(("NEPHRO"),(D59))))</formula>
    </cfRule>
    <cfRule type="containsText" priority="23512" operator="containsText" dxfId="7" text="PULM">
      <formula>NOT(ISERROR(SEARCH(("PULM"),(D59))))</formula>
    </cfRule>
    <cfRule type="containsText" priority="23513" operator="containsText" dxfId="7" text="RADIOLOGY">
      <formula>NOT(ISERROR(SEARCH(("RADIOLOGY"),(D59))))</formula>
    </cfRule>
    <cfRule type="containsText" priority="23514" operator="containsText" dxfId="7" text="HEM/ONC">
      <formula>NOT(ISERROR(SEARCH(("HEM/ONC"),(D59))))</formula>
    </cfRule>
    <cfRule type="containsText" priority="23515" operator="containsText" dxfId="7" text="CARDIO">
      <formula>NOT(ISERROR(SEARCH(("CARDIO"),(D59))))</formula>
    </cfRule>
    <cfRule type="containsText" priority="23516" operator="containsText" dxfId="7" text="ID">
      <formula>NOT(ISERROR(SEARCH(("ID"),(D59))))</formula>
    </cfRule>
    <cfRule type="containsText" priority="23517" operator="containsText" dxfId="7" text="NEURO">
      <formula>NOT(ISERROR(SEARCH(("NEURO"),(D59))))</formula>
    </cfRule>
    <cfRule type="containsText" priority="23518" operator="containsText" dxfId="6" text="NEURO">
      <formula>NOT(ISERROR(SEARCH(("NEURO"),(D59))))</formula>
    </cfRule>
    <cfRule type="containsText" priority="23519" operator="containsText" dxfId="5" text="NEURO">
      <formula>NOT(ISERROR(SEARCH(("NEURO"),(D59))))</formula>
    </cfRule>
    <cfRule type="containsText" priority="23520" operator="containsText" dxfId="0" text="ICU N">
      <formula>NOT(ISERROR(SEARCH(("ICU N"),(D59))))</formula>
    </cfRule>
    <cfRule type="containsText" priority="23521" operator="containsText" dxfId="3" text="ICU">
      <formula>NOT(ISERROR(SEARCH(("ICU"),(D59))))</formula>
    </cfRule>
    <cfRule type="containsText" priority="23522" operator="containsText" dxfId="0" text="SWING">
      <formula>NOT(ISERROR(SEARCH(("SWING"),(D59))))</formula>
    </cfRule>
    <cfRule type="containsText" priority="23523" operator="containsText" dxfId="0" text="NF">
      <formula>NOT(ISERROR(SEARCH(("NF"),(D59))))</formula>
    </cfRule>
    <cfRule type="containsText" priority="23524" operator="containsText" dxfId="0" text="ICU N">
      <formula>NOT(ISERROR(SEARCH(("ICU N"),(D59))))</formula>
    </cfRule>
  </conditionalFormatting>
  <conditionalFormatting sqref="I8">
    <cfRule type="containsText" priority="23506" operator="containsText" dxfId="17" text="VACATION">
      <formula>NOT(ISERROR(SEARCH(("VACATION"),(I8))))</formula>
    </cfRule>
  </conditionalFormatting>
  <conditionalFormatting sqref="R28">
    <cfRule type="containsText" priority="23466" operator="containsText" dxfId="17" text="VACATION">
      <formula>NOT(ISERROR(SEARCH(("VACATION"),(R28))))</formula>
    </cfRule>
    <cfRule type="containsText" priority="23467" operator="containsText" dxfId="0" text="ICU N">
      <formula>NOT(ISERROR(SEARCH(("ICU N"),(R28))))</formula>
    </cfRule>
  </conditionalFormatting>
  <conditionalFormatting sqref="AB19">
    <cfRule type="containsText" priority="23335" operator="containsText" dxfId="17" text="VACATION">
      <formula>NOT(ISERROR(SEARCH(("VACATION"),(AB19))))</formula>
    </cfRule>
    <cfRule type="containsText" priority="23336" operator="containsText" dxfId="0" text="ICU N">
      <formula>NOT(ISERROR(SEARCH(("ICU N"),(AB19))))</formula>
    </cfRule>
    <cfRule type="containsText" priority="4951" operator="containsText" dxfId="17" text="VACATION">
      <formula>NOT(ISERROR(SEARCH(("VACATION"),(AB19))))</formula>
    </cfRule>
    <cfRule type="containsText" priority="4952" operator="containsText" dxfId="0" text="ICU N">
      <formula>NOT(ISERROR(SEARCH(("ICU N"),(AB19))))</formula>
    </cfRule>
  </conditionalFormatting>
  <conditionalFormatting sqref="X46:AA46">
    <cfRule type="containsText" priority="23186" operator="containsText" dxfId="17" text="VACATION">
      <formula>NOT(ISERROR(SEARCH(("VACATION"),(X46))))</formula>
    </cfRule>
    <cfRule type="containsText" priority="23148" operator="containsText" dxfId="17" text="VACATION">
      <formula>NOT(ISERROR(SEARCH(("VACATION"),(X46))))</formula>
    </cfRule>
    <cfRule type="containsText" priority="23149" operator="containsText" dxfId="17" text="VACATION">
      <formula>NOT(ISERROR(SEARCH(("VACATION"),(X46))))</formula>
    </cfRule>
    <cfRule type="containsText" priority="23150" operator="containsText" dxfId="0" text="ICU N">
      <formula>NOT(ISERROR(SEARCH(("ICU N"),(X46))))</formula>
    </cfRule>
    <cfRule type="containsText" priority="23151" operator="containsText" dxfId="7" text="PATH">
      <formula>NOT(ISERROR(SEARCH(("PATH"),(X46))))</formula>
    </cfRule>
    <cfRule type="containsText" priority="23152" operator="containsText" dxfId="7" text="NEPHRO">
      <formula>NOT(ISERROR(SEARCH(("NEPHRO"),(X46))))</formula>
    </cfRule>
    <cfRule type="containsText" priority="23153" operator="containsText" dxfId="7" text="PULM">
      <formula>NOT(ISERROR(SEARCH(("PULM"),(X46))))</formula>
    </cfRule>
    <cfRule type="containsText" priority="23154" operator="containsText" dxfId="7" text="RADIOLOGY">
      <formula>NOT(ISERROR(SEARCH(("RADIOLOGY"),(X46))))</formula>
    </cfRule>
    <cfRule type="containsText" priority="23155" operator="containsText" dxfId="7" text="HEM/ONC">
      <formula>NOT(ISERROR(SEARCH(("HEM/ONC"),(X46))))</formula>
    </cfRule>
    <cfRule type="containsText" priority="23156" operator="containsText" dxfId="7" text="CARDIO">
      <formula>NOT(ISERROR(SEARCH(("CARDIO"),(X46))))</formula>
    </cfRule>
    <cfRule type="containsText" priority="23157" operator="containsText" dxfId="7" text="ID">
      <formula>NOT(ISERROR(SEARCH(("ID"),(X46))))</formula>
    </cfRule>
    <cfRule type="containsText" priority="23158" operator="containsText" dxfId="7" text="NEURO">
      <formula>NOT(ISERROR(SEARCH(("NEURO"),(X46))))</formula>
    </cfRule>
    <cfRule type="containsText" priority="23159" operator="containsText" dxfId="6" text="NEURO">
      <formula>NOT(ISERROR(SEARCH(("NEURO"),(X46))))</formula>
    </cfRule>
    <cfRule type="containsText" priority="23160" operator="containsText" dxfId="5" text="NEURO">
      <formula>NOT(ISERROR(SEARCH(("NEURO"),(X46))))</formula>
    </cfRule>
    <cfRule type="containsText" priority="23161" operator="containsText" dxfId="0" text="ICU N">
      <formula>NOT(ISERROR(SEARCH(("ICU N"),(X46))))</formula>
    </cfRule>
    <cfRule type="containsText" priority="23162" operator="containsText" dxfId="3" text="ICU">
      <formula>NOT(ISERROR(SEARCH(("ICU"),(X46))))</formula>
    </cfRule>
    <cfRule type="containsText" priority="23163" operator="containsText" dxfId="0" text="SWING">
      <formula>NOT(ISERROR(SEARCH(("SWING"),(X46))))</formula>
    </cfRule>
    <cfRule type="containsText" priority="23164" operator="containsText" dxfId="0" text="NF">
      <formula>NOT(ISERROR(SEARCH(("NF"),(X46))))</formula>
    </cfRule>
    <cfRule type="containsText" priority="23165" operator="containsText" dxfId="0" text="ICU N">
      <formula>NOT(ISERROR(SEARCH(("ICU N"),(X46))))</formula>
    </cfRule>
  </conditionalFormatting>
  <conditionalFormatting sqref="U8">
    <cfRule type="containsText" priority="23109" operator="containsText" dxfId="17" text="VACATION">
      <formula>NOT(ISERROR(SEARCH(("VACATION"),(U8))))</formula>
    </cfRule>
    <cfRule type="containsText" priority="23110" operator="containsText" dxfId="0" text="ICU N">
      <formula>NOT(ISERROR(SEARCH(("ICU N"),(U8))))</formula>
    </cfRule>
    <cfRule type="containsText" priority="23102" operator="containsText" dxfId="17" text="VACATION">
      <formula>NOT(ISERROR(SEARCH(("VACATION"),(U8))))</formula>
    </cfRule>
    <cfRule type="containsText" priority="23103" operator="containsText" dxfId="0" text="ICU N">
      <formula>NOT(ISERROR(SEARCH(("ICU N"),(U8))))</formula>
    </cfRule>
  </conditionalFormatting>
  <conditionalFormatting sqref="W8">
    <cfRule type="containsText" priority="23104" operator="containsText" dxfId="17" text="VACATION">
      <formula>NOT(ISERROR(SEARCH(("VACATION"),(W8))))</formula>
    </cfRule>
    <cfRule type="containsText" priority="23105" operator="containsText" dxfId="0" text="ICU N">
      <formula>NOT(ISERROR(SEARCH(("ICU N"),(W8))))</formula>
    </cfRule>
  </conditionalFormatting>
  <conditionalFormatting sqref="U36">
    <cfRule type="containsText" priority="23101" operator="containsText" dxfId="17" text="VACATION">
      <formula>NOT(ISERROR(SEARCH(("VACATION"),(U36))))</formula>
    </cfRule>
    <cfRule type="containsText" priority="22646" operator="containsText" dxfId="17" text="VACATION">
      <formula>NOT(ISERROR(SEARCH(("VACATION"),(U36))))</formula>
    </cfRule>
  </conditionalFormatting>
  <conditionalFormatting sqref="H27">
    <cfRule type="containsText" priority="23099" operator="containsText" dxfId="17" text="VACATION">
      <formula>NOT(ISERROR(SEARCH(("VACATION"),(H27))))</formula>
    </cfRule>
    <cfRule type="containsText" priority="2270" operator="containsText" dxfId="16" text="ED">
      <formula>NOT(ISERROR(SEARCH(("ED"),(H27))))</formula>
    </cfRule>
    <cfRule type="containsText" priority="2271" operator="containsText" dxfId="15" text="GERIATRIC">
      <formula>NOT(ISERROR(SEARCH(("GERIATRIC"),(H27))))</formula>
    </cfRule>
    <cfRule type="containsText" priority="2272" operator="containsText" dxfId="17" text="VACATION">
      <formula>NOT(ISERROR(SEARCH(("VACATION"),(H27))))</formula>
    </cfRule>
    <cfRule type="containsText" priority="2273" operator="containsText" dxfId="7" text="PATH">
      <formula>NOT(ISERROR(SEARCH(("PATH"),(H27))))</formula>
    </cfRule>
    <cfRule type="containsText" priority="2274" operator="containsText" dxfId="7" text="NEPHRO">
      <formula>NOT(ISERROR(SEARCH(("NEPHRO"),(H27))))</formula>
    </cfRule>
    <cfRule type="containsText" priority="2275" operator="containsText" dxfId="7" text="PULM">
      <formula>NOT(ISERROR(SEARCH(("PULM"),(H27))))</formula>
    </cfRule>
    <cfRule type="containsText" priority="2276" operator="containsText" dxfId="7" text="RADIOLOGY">
      <formula>NOT(ISERROR(SEARCH(("RADIOLOGY"),(H27))))</formula>
    </cfRule>
    <cfRule type="containsText" priority="2277" operator="containsText" dxfId="7" text="HEM/ONC">
      <formula>NOT(ISERROR(SEARCH(("HEM/ONC"),(H27))))</formula>
    </cfRule>
    <cfRule type="containsText" priority="2278" operator="containsText" dxfId="7" text="CARDIO">
      <formula>NOT(ISERROR(SEARCH(("CARDIO"),(H27))))</formula>
    </cfRule>
    <cfRule type="containsText" priority="2279" operator="containsText" dxfId="7" text="ID">
      <formula>NOT(ISERROR(SEARCH(("ID"),(H27))))</formula>
    </cfRule>
    <cfRule type="containsText" priority="2280" operator="containsText" dxfId="7" text="NEURO">
      <formula>NOT(ISERROR(SEARCH(("NEURO"),(H27))))</formula>
    </cfRule>
    <cfRule type="containsText" priority="2281" operator="containsText" dxfId="6" text="NEURO">
      <formula>NOT(ISERROR(SEARCH(("NEURO"),(H27))))</formula>
    </cfRule>
    <cfRule type="containsText" priority="2282" operator="containsText" dxfId="5" text="NEURO">
      <formula>NOT(ISERROR(SEARCH(("NEURO"),(H27))))</formula>
    </cfRule>
    <cfRule type="containsText" priority="2283" operator="containsText" dxfId="0" text="ICU N">
      <formula>NOT(ISERROR(SEARCH(("ICU N"),(H27))))</formula>
    </cfRule>
    <cfRule type="containsText" priority="2284" operator="containsText" dxfId="3" text="ICU">
      <formula>NOT(ISERROR(SEARCH(("ICU"),(H27))))</formula>
    </cfRule>
    <cfRule type="containsText" priority="2285" operator="containsText" dxfId="0" text="SWING">
      <formula>NOT(ISERROR(SEARCH(("SWING"),(H27))))</formula>
    </cfRule>
    <cfRule type="containsText" priority="2286" operator="containsText" dxfId="0" text="NF">
      <formula>NOT(ISERROR(SEARCH(("NF"),(H27))))</formula>
    </cfRule>
    <cfRule type="containsText" priority="2287" operator="containsText" dxfId="0" text="ICU N">
      <formula>NOT(ISERROR(SEARCH(("ICU N"),(H27))))</formula>
    </cfRule>
    <cfRule type="containsText" priority="2252" operator="containsText" dxfId="16" text="ED">
      <formula>NOT(ISERROR(SEARCH(("ED"),(H27))))</formula>
    </cfRule>
    <cfRule type="containsText" priority="2253" operator="containsText" dxfId="15" text="GERIATRIC">
      <formula>NOT(ISERROR(SEARCH(("GERIATRIC"),(H27))))</formula>
    </cfRule>
    <cfRule type="containsText" priority="2254" operator="containsText" dxfId="17" text="VACATION">
      <formula>NOT(ISERROR(SEARCH(("VACATION"),(H27))))</formula>
    </cfRule>
    <cfRule type="containsText" priority="2255" operator="containsText" dxfId="7" text="PATH">
      <formula>NOT(ISERROR(SEARCH(("PATH"),(H27))))</formula>
    </cfRule>
    <cfRule type="containsText" priority="2256" operator="containsText" dxfId="7" text="NEPHRO">
      <formula>NOT(ISERROR(SEARCH(("NEPHRO"),(H27))))</formula>
    </cfRule>
    <cfRule type="containsText" priority="2257" operator="containsText" dxfId="7" text="PULM">
      <formula>NOT(ISERROR(SEARCH(("PULM"),(H27))))</formula>
    </cfRule>
    <cfRule type="containsText" priority="2258" operator="containsText" dxfId="7" text="RADIOLOGY">
      <formula>NOT(ISERROR(SEARCH(("RADIOLOGY"),(H27))))</formula>
    </cfRule>
    <cfRule type="containsText" priority="2259" operator="containsText" dxfId="7" text="HEM/ONC">
      <formula>NOT(ISERROR(SEARCH(("HEM/ONC"),(H27))))</formula>
    </cfRule>
    <cfRule type="containsText" priority="2260" operator="containsText" dxfId="7" text="CARDIO">
      <formula>NOT(ISERROR(SEARCH(("CARDIO"),(H27))))</formula>
    </cfRule>
    <cfRule type="containsText" priority="2261" operator="containsText" dxfId="7" text="ID">
      <formula>NOT(ISERROR(SEARCH(("ID"),(H27))))</formula>
    </cfRule>
    <cfRule type="containsText" priority="2262" operator="containsText" dxfId="7" text="NEURO">
      <formula>NOT(ISERROR(SEARCH(("NEURO"),(H27))))</formula>
    </cfRule>
    <cfRule type="containsText" priority="2263" operator="containsText" dxfId="6" text="NEURO">
      <formula>NOT(ISERROR(SEARCH(("NEURO"),(H27))))</formula>
    </cfRule>
    <cfRule type="containsText" priority="2264" operator="containsText" dxfId="5" text="NEURO">
      <formula>NOT(ISERROR(SEARCH(("NEURO"),(H27))))</formula>
    </cfRule>
    <cfRule type="containsText" priority="2265" operator="containsText" dxfId="0" text="ICU N">
      <formula>NOT(ISERROR(SEARCH(("ICU N"),(H27))))</formula>
    </cfRule>
    <cfRule type="containsText" priority="2266" operator="containsText" dxfId="3" text="ICU">
      <formula>NOT(ISERROR(SEARCH(("ICU"),(H27))))</formula>
    </cfRule>
    <cfRule type="containsText" priority="2267" operator="containsText" dxfId="0" text="SWING">
      <formula>NOT(ISERROR(SEARCH(("SWING"),(H27))))</formula>
    </cfRule>
    <cfRule type="containsText" priority="2268" operator="containsText" dxfId="0" text="NF">
      <formula>NOT(ISERROR(SEARCH(("NF"),(H27))))</formula>
    </cfRule>
    <cfRule type="containsText" priority="2269" operator="containsText" dxfId="0" text="ICU N">
      <formula>NOT(ISERROR(SEARCH(("ICU N"),(H27))))</formula>
    </cfRule>
  </conditionalFormatting>
  <conditionalFormatting sqref="H28">
    <cfRule type="containsText" priority="23079" operator="containsText" dxfId="16" text="ED">
      <formula>NOT(ISERROR(SEARCH(("ED"),(H28))))</formula>
    </cfRule>
    <cfRule type="containsText" priority="23080" operator="containsText" dxfId="15" text="GERIATRIC">
      <formula>NOT(ISERROR(SEARCH(("GERIATRIC"),(H28))))</formula>
    </cfRule>
    <cfRule type="containsText" priority="23081" operator="containsText" dxfId="17" text="VACATION">
      <formula>NOT(ISERROR(SEARCH(("VACATION"),(H28))))</formula>
    </cfRule>
    <cfRule type="containsText" priority="23082" operator="containsText" dxfId="7" text="PATH">
      <formula>NOT(ISERROR(SEARCH(("PATH"),(H28))))</formula>
    </cfRule>
    <cfRule type="containsText" priority="23083" operator="containsText" dxfId="7" text="NEPHRO">
      <formula>NOT(ISERROR(SEARCH(("NEPHRO"),(H28))))</formula>
    </cfRule>
    <cfRule type="containsText" priority="23084" operator="containsText" dxfId="7" text="PULM">
      <formula>NOT(ISERROR(SEARCH(("PULM"),(H28))))</formula>
    </cfRule>
    <cfRule type="containsText" priority="23085" operator="containsText" dxfId="7" text="RADIOLOGY">
      <formula>NOT(ISERROR(SEARCH(("RADIOLOGY"),(H28))))</formula>
    </cfRule>
    <cfRule type="containsText" priority="23086" operator="containsText" dxfId="7" text="HEM/ONC">
      <formula>NOT(ISERROR(SEARCH(("HEM/ONC"),(H28))))</formula>
    </cfRule>
    <cfRule type="containsText" priority="23087" operator="containsText" dxfId="7" text="CARDIO">
      <formula>NOT(ISERROR(SEARCH(("CARDIO"),(H28))))</formula>
    </cfRule>
    <cfRule type="containsText" priority="23088" operator="containsText" dxfId="7" text="ID">
      <formula>NOT(ISERROR(SEARCH(("ID"),(H28))))</formula>
    </cfRule>
    <cfRule type="containsText" priority="23089" operator="containsText" dxfId="7" text="NEURO">
      <formula>NOT(ISERROR(SEARCH(("NEURO"),(H28))))</formula>
    </cfRule>
    <cfRule type="containsText" priority="23090" operator="containsText" dxfId="6" text="NEURO">
      <formula>NOT(ISERROR(SEARCH(("NEURO"),(H28))))</formula>
    </cfRule>
    <cfRule type="containsText" priority="23091" operator="containsText" dxfId="5" text="NEURO">
      <formula>NOT(ISERROR(SEARCH(("NEURO"),(H28))))</formula>
    </cfRule>
    <cfRule type="containsText" priority="23092" operator="containsText" dxfId="0" text="ICU N">
      <formula>NOT(ISERROR(SEARCH(("ICU N"),(H28))))</formula>
    </cfRule>
    <cfRule type="containsText" priority="23093" operator="containsText" dxfId="3" text="ICU">
      <formula>NOT(ISERROR(SEARCH(("ICU"),(H28))))</formula>
    </cfRule>
    <cfRule type="containsText" priority="23094" operator="containsText" dxfId="0" text="SWING">
      <formula>NOT(ISERROR(SEARCH(("SWING"),(H28))))</formula>
    </cfRule>
    <cfRule type="containsText" priority="23095" operator="containsText" dxfId="0" text="NF">
      <formula>NOT(ISERROR(SEARCH(("NF"),(H28))))</formula>
    </cfRule>
    <cfRule type="containsText" priority="23096" operator="containsText" dxfId="0" text="ICU N">
      <formula>NOT(ISERROR(SEARCH(("ICU N"),(H28))))</formula>
    </cfRule>
  </conditionalFormatting>
  <conditionalFormatting sqref="J25">
    <cfRule type="containsText" priority="22913" operator="containsText" dxfId="17" text="VACATION">
      <formula>NOT(ISERROR(SEARCH(("VACATION"),(J25))))</formula>
    </cfRule>
    <cfRule type="containsText" priority="22911" operator="containsText" dxfId="17" text="VACATION">
      <formula>NOT(ISERROR(SEARCH(("VACATION"),(J25))))</formula>
    </cfRule>
    <cfRule type="containsText" priority="22912" operator="containsText" dxfId="0" text="ICU N">
      <formula>NOT(ISERROR(SEARCH(("ICU N"),(J25))))</formula>
    </cfRule>
  </conditionalFormatting>
  <conditionalFormatting sqref="Q40">
    <cfRule type="containsText" priority="22871" operator="containsText" dxfId="16" text="ED">
      <formula>NOT(ISERROR(SEARCH(("ED"),(Q40))))</formula>
    </cfRule>
    <cfRule type="containsText" priority="22872" operator="containsText" dxfId="15" text="GERIATRIC">
      <formula>NOT(ISERROR(SEARCH(("GERIATRIC"),(Q40))))</formula>
    </cfRule>
    <cfRule type="containsText" priority="22873" operator="containsText" dxfId="17" text="VACATION">
      <formula>NOT(ISERROR(SEARCH(("VACATION"),(Q40))))</formula>
    </cfRule>
    <cfRule type="containsText" priority="22874" operator="containsText" dxfId="7" text="PATH">
      <formula>NOT(ISERROR(SEARCH(("PATH"),(Q40))))</formula>
    </cfRule>
    <cfRule type="containsText" priority="22875" operator="containsText" dxfId="7" text="NEPHRO">
      <formula>NOT(ISERROR(SEARCH(("NEPHRO"),(Q40))))</formula>
    </cfRule>
    <cfRule type="containsText" priority="22876" operator="containsText" dxfId="7" text="PULM">
      <formula>NOT(ISERROR(SEARCH(("PULM"),(Q40))))</formula>
    </cfRule>
    <cfRule type="containsText" priority="22877" operator="containsText" dxfId="7" text="RADIOLOGY">
      <formula>NOT(ISERROR(SEARCH(("RADIOLOGY"),(Q40))))</formula>
    </cfRule>
    <cfRule type="containsText" priority="22878" operator="containsText" dxfId="7" text="HEM/ONC">
      <formula>NOT(ISERROR(SEARCH(("HEM/ONC"),(Q40))))</formula>
    </cfRule>
    <cfRule type="containsText" priority="22879" operator="containsText" dxfId="7" text="CARDIO">
      <formula>NOT(ISERROR(SEARCH(("CARDIO"),(Q40))))</formula>
    </cfRule>
    <cfRule type="containsText" priority="22880" operator="containsText" dxfId="7" text="ID">
      <formula>NOT(ISERROR(SEARCH(("ID"),(Q40))))</formula>
    </cfRule>
    <cfRule type="containsText" priority="22881" operator="containsText" dxfId="7" text="NEURO">
      <formula>NOT(ISERROR(SEARCH(("NEURO"),(Q40))))</formula>
    </cfRule>
    <cfRule type="containsText" priority="22882" operator="containsText" dxfId="6" text="NEURO">
      <formula>NOT(ISERROR(SEARCH(("NEURO"),(Q40))))</formula>
    </cfRule>
    <cfRule type="containsText" priority="22883" operator="containsText" dxfId="5" text="NEURO">
      <formula>NOT(ISERROR(SEARCH(("NEURO"),(Q40))))</formula>
    </cfRule>
    <cfRule type="containsText" priority="22884" operator="containsText" dxfId="0" text="ICU N">
      <formula>NOT(ISERROR(SEARCH(("ICU N"),(Q40))))</formula>
    </cfRule>
    <cfRule type="containsText" priority="22885" operator="containsText" dxfId="3" text="ICU">
      <formula>NOT(ISERROR(SEARCH(("ICU"),(Q40))))</formula>
    </cfRule>
    <cfRule type="containsText" priority="22886" operator="containsText" dxfId="0" text="SWING">
      <formula>NOT(ISERROR(SEARCH(("SWING"),(Q40))))</formula>
    </cfRule>
    <cfRule type="containsText" priority="22887" operator="containsText" dxfId="0" text="NF">
      <formula>NOT(ISERROR(SEARCH(("NF"),(Q40))))</formula>
    </cfRule>
    <cfRule type="containsText" priority="22888" operator="containsText" dxfId="0" text="ICU N">
      <formula>NOT(ISERROR(SEARCH(("ICU N"),(Q40))))</formula>
    </cfRule>
  </conditionalFormatting>
  <conditionalFormatting sqref="U31">
    <cfRule type="containsText" priority="22836" operator="containsText" dxfId="17" text="VACATION">
      <formula>NOT(ISERROR(SEARCH(("VACATION"),(U31))))</formula>
    </cfRule>
    <cfRule type="containsText" priority="22837" operator="containsText" dxfId="16" text="ED">
      <formula>NOT(ISERROR(SEARCH(("ED"),(U31))))</formula>
    </cfRule>
    <cfRule type="containsText" priority="22838" operator="containsText" dxfId="15" text="GERIATRIC">
      <formula>NOT(ISERROR(SEARCH(("GERIATRIC"),(U31))))</formula>
    </cfRule>
    <cfRule type="containsText" priority="22839" operator="containsText" dxfId="7" text="PATH">
      <formula>NOT(ISERROR(SEARCH(("PATH"),(U31))))</formula>
    </cfRule>
    <cfRule type="containsText" priority="22840" operator="containsText" dxfId="7" text="NEPHRO">
      <formula>NOT(ISERROR(SEARCH(("NEPHRO"),(U31))))</formula>
    </cfRule>
    <cfRule type="containsText" priority="22841" operator="containsText" dxfId="7" text="PULM">
      <formula>NOT(ISERROR(SEARCH(("PULM"),(U31))))</formula>
    </cfRule>
    <cfRule type="containsText" priority="22842" operator="containsText" dxfId="7" text="RADIOLOGY">
      <formula>NOT(ISERROR(SEARCH(("RADIOLOGY"),(U31))))</formula>
    </cfRule>
    <cfRule type="containsText" priority="22843" operator="containsText" dxfId="7" text="HEM/ONC">
      <formula>NOT(ISERROR(SEARCH(("HEM/ONC"),(U31))))</formula>
    </cfRule>
    <cfRule type="containsText" priority="22844" operator="containsText" dxfId="7" text="CARDIO">
      <formula>NOT(ISERROR(SEARCH(("CARDIO"),(U31))))</formula>
    </cfRule>
    <cfRule type="containsText" priority="22845" operator="containsText" dxfId="7" text="ID">
      <formula>NOT(ISERROR(SEARCH(("ID"),(U31))))</formula>
    </cfRule>
    <cfRule type="containsText" priority="22846" operator="containsText" dxfId="7" text="NEURO">
      <formula>NOT(ISERROR(SEARCH(("NEURO"),(U31))))</formula>
    </cfRule>
    <cfRule type="containsText" priority="22847" operator="containsText" dxfId="6" text="NEURO">
      <formula>NOT(ISERROR(SEARCH(("NEURO"),(U31))))</formula>
    </cfRule>
    <cfRule type="containsText" priority="22848" operator="containsText" dxfId="5" text="NEURO">
      <formula>NOT(ISERROR(SEARCH(("NEURO"),(U31))))</formula>
    </cfRule>
    <cfRule type="containsText" priority="22849" operator="containsText" dxfId="0" text="ICU N">
      <formula>NOT(ISERROR(SEARCH(("ICU N"),(U31))))</formula>
    </cfRule>
    <cfRule type="containsText" priority="22850" operator="containsText" dxfId="3" text="ICU">
      <formula>NOT(ISERROR(SEARCH(("ICU"),(U31))))</formula>
    </cfRule>
    <cfRule type="containsText" priority="22851" operator="containsText" dxfId="0" text="SWING">
      <formula>NOT(ISERROR(SEARCH(("SWING"),(U31))))</formula>
    </cfRule>
    <cfRule type="containsText" priority="22852" operator="containsText" dxfId="0" text="NF">
      <formula>NOT(ISERROR(SEARCH(("NF"),(U31))))</formula>
    </cfRule>
    <cfRule type="containsText" priority="22809" operator="containsText" dxfId="17" text="VACATION">
      <formula>NOT(ISERROR(SEARCH(("VACATION"),(U31))))</formula>
    </cfRule>
    <cfRule type="containsText" priority="22810" operator="containsText" dxfId="16" text="ED">
      <formula>NOT(ISERROR(SEARCH(("ED"),(U31))))</formula>
    </cfRule>
    <cfRule type="containsText" priority="22811" operator="containsText" dxfId="15" text="GERIATRIC">
      <formula>NOT(ISERROR(SEARCH(("GERIATRIC"),(U31))))</formula>
    </cfRule>
    <cfRule type="containsText" priority="22812" operator="containsText" dxfId="7" text="PATH">
      <formula>NOT(ISERROR(SEARCH(("PATH"),(U31))))</formula>
    </cfRule>
    <cfRule type="containsText" priority="22813" operator="containsText" dxfId="7" text="NEPHRO">
      <formula>NOT(ISERROR(SEARCH(("NEPHRO"),(U31))))</formula>
    </cfRule>
    <cfRule type="containsText" priority="22814" operator="containsText" dxfId="7" text="PULM">
      <formula>NOT(ISERROR(SEARCH(("PULM"),(U31))))</formula>
    </cfRule>
    <cfRule type="containsText" priority="22815" operator="containsText" dxfId="7" text="RADIOLOGY">
      <formula>NOT(ISERROR(SEARCH(("RADIOLOGY"),(U31))))</formula>
    </cfRule>
    <cfRule type="containsText" priority="22816" operator="containsText" dxfId="7" text="HEM/ONC">
      <formula>NOT(ISERROR(SEARCH(("HEM/ONC"),(U31))))</formula>
    </cfRule>
    <cfRule type="containsText" priority="22817" operator="containsText" dxfId="7" text="CARDIO">
      <formula>NOT(ISERROR(SEARCH(("CARDIO"),(U31))))</formula>
    </cfRule>
    <cfRule type="containsText" priority="22818" operator="containsText" dxfId="7" text="ID">
      <formula>NOT(ISERROR(SEARCH(("ID"),(U31))))</formula>
    </cfRule>
    <cfRule type="containsText" priority="22819" operator="containsText" dxfId="7" text="NEURO">
      <formula>NOT(ISERROR(SEARCH(("NEURO"),(U31))))</formula>
    </cfRule>
    <cfRule type="containsText" priority="22820" operator="containsText" dxfId="6" text="NEURO">
      <formula>NOT(ISERROR(SEARCH(("NEURO"),(U31))))</formula>
    </cfRule>
    <cfRule type="containsText" priority="22821" operator="containsText" dxfId="5" text="NEURO">
      <formula>NOT(ISERROR(SEARCH(("NEURO"),(U31))))</formula>
    </cfRule>
    <cfRule type="containsText" priority="22822" operator="containsText" dxfId="0" text="ICU N">
      <formula>NOT(ISERROR(SEARCH(("ICU N"),(U31))))</formula>
    </cfRule>
    <cfRule type="containsText" priority="22823" operator="containsText" dxfId="3" text="ICU">
      <formula>NOT(ISERROR(SEARCH(("ICU"),(U31))))</formula>
    </cfRule>
    <cfRule type="containsText" priority="22824" operator="containsText" dxfId="0" text="SWING">
      <formula>NOT(ISERROR(SEARCH(("SWING"),(U31))))</formula>
    </cfRule>
    <cfRule type="containsText" priority="22825" operator="containsText" dxfId="0" text="NF">
      <formula>NOT(ISERROR(SEARCH(("NF"),(U31))))</formula>
    </cfRule>
  </conditionalFormatting>
  <conditionalFormatting sqref="S37">
    <cfRule type="containsText" priority="22807" operator="containsText" dxfId="17" text="VACATION">
      <formula>NOT(ISERROR(SEARCH(("VACATION"),(S37))))</formula>
    </cfRule>
    <cfRule type="containsText" priority="22808" operator="containsText" dxfId="0" text="ICU N">
      <formula>NOT(ISERROR(SEARCH(("ICU N"),(S37))))</formula>
    </cfRule>
  </conditionalFormatting>
  <conditionalFormatting sqref="U22">
    <cfRule type="containsText" priority="22801" operator="containsText" dxfId="17" text="VACATION">
      <formula>NOT(ISERROR(SEARCH(("VACATION"),(U22))))</formula>
    </cfRule>
    <cfRule type="containsText" priority="22802" operator="containsText" dxfId="0" text="ICU N">
      <formula>NOT(ISERROR(SEARCH(("ICU N"),(U22))))</formula>
    </cfRule>
    <cfRule type="containsText" priority="22800" operator="containsText" dxfId="17" text="VACATION">
      <formula>NOT(ISERROR(SEARCH(("VACATION"),(U22))))</formula>
    </cfRule>
    <cfRule type="containsText" priority="22783" operator="containsText" dxfId="17" text="VACATION">
      <formula>NOT(ISERROR(SEARCH(("VACATION"),(U22))))</formula>
    </cfRule>
    <cfRule type="containsText" priority="22784" operator="containsText" dxfId="16" text="ED">
      <formula>NOT(ISERROR(SEARCH(("ED"),(U22))))</formula>
    </cfRule>
    <cfRule type="containsText" priority="22785" operator="containsText" dxfId="15" text="GERIATRIC">
      <formula>NOT(ISERROR(SEARCH(("GERIATRIC"),(U22))))</formula>
    </cfRule>
    <cfRule type="containsText" priority="22786" operator="containsText" dxfId="7" text="PATH">
      <formula>NOT(ISERROR(SEARCH(("PATH"),(U22))))</formula>
    </cfRule>
    <cfRule type="containsText" priority="22787" operator="containsText" dxfId="7" text="NEPHRO">
      <formula>NOT(ISERROR(SEARCH(("NEPHRO"),(U22))))</formula>
    </cfRule>
    <cfRule type="containsText" priority="22788" operator="containsText" dxfId="7" text="PULM">
      <formula>NOT(ISERROR(SEARCH(("PULM"),(U22))))</formula>
    </cfRule>
    <cfRule type="containsText" priority="22789" operator="containsText" dxfId="7" text="RADIOLOGY">
      <formula>NOT(ISERROR(SEARCH(("RADIOLOGY"),(U22))))</formula>
    </cfRule>
    <cfRule type="containsText" priority="22790" operator="containsText" dxfId="7" text="HEM/ONC">
      <formula>NOT(ISERROR(SEARCH(("HEM/ONC"),(U22))))</formula>
    </cfRule>
    <cfRule type="containsText" priority="22791" operator="containsText" dxfId="7" text="CARDIO">
      <formula>NOT(ISERROR(SEARCH(("CARDIO"),(U22))))</formula>
    </cfRule>
    <cfRule type="containsText" priority="22792" operator="containsText" dxfId="7" text="ID">
      <formula>NOT(ISERROR(SEARCH(("ID"),(U22))))</formula>
    </cfRule>
    <cfRule type="containsText" priority="22793" operator="containsText" dxfId="7" text="NEURO">
      <formula>NOT(ISERROR(SEARCH(("NEURO"),(U22))))</formula>
    </cfRule>
    <cfRule type="containsText" priority="22794" operator="containsText" dxfId="6" text="NEURO">
      <formula>NOT(ISERROR(SEARCH(("NEURO"),(U22))))</formula>
    </cfRule>
    <cfRule type="containsText" priority="22795" operator="containsText" dxfId="5" text="NEURO">
      <formula>NOT(ISERROR(SEARCH(("NEURO"),(U22))))</formula>
    </cfRule>
    <cfRule type="containsText" priority="22796" operator="containsText" dxfId="0" text="ICU N">
      <formula>NOT(ISERROR(SEARCH(("ICU N"),(U22))))</formula>
    </cfRule>
    <cfRule type="containsText" priority="22797" operator="containsText" dxfId="3" text="ICU">
      <formula>NOT(ISERROR(SEARCH(("ICU"),(U22))))</formula>
    </cfRule>
    <cfRule type="containsText" priority="22798" operator="containsText" dxfId="0" text="SWING">
      <formula>NOT(ISERROR(SEARCH(("SWING"),(U22))))</formula>
    </cfRule>
    <cfRule type="containsText" priority="22799" operator="containsText" dxfId="0" text="NF">
      <formula>NOT(ISERROR(SEARCH(("NF"),(U22))))</formula>
    </cfRule>
    <cfRule type="containsText" priority="22766" operator="containsText" dxfId="17" text="VACATION">
      <formula>NOT(ISERROR(SEARCH(("VACATION"),(U22))))</formula>
    </cfRule>
    <cfRule type="containsText" priority="22767" operator="containsText" dxfId="16" text="ED">
      <formula>NOT(ISERROR(SEARCH(("ED"),(U22))))</formula>
    </cfRule>
    <cfRule type="containsText" priority="22768" operator="containsText" dxfId="15" text="GERIATRIC">
      <formula>NOT(ISERROR(SEARCH(("GERIATRIC"),(U22))))</formula>
    </cfRule>
    <cfRule type="containsText" priority="22769" operator="containsText" dxfId="7" text="PATH">
      <formula>NOT(ISERROR(SEARCH(("PATH"),(U22))))</formula>
    </cfRule>
    <cfRule type="containsText" priority="22770" operator="containsText" dxfId="7" text="NEPHRO">
      <formula>NOT(ISERROR(SEARCH(("NEPHRO"),(U22))))</formula>
    </cfRule>
    <cfRule type="containsText" priority="22771" operator="containsText" dxfId="7" text="PULM">
      <formula>NOT(ISERROR(SEARCH(("PULM"),(U22))))</formula>
    </cfRule>
    <cfRule type="containsText" priority="22772" operator="containsText" dxfId="7" text="RADIOLOGY">
      <formula>NOT(ISERROR(SEARCH(("RADIOLOGY"),(U22))))</formula>
    </cfRule>
    <cfRule type="containsText" priority="22773" operator="containsText" dxfId="7" text="HEM/ONC">
      <formula>NOT(ISERROR(SEARCH(("HEM/ONC"),(U22))))</formula>
    </cfRule>
    <cfRule type="containsText" priority="22774" operator="containsText" dxfId="7" text="CARDIO">
      <formula>NOT(ISERROR(SEARCH(("CARDIO"),(U22))))</formula>
    </cfRule>
    <cfRule type="containsText" priority="22775" operator="containsText" dxfId="7" text="ID">
      <formula>NOT(ISERROR(SEARCH(("ID"),(U22))))</formula>
    </cfRule>
    <cfRule type="containsText" priority="22776" operator="containsText" dxfId="7" text="NEURO">
      <formula>NOT(ISERROR(SEARCH(("NEURO"),(U22))))</formula>
    </cfRule>
    <cfRule type="containsText" priority="22777" operator="containsText" dxfId="6" text="NEURO">
      <formula>NOT(ISERROR(SEARCH(("NEURO"),(U22))))</formula>
    </cfRule>
    <cfRule type="containsText" priority="22778" operator="containsText" dxfId="5" text="NEURO">
      <formula>NOT(ISERROR(SEARCH(("NEURO"),(U22))))</formula>
    </cfRule>
    <cfRule type="containsText" priority="22779" operator="containsText" dxfId="0" text="ICU N">
      <formula>NOT(ISERROR(SEARCH(("ICU N"),(U22))))</formula>
    </cfRule>
    <cfRule type="containsText" priority="22780" operator="containsText" dxfId="3" text="ICU">
      <formula>NOT(ISERROR(SEARCH(("ICU"),(U22))))</formula>
    </cfRule>
    <cfRule type="containsText" priority="22781" operator="containsText" dxfId="0" text="SWING">
      <formula>NOT(ISERROR(SEARCH(("SWING"),(U22))))</formula>
    </cfRule>
    <cfRule type="containsText" priority="22782" operator="containsText" dxfId="0" text="NF">
      <formula>NOT(ISERROR(SEARCH(("NF"),(U22))))</formula>
    </cfRule>
  </conditionalFormatting>
  <conditionalFormatting sqref="AR6">
    <cfRule type="containsText" priority="22736" operator="containsText" dxfId="17" text="VACATION">
      <formula>NOT(ISERROR(SEARCH(("VACATION"),(AR6))))</formula>
    </cfRule>
    <cfRule type="containsText" priority="22737" operator="containsText" dxfId="0" text="ICU N">
      <formula>NOT(ISERROR(SEARCH(("ICU N"),(AR6))))</formula>
    </cfRule>
    <cfRule type="containsText" priority="22735" operator="containsText" dxfId="17" text="VACATION">
      <formula>NOT(ISERROR(SEARCH(("VACATION"),(AR6))))</formula>
    </cfRule>
    <cfRule type="containsText" priority="22720" operator="containsText" dxfId="7" text="PATH">
      <formula>NOT(ISERROR(SEARCH(("PATH"),(AR6))))</formula>
    </cfRule>
    <cfRule type="containsText" priority="22721" operator="containsText" dxfId="7" text="NEPHRO">
      <formula>NOT(ISERROR(SEARCH(("NEPHRO"),(AR6))))</formula>
    </cfRule>
    <cfRule type="containsText" priority="22722" operator="containsText" dxfId="7" text="PULM">
      <formula>NOT(ISERROR(SEARCH(("PULM"),(AR6))))</formula>
    </cfRule>
    <cfRule type="containsText" priority="22723" operator="containsText" dxfId="7" text="RADIOLOGY">
      <formula>NOT(ISERROR(SEARCH(("RADIOLOGY"),(AR6))))</formula>
    </cfRule>
    <cfRule type="containsText" priority="22724" operator="containsText" dxfId="7" text="HEM/ONC">
      <formula>NOT(ISERROR(SEARCH(("HEM/ONC"),(AR6))))</formula>
    </cfRule>
    <cfRule type="containsText" priority="22725" operator="containsText" dxfId="7" text="CARDIO">
      <formula>NOT(ISERROR(SEARCH(("CARDIO"),(AR6))))</formula>
    </cfRule>
    <cfRule type="containsText" priority="22726" operator="containsText" dxfId="7" text="ID">
      <formula>NOT(ISERROR(SEARCH(("ID"),(AR6))))</formula>
    </cfRule>
    <cfRule type="containsText" priority="22727" operator="containsText" dxfId="7" text="NEURO">
      <formula>NOT(ISERROR(SEARCH(("NEURO"),(AR6))))</formula>
    </cfRule>
    <cfRule type="containsText" priority="22728" operator="containsText" dxfId="6" text="NEURO">
      <formula>NOT(ISERROR(SEARCH(("NEURO"),(AR6))))</formula>
    </cfRule>
    <cfRule type="containsText" priority="22729" operator="containsText" dxfId="5" text="NEURO">
      <formula>NOT(ISERROR(SEARCH(("NEURO"),(AR6))))</formula>
    </cfRule>
    <cfRule type="containsText" priority="22730" operator="containsText" dxfId="0" text="ICU N">
      <formula>NOT(ISERROR(SEARCH(("ICU N"),(AR6))))</formula>
    </cfRule>
    <cfRule type="containsText" priority="22731" operator="containsText" dxfId="3" text="ICU">
      <formula>NOT(ISERROR(SEARCH(("ICU"),(AR6))))</formula>
    </cfRule>
    <cfRule type="containsText" priority="22732" operator="containsText" dxfId="0" text="SWING">
      <formula>NOT(ISERROR(SEARCH(("SWING"),(AR6))))</formula>
    </cfRule>
    <cfRule type="containsText" priority="22733" operator="containsText" dxfId="0" text="NF">
      <formula>NOT(ISERROR(SEARCH(("NF"),(AR6))))</formula>
    </cfRule>
    <cfRule type="containsText" priority="22734" operator="containsText" dxfId="0" text="ICU N">
      <formula>NOT(ISERROR(SEARCH(("ICU N"),(AR6))))</formula>
    </cfRule>
  </conditionalFormatting>
  <conditionalFormatting sqref="AP45">
    <cfRule type="containsText" priority="22661" operator="containsText" dxfId="7" text="PATH">
      <formula>NOT(ISERROR(SEARCH(("PATH"),(AP45))))</formula>
    </cfRule>
    <cfRule type="containsText" priority="22662" operator="containsText" dxfId="7" text="NEPHRO">
      <formula>NOT(ISERROR(SEARCH(("NEPHRO"),(AP45))))</formula>
    </cfRule>
    <cfRule type="containsText" priority="22663" operator="containsText" dxfId="7" text="PULM">
      <formula>NOT(ISERROR(SEARCH(("PULM"),(AP45))))</formula>
    </cfRule>
    <cfRule type="containsText" priority="22664" operator="containsText" dxfId="7" text="RADIOLOGY">
      <formula>NOT(ISERROR(SEARCH(("RADIOLOGY"),(AP45))))</formula>
    </cfRule>
    <cfRule type="containsText" priority="22665" operator="containsText" dxfId="7" text="HEM/ONC">
      <formula>NOT(ISERROR(SEARCH(("HEM/ONC"),(AP45))))</formula>
    </cfRule>
    <cfRule type="containsText" priority="22666" operator="containsText" dxfId="7" text="CARDIO">
      <formula>NOT(ISERROR(SEARCH(("CARDIO"),(AP45))))</formula>
    </cfRule>
    <cfRule type="containsText" priority="22667" operator="containsText" dxfId="7" text="ID">
      <formula>NOT(ISERROR(SEARCH(("ID"),(AP45))))</formula>
    </cfRule>
    <cfRule type="containsText" priority="22668" operator="containsText" dxfId="7" text="NEURO">
      <formula>NOT(ISERROR(SEARCH(("NEURO"),(AP45))))</formula>
    </cfRule>
    <cfRule type="containsText" priority="22669" operator="containsText" dxfId="6" text="NEURO">
      <formula>NOT(ISERROR(SEARCH(("NEURO"),(AP45))))</formula>
    </cfRule>
    <cfRule type="containsText" priority="22670" operator="containsText" dxfId="5" text="NEURO">
      <formula>NOT(ISERROR(SEARCH(("NEURO"),(AP45))))</formula>
    </cfRule>
    <cfRule type="containsText" priority="22671" operator="containsText" dxfId="0" text="ICU N">
      <formula>NOT(ISERROR(SEARCH(("ICU N"),(AP45))))</formula>
    </cfRule>
    <cfRule type="containsText" priority="22672" operator="containsText" dxfId="3" text="ICU">
      <formula>NOT(ISERROR(SEARCH(("ICU"),(AP45))))</formula>
    </cfRule>
    <cfRule type="containsText" priority="22673" operator="containsText" dxfId="0" text="SWING">
      <formula>NOT(ISERROR(SEARCH(("SWING"),(AP45))))</formula>
    </cfRule>
    <cfRule type="containsText" priority="22674" operator="containsText" dxfId="0" text="NF">
      <formula>NOT(ISERROR(SEARCH(("NF"),(AP45))))</formula>
    </cfRule>
    <cfRule type="containsText" priority="22675" operator="containsText" dxfId="0" text="ICU N">
      <formula>NOT(ISERROR(SEARCH(("ICU N"),(AP45))))</formula>
    </cfRule>
    <cfRule type="containsText" priority="22647" operator="containsText" dxfId="7" text="PATH">
      <formula>NOT(ISERROR(SEARCH(("PATH"),(AP45))))</formula>
    </cfRule>
    <cfRule type="containsText" priority="22648" operator="containsText" dxfId="7" text="NEPHRO">
      <formula>NOT(ISERROR(SEARCH(("NEPHRO"),(AP45))))</formula>
    </cfRule>
    <cfRule type="containsText" priority="22649" operator="containsText" dxfId="7" text="PULM">
      <formula>NOT(ISERROR(SEARCH(("PULM"),(AP45))))</formula>
    </cfRule>
    <cfRule type="containsText" priority="22650" operator="containsText" dxfId="7" text="RADIOLOGY">
      <formula>NOT(ISERROR(SEARCH(("RADIOLOGY"),(AP45))))</formula>
    </cfRule>
    <cfRule type="containsText" priority="22651" operator="containsText" dxfId="7" text="HEM/ONC">
      <formula>NOT(ISERROR(SEARCH(("HEM/ONC"),(AP45))))</formula>
    </cfRule>
    <cfRule type="containsText" priority="22652" operator="containsText" dxfId="7" text="CARDIO">
      <formula>NOT(ISERROR(SEARCH(("CARDIO"),(AP45))))</formula>
    </cfRule>
    <cfRule type="containsText" priority="22653" operator="containsText" dxfId="7" text="ID">
      <formula>NOT(ISERROR(SEARCH(("ID"),(AP45))))</formula>
    </cfRule>
    <cfRule type="containsText" priority="22654" operator="containsText" dxfId="7" text="NEURO">
      <formula>NOT(ISERROR(SEARCH(("NEURO"),(AP45))))</formula>
    </cfRule>
    <cfRule type="containsText" priority="22655" operator="containsText" dxfId="6" text="NEURO">
      <formula>NOT(ISERROR(SEARCH(("NEURO"),(AP45))))</formula>
    </cfRule>
    <cfRule type="containsText" priority="22656" operator="containsText" dxfId="5" text="NEURO">
      <formula>NOT(ISERROR(SEARCH(("NEURO"),(AP45))))</formula>
    </cfRule>
    <cfRule type="containsText" priority="22657" operator="containsText" dxfId="0" text="ICU N">
      <formula>NOT(ISERROR(SEARCH(("ICU N"),(AP45))))</formula>
    </cfRule>
    <cfRule type="containsText" priority="22658" operator="containsText" dxfId="3" text="ICU">
      <formula>NOT(ISERROR(SEARCH(("ICU"),(AP45))))</formula>
    </cfRule>
    <cfRule type="containsText" priority="22659" operator="containsText" dxfId="0" text="SWING">
      <formula>NOT(ISERROR(SEARCH(("SWING"),(AP45))))</formula>
    </cfRule>
    <cfRule type="containsText" priority="22660" operator="containsText" dxfId="0" text="NF">
      <formula>NOT(ISERROR(SEARCH(("NF"),(AP45))))</formula>
    </cfRule>
  </conditionalFormatting>
  <conditionalFormatting sqref="X8">
    <cfRule type="containsText" priority="22641" operator="containsText" dxfId="16" text="ED">
      <formula>NOT(ISERROR(SEARCH(("ED"),(X8))))</formula>
    </cfRule>
    <cfRule type="containsText" priority="22642" operator="containsText" dxfId="17" text="VACATION">
      <formula>NOT(ISERROR(SEARCH(("VACATION"),(X8))))</formula>
    </cfRule>
    <cfRule type="containsText" priority="22643" operator="containsText" dxfId="0" text="ICU N">
      <formula>NOT(ISERROR(SEARCH(("ICU N"),(X8))))</formula>
    </cfRule>
  </conditionalFormatting>
  <conditionalFormatting sqref="AL30">
    <cfRule type="containsText" priority="22571" operator="containsText" dxfId="0" text="ICU N">
      <formula>NOT(ISERROR(SEARCH(("ICU N"),(AL30))))</formula>
    </cfRule>
    <cfRule type="containsText" priority="22570" operator="containsText" dxfId="0" text="ICU N">
      <formula>NOT(ISERROR(SEARCH(("ICU N"),(AL30))))</formula>
    </cfRule>
    <cfRule type="containsText" priority="22569" operator="containsText" dxfId="0" text="ICU N">
      <formula>NOT(ISERROR(SEARCH(("ICU N"),(AL30))))</formula>
    </cfRule>
  </conditionalFormatting>
  <conditionalFormatting sqref="BB44">
    <cfRule type="containsText" priority="22525" operator="containsText" dxfId="7" text="PATH">
      <formula>NOT(ISERROR(SEARCH(("PATH"),(BB44))))</formula>
    </cfRule>
    <cfRule type="containsText" priority="22526" operator="containsText" dxfId="7" text="NEPHRO">
      <formula>NOT(ISERROR(SEARCH(("NEPHRO"),(BB44))))</formula>
    </cfRule>
    <cfRule type="containsText" priority="22527" operator="containsText" dxfId="7" text="PULM">
      <formula>NOT(ISERROR(SEARCH(("PULM"),(BB44))))</formula>
    </cfRule>
    <cfRule type="containsText" priority="22528" operator="containsText" dxfId="7" text="RADIOLOGY">
      <formula>NOT(ISERROR(SEARCH(("RADIOLOGY"),(BB44))))</formula>
    </cfRule>
    <cfRule type="containsText" priority="22529" operator="containsText" dxfId="7" text="HEM/ONC">
      <formula>NOT(ISERROR(SEARCH(("HEM/ONC"),(BB44))))</formula>
    </cfRule>
    <cfRule type="containsText" priority="22530" operator="containsText" dxfId="7" text="CARDIO">
      <formula>NOT(ISERROR(SEARCH(("CARDIO"),(BB44))))</formula>
    </cfRule>
    <cfRule type="containsText" priority="22531" operator="containsText" dxfId="7" text="ID">
      <formula>NOT(ISERROR(SEARCH(("ID"),(BB44))))</formula>
    </cfRule>
    <cfRule type="containsText" priority="22532" operator="containsText" dxfId="7" text="NEURO">
      <formula>NOT(ISERROR(SEARCH(("NEURO"),(BB44))))</formula>
    </cfRule>
    <cfRule type="containsText" priority="22533" operator="containsText" dxfId="6" text="NEURO">
      <formula>NOT(ISERROR(SEARCH(("NEURO"),(BB44))))</formula>
    </cfRule>
    <cfRule type="containsText" priority="22534" operator="containsText" dxfId="5" text="NEURO">
      <formula>NOT(ISERROR(SEARCH(("NEURO"),(BB44))))</formula>
    </cfRule>
    <cfRule type="containsText" priority="22535" operator="containsText" dxfId="0" text="ICU N">
      <formula>NOT(ISERROR(SEARCH(("ICU N"),(BB44))))</formula>
    </cfRule>
    <cfRule type="containsText" priority="22536" operator="containsText" dxfId="3" text="ICU">
      <formula>NOT(ISERROR(SEARCH(("ICU"),(BB44))))</formula>
    </cfRule>
    <cfRule type="containsText" priority="22537" operator="containsText" dxfId="0" text="SWING">
      <formula>NOT(ISERROR(SEARCH(("SWING"),(BB44))))</formula>
    </cfRule>
    <cfRule type="containsText" priority="22538" operator="containsText" dxfId="0" text="NF">
      <formula>NOT(ISERROR(SEARCH(("NF"),(BB44))))</formula>
    </cfRule>
    <cfRule type="containsText" priority="22539" operator="containsText" dxfId="0" text="ICU N">
      <formula>NOT(ISERROR(SEARCH(("ICU N"),(BB44))))</formula>
    </cfRule>
    <cfRule type="containsText" priority="22524" operator="containsText" dxfId="0" text="ICU N">
      <formula>NOT(ISERROR(SEARCH(("ICU N"),(BB44))))</formula>
    </cfRule>
    <cfRule type="containsText" priority="22509" operator="containsText" dxfId="7" text="PATH">
      <formula>NOT(ISERROR(SEARCH(("PATH"),(BB44))))</formula>
    </cfRule>
    <cfRule type="containsText" priority="22510" operator="containsText" dxfId="7" text="NEPHRO">
      <formula>NOT(ISERROR(SEARCH(("NEPHRO"),(BB44))))</formula>
    </cfRule>
    <cfRule type="containsText" priority="22511" operator="containsText" dxfId="7" text="PULM">
      <formula>NOT(ISERROR(SEARCH(("PULM"),(BB44))))</formula>
    </cfRule>
    <cfRule type="containsText" priority="22512" operator="containsText" dxfId="7" text="RADIOLOGY">
      <formula>NOT(ISERROR(SEARCH(("RADIOLOGY"),(BB44))))</formula>
    </cfRule>
    <cfRule type="containsText" priority="22513" operator="containsText" dxfId="7" text="HEM/ONC">
      <formula>NOT(ISERROR(SEARCH(("HEM/ONC"),(BB44))))</formula>
    </cfRule>
    <cfRule type="containsText" priority="22514" operator="containsText" dxfId="7" text="CARDIO">
      <formula>NOT(ISERROR(SEARCH(("CARDIO"),(BB44))))</formula>
    </cfRule>
    <cfRule type="containsText" priority="22515" operator="containsText" dxfId="7" text="ID">
      <formula>NOT(ISERROR(SEARCH(("ID"),(BB44))))</formula>
    </cfRule>
    <cfRule type="containsText" priority="22516" operator="containsText" dxfId="7" text="NEURO">
      <formula>NOT(ISERROR(SEARCH(("NEURO"),(BB44))))</formula>
    </cfRule>
    <cfRule type="containsText" priority="22517" operator="containsText" dxfId="6" text="NEURO">
      <formula>NOT(ISERROR(SEARCH(("NEURO"),(BB44))))</formula>
    </cfRule>
    <cfRule type="containsText" priority="22518" operator="containsText" dxfId="5" text="NEURO">
      <formula>NOT(ISERROR(SEARCH(("NEURO"),(BB44))))</formula>
    </cfRule>
    <cfRule type="containsText" priority="22519" operator="containsText" dxfId="0" text="ICU N">
      <formula>NOT(ISERROR(SEARCH(("ICU N"),(BB44))))</formula>
    </cfRule>
    <cfRule type="containsText" priority="22520" operator="containsText" dxfId="3" text="ICU">
      <formula>NOT(ISERROR(SEARCH(("ICU"),(BB44))))</formula>
    </cfRule>
    <cfRule type="containsText" priority="22521" operator="containsText" dxfId="0" text="SWING">
      <formula>NOT(ISERROR(SEARCH(("SWING"),(BB44))))</formula>
    </cfRule>
    <cfRule type="containsText" priority="22522" operator="containsText" dxfId="0" text="NF">
      <formula>NOT(ISERROR(SEARCH(("NF"),(BB44))))</formula>
    </cfRule>
    <cfRule type="containsText" priority="22523" operator="containsText" dxfId="0" text="ICU N">
      <formula>NOT(ISERROR(SEARCH(("ICU N"),(BB44))))</formula>
    </cfRule>
  </conditionalFormatting>
  <conditionalFormatting sqref="BC17:BC18">
    <cfRule type="containsText" priority="22464" operator="containsText" dxfId="0" text="ICU N">
      <formula>NOT(ISERROR(SEARCH(("ICU N"),(BC17))))</formula>
    </cfRule>
  </conditionalFormatting>
  <conditionalFormatting sqref="BB28:BC28">
    <cfRule type="containsText" priority="22461" operator="containsText" dxfId="0" text="ICU N">
      <formula>NOT(ISERROR(SEARCH(("ICU N"),(BB28))))</formula>
    </cfRule>
  </conditionalFormatting>
  <conditionalFormatting sqref="AR19:AT19">
    <cfRule type="containsText" priority="22367" operator="containsText" dxfId="0" text="ICU N">
      <formula>NOT(ISERROR(SEARCH(("ICU N"),(AR19))))</formula>
    </cfRule>
  </conditionalFormatting>
  <conditionalFormatting sqref="AP49">
    <cfRule type="containsText" priority="22314" operator="containsText" dxfId="16" text="ED">
      <formula>NOT(ISERROR(SEARCH(("ED"),(AP49))))</formula>
    </cfRule>
    <cfRule type="containsText" priority="22315" operator="containsText" dxfId="17" text="VACATION">
      <formula>NOT(ISERROR(SEARCH(("VACATION"),(AP49))))</formula>
    </cfRule>
    <cfRule type="containsText" priority="22316" operator="containsText" dxfId="0" text="ICU N">
      <formula>NOT(ISERROR(SEARCH(("ICU N"),(AP49))))</formula>
    </cfRule>
  </conditionalFormatting>
  <conditionalFormatting sqref="AT50">
    <cfRule type="containsText" priority="22308" operator="containsText" dxfId="16" text="ED">
      <formula>NOT(ISERROR(SEARCH(("ED"),(AT50))))</formula>
    </cfRule>
    <cfRule type="containsText" priority="22309" operator="containsText" dxfId="17" text="VACATION">
      <formula>NOT(ISERROR(SEARCH(("VACATION"),(AT50))))</formula>
    </cfRule>
    <cfRule type="containsText" priority="22310" operator="containsText" dxfId="0" text="ICU N">
      <formula>NOT(ISERROR(SEARCH(("ICU N"),(AT50))))</formula>
    </cfRule>
  </conditionalFormatting>
  <conditionalFormatting sqref="AU50">
    <cfRule type="containsText" priority="22305" operator="containsText" dxfId="16" text="ED">
      <formula>NOT(ISERROR(SEARCH(("ED"),(AU50))))</formula>
    </cfRule>
    <cfRule type="containsText" priority="22306" operator="containsText" dxfId="17" text="VACATION">
      <formula>NOT(ISERROR(SEARCH(("VACATION"),(AU50))))</formula>
    </cfRule>
    <cfRule type="containsText" priority="22307" operator="containsText" dxfId="0" text="ICU N">
      <formula>NOT(ISERROR(SEARCH(("ICU N"),(AU50))))</formula>
    </cfRule>
  </conditionalFormatting>
  <conditionalFormatting sqref="AL26:AL27">
    <cfRule type="containsText" priority="22166" operator="containsText" dxfId="17" text="VACATION">
      <formula>NOT(ISERROR(SEARCH(("VACATION"),(AL26))))</formula>
    </cfRule>
    <cfRule type="containsText" priority="22167" operator="containsText" dxfId="16" text="ED">
      <formula>NOT(ISERROR(SEARCH(("ED"),(AL26))))</formula>
    </cfRule>
    <cfRule type="containsText" priority="22168" operator="containsText" dxfId="15" text="GERIATRIC">
      <formula>NOT(ISERROR(SEARCH(("GERIATRIC"),(AL26))))</formula>
    </cfRule>
    <cfRule type="containsText" priority="22169" operator="containsText" dxfId="7" text="PATH">
      <formula>NOT(ISERROR(SEARCH(("PATH"),(AL26))))</formula>
    </cfRule>
    <cfRule type="containsText" priority="22170" operator="containsText" dxfId="7" text="NEPHRO">
      <formula>NOT(ISERROR(SEARCH(("NEPHRO"),(AL26))))</formula>
    </cfRule>
    <cfRule type="containsText" priority="22171" operator="containsText" dxfId="7" text="PULM">
      <formula>NOT(ISERROR(SEARCH(("PULM"),(AL26))))</formula>
    </cfRule>
    <cfRule type="containsText" priority="22172" operator="containsText" dxfId="7" text="RADIOLOGY">
      <formula>NOT(ISERROR(SEARCH(("RADIOLOGY"),(AL26))))</formula>
    </cfRule>
    <cfRule type="containsText" priority="22173" operator="containsText" dxfId="7" text="HEM/ONC">
      <formula>NOT(ISERROR(SEARCH(("HEM/ONC"),(AL26))))</formula>
    </cfRule>
    <cfRule type="containsText" priority="22174" operator="containsText" dxfId="7" text="CARDIO">
      <formula>NOT(ISERROR(SEARCH(("CARDIO"),(AL26))))</formula>
    </cfRule>
    <cfRule type="containsText" priority="22175" operator="containsText" dxfId="7" text="ID">
      <formula>NOT(ISERROR(SEARCH(("ID"),(AL26))))</formula>
    </cfRule>
    <cfRule type="containsText" priority="22176" operator="containsText" dxfId="7" text="NEURO">
      <formula>NOT(ISERROR(SEARCH(("NEURO"),(AL26))))</formula>
    </cfRule>
    <cfRule type="containsText" priority="22177" operator="containsText" dxfId="6" text="NEURO">
      <formula>NOT(ISERROR(SEARCH(("NEURO"),(AL26))))</formula>
    </cfRule>
    <cfRule type="containsText" priority="22178" operator="containsText" dxfId="5" text="NEURO">
      <formula>NOT(ISERROR(SEARCH(("NEURO"),(AL26))))</formula>
    </cfRule>
    <cfRule type="containsText" priority="22179" operator="containsText" dxfId="0" text="ICU N">
      <formula>NOT(ISERROR(SEARCH(("ICU N"),(AL26))))</formula>
    </cfRule>
    <cfRule type="containsText" priority="22180" operator="containsText" dxfId="3" text="ICU">
      <formula>NOT(ISERROR(SEARCH(("ICU"),(AL26))))</formula>
    </cfRule>
    <cfRule type="containsText" priority="22181" operator="containsText" dxfId="0" text="SWING">
      <formula>NOT(ISERROR(SEARCH(("SWING"),(AL26))))</formula>
    </cfRule>
    <cfRule type="containsText" priority="22182" operator="containsText" dxfId="0" text="NF">
      <formula>NOT(ISERROR(SEARCH(("NF"),(AL26))))</formula>
    </cfRule>
  </conditionalFormatting>
  <conditionalFormatting sqref="AM26">
    <cfRule type="containsText" priority="22149" operator="containsText" dxfId="17" text="VACATION">
      <formula>NOT(ISERROR(SEARCH(("VACATION"),(AM26))))</formula>
    </cfRule>
    <cfRule type="containsText" priority="22150" operator="containsText" dxfId="16" text="ED">
      <formula>NOT(ISERROR(SEARCH(("ED"),(AM26))))</formula>
    </cfRule>
    <cfRule type="containsText" priority="22151" operator="containsText" dxfId="15" text="GERIATRIC">
      <formula>NOT(ISERROR(SEARCH(("GERIATRIC"),(AM26))))</formula>
    </cfRule>
    <cfRule type="containsText" priority="22152" operator="containsText" dxfId="7" text="PATH">
      <formula>NOT(ISERROR(SEARCH(("PATH"),(AM26))))</formula>
    </cfRule>
    <cfRule type="containsText" priority="22153" operator="containsText" dxfId="7" text="NEPHRO">
      <formula>NOT(ISERROR(SEARCH(("NEPHRO"),(AM26))))</formula>
    </cfRule>
    <cfRule type="containsText" priority="22154" operator="containsText" dxfId="7" text="PULM">
      <formula>NOT(ISERROR(SEARCH(("PULM"),(AM26))))</formula>
    </cfRule>
    <cfRule type="containsText" priority="22155" operator="containsText" dxfId="7" text="RADIOLOGY">
      <formula>NOT(ISERROR(SEARCH(("RADIOLOGY"),(AM26))))</formula>
    </cfRule>
    <cfRule type="containsText" priority="22156" operator="containsText" dxfId="7" text="HEM/ONC">
      <formula>NOT(ISERROR(SEARCH(("HEM/ONC"),(AM26))))</formula>
    </cfRule>
    <cfRule type="containsText" priority="22157" operator="containsText" dxfId="7" text="CARDIO">
      <formula>NOT(ISERROR(SEARCH(("CARDIO"),(AM26))))</formula>
    </cfRule>
    <cfRule type="containsText" priority="22158" operator="containsText" dxfId="7" text="ID">
      <formula>NOT(ISERROR(SEARCH(("ID"),(AM26))))</formula>
    </cfRule>
    <cfRule type="containsText" priority="22159" operator="containsText" dxfId="7" text="NEURO">
      <formula>NOT(ISERROR(SEARCH(("NEURO"),(AM26))))</formula>
    </cfRule>
    <cfRule type="containsText" priority="22160" operator="containsText" dxfId="6" text="NEURO">
      <formula>NOT(ISERROR(SEARCH(("NEURO"),(AM26))))</formula>
    </cfRule>
    <cfRule type="containsText" priority="22161" operator="containsText" dxfId="5" text="NEURO">
      <formula>NOT(ISERROR(SEARCH(("NEURO"),(AM26))))</formula>
    </cfRule>
    <cfRule type="containsText" priority="22162" operator="containsText" dxfId="0" text="ICU N">
      <formula>NOT(ISERROR(SEARCH(("ICU N"),(AM26))))</formula>
    </cfRule>
    <cfRule type="containsText" priority="22163" operator="containsText" dxfId="3" text="ICU">
      <formula>NOT(ISERROR(SEARCH(("ICU"),(AM26))))</formula>
    </cfRule>
    <cfRule type="containsText" priority="22164" operator="containsText" dxfId="0" text="SWING">
      <formula>NOT(ISERROR(SEARCH(("SWING"),(AM26))))</formula>
    </cfRule>
    <cfRule type="containsText" priority="22165" operator="containsText" dxfId="0" text="NF">
      <formula>NOT(ISERROR(SEARCH(("NF"),(AM26))))</formula>
    </cfRule>
  </conditionalFormatting>
  <conditionalFormatting sqref="P26">
    <cfRule type="containsText" priority="22147" operator="containsText" dxfId="17" text="VACATION">
      <formula>NOT(ISERROR(SEARCH(("VACATION"),(P26))))</formula>
    </cfRule>
    <cfRule type="containsText" priority="22148" operator="containsText" dxfId="0" text="ICU N">
      <formula>NOT(ISERROR(SEARCH(("ICU N"),(P26))))</formula>
    </cfRule>
  </conditionalFormatting>
  <conditionalFormatting sqref="W26">
    <cfRule type="containsText" priority="22143" operator="containsText" dxfId="17" text="VACATION">
      <formula>NOT(ISERROR(SEARCH(("VACATION"),(W26))))</formula>
    </cfRule>
    <cfRule type="containsText" priority="22144" operator="containsText" dxfId="0" text="ICU N">
      <formula>NOT(ISERROR(SEARCH(("ICU N"),(W26))))</formula>
    </cfRule>
    <cfRule type="containsText" priority="22115" operator="containsText" dxfId="17" text="VACATION">
      <formula>NOT(ISERROR(SEARCH(("VACATION"),(W26))))</formula>
    </cfRule>
    <cfRule type="containsText" priority="22116" operator="containsText" dxfId="0" text="ICU N">
      <formula>NOT(ISERROR(SEARCH(("ICU N"),(W26))))</formula>
    </cfRule>
    <cfRule type="containsText" priority="22113" operator="containsText" dxfId="17" text="VACATION">
      <formula>NOT(ISERROR(SEARCH(("VACATION"),(W26))))</formula>
    </cfRule>
    <cfRule type="containsText" priority="22114" operator="containsText" dxfId="0" text="ICU N">
      <formula>NOT(ISERROR(SEARCH(("ICU N"),(W26))))</formula>
    </cfRule>
  </conditionalFormatting>
  <conditionalFormatting sqref="BA26">
    <cfRule type="containsText" priority="22140" operator="containsText" dxfId="0" text="ICU N">
      <formula>NOT(ISERROR(SEARCH(("ICU N"),(BA26))))</formula>
    </cfRule>
  </conditionalFormatting>
  <conditionalFormatting sqref="AP26:AQ26">
    <cfRule type="containsText" priority="22139" operator="containsText" dxfId="0" text="ICU N">
      <formula>NOT(ISERROR(SEARCH(("ICU N"),(AP26))))</formula>
    </cfRule>
  </conditionalFormatting>
  <conditionalFormatting sqref="AC26">
    <cfRule type="containsText" priority="22117" operator="containsText" dxfId="17" text="VACATION">
      <formula>NOT(ISERROR(SEARCH(("VACATION"),(AC26))))</formula>
    </cfRule>
    <cfRule type="containsText" priority="22118" operator="containsText" dxfId="0" text="ICU N">
      <formula>NOT(ISERROR(SEARCH(("ICU N"),(AC26))))</formula>
    </cfRule>
  </conditionalFormatting>
  <conditionalFormatting sqref="U26">
    <cfRule type="containsText" priority="22111" operator="containsText" dxfId="17" text="VACATION">
      <formula>NOT(ISERROR(SEARCH(("VACATION"),(U26))))</formula>
    </cfRule>
    <cfRule type="containsText" priority="22112" operator="containsText" dxfId="0" text="ICU N">
      <formula>NOT(ISERROR(SEARCH(("ICU N"),(U26))))</formula>
    </cfRule>
    <cfRule type="containsText" priority="22109" operator="containsText" dxfId="17" text="VACATION">
      <formula>NOT(ISERROR(SEARCH(("VACATION"),(U26))))</formula>
    </cfRule>
    <cfRule type="containsText" priority="22110" operator="containsText" dxfId="0" text="ICU N">
      <formula>NOT(ISERROR(SEARCH(("ICU N"),(U26))))</formula>
    </cfRule>
    <cfRule type="containsText" priority="22107" operator="containsText" dxfId="17" text="VACATION">
      <formula>NOT(ISERROR(SEARCH(("VACATION"),(U26))))</formula>
    </cfRule>
    <cfRule type="containsText" priority="22108" operator="containsText" dxfId="0" text="ICU N">
      <formula>NOT(ISERROR(SEARCH(("ICU N"),(U26))))</formula>
    </cfRule>
  </conditionalFormatting>
  <conditionalFormatting sqref="R34:S34">
    <cfRule type="containsText" priority="22105" operator="containsText" dxfId="17" text="VACATION">
      <formula>NOT(ISERROR(SEARCH(("VACATION"),(R34))))</formula>
    </cfRule>
    <cfRule type="containsText" priority="22106" operator="containsText" dxfId="0" text="ICU N">
      <formula>NOT(ISERROR(SEARCH(("ICU N"),(R34))))</formula>
    </cfRule>
  </conditionalFormatting>
  <conditionalFormatting sqref="L34">
    <cfRule type="containsText" priority="22103" operator="containsText" dxfId="17" text="VACATION">
      <formula>NOT(ISERROR(SEARCH(("VACATION"),(L34))))</formula>
    </cfRule>
    <cfRule type="containsText" priority="22104" operator="containsText" dxfId="0" text="ICU N">
      <formula>NOT(ISERROR(SEARCH(("ICU N"),(L34))))</formula>
    </cfRule>
  </conditionalFormatting>
  <conditionalFormatting sqref="S34">
    <cfRule type="containsText" priority="22099" operator="containsText" dxfId="17" text="VACATION">
      <formula>NOT(ISERROR(SEARCH(("VACATION"),(S34))))</formula>
    </cfRule>
    <cfRule type="containsText" priority="22100" operator="containsText" dxfId="0" text="ICU N">
      <formula>NOT(ISERROR(SEARCH(("ICU N"),(S34))))</formula>
    </cfRule>
  </conditionalFormatting>
  <conditionalFormatting sqref="X34:Y34">
    <cfRule type="containsText" priority="22097" operator="containsText" dxfId="17" text="VACATION">
      <formula>NOT(ISERROR(SEARCH(("VACATION"),(X34))))</formula>
    </cfRule>
    <cfRule type="containsText" priority="22098" operator="containsText" dxfId="0" text="ICU N">
      <formula>NOT(ISERROR(SEARCH(("ICU N"),(X34))))</formula>
    </cfRule>
    <cfRule type="containsText" priority="22096" operator="containsText" dxfId="17" text="VACATION">
      <formula>NOT(ISERROR(SEARCH(("VACATION"),(X34))))</formula>
    </cfRule>
    <cfRule type="containsText" priority="22081" operator="containsText" dxfId="7" text="PATH">
      <formula>NOT(ISERROR(SEARCH(("PATH"),(X34))))</formula>
    </cfRule>
    <cfRule type="containsText" priority="22082" operator="containsText" dxfId="7" text="NEPHRO">
      <formula>NOT(ISERROR(SEARCH(("NEPHRO"),(X34))))</formula>
    </cfRule>
    <cfRule type="containsText" priority="22083" operator="containsText" dxfId="7" text="PULM">
      <formula>NOT(ISERROR(SEARCH(("PULM"),(X34))))</formula>
    </cfRule>
    <cfRule type="containsText" priority="22084" operator="containsText" dxfId="7" text="RADIOLOGY">
      <formula>NOT(ISERROR(SEARCH(("RADIOLOGY"),(X34))))</formula>
    </cfRule>
    <cfRule type="containsText" priority="22085" operator="containsText" dxfId="7" text="HEM/ONC">
      <formula>NOT(ISERROR(SEARCH(("HEM/ONC"),(X34))))</formula>
    </cfRule>
    <cfRule type="containsText" priority="22086" operator="containsText" dxfId="7" text="CARDIO">
      <formula>NOT(ISERROR(SEARCH(("CARDIO"),(X34))))</formula>
    </cfRule>
    <cfRule type="containsText" priority="22087" operator="containsText" dxfId="7" text="ID">
      <formula>NOT(ISERROR(SEARCH(("ID"),(X34))))</formula>
    </cfRule>
    <cfRule type="containsText" priority="22088" operator="containsText" dxfId="7" text="NEURO">
      <formula>NOT(ISERROR(SEARCH(("NEURO"),(X34))))</formula>
    </cfRule>
    <cfRule type="containsText" priority="22089" operator="containsText" dxfId="6" text="NEURO">
      <formula>NOT(ISERROR(SEARCH(("NEURO"),(X34))))</formula>
    </cfRule>
    <cfRule type="containsText" priority="22090" operator="containsText" dxfId="5" text="NEURO">
      <formula>NOT(ISERROR(SEARCH(("NEURO"),(X34))))</formula>
    </cfRule>
    <cfRule type="containsText" priority="22091" operator="containsText" dxfId="0" text="ICU N">
      <formula>NOT(ISERROR(SEARCH(("ICU N"),(X34))))</formula>
    </cfRule>
    <cfRule type="containsText" priority="22092" operator="containsText" dxfId="3" text="ICU">
      <formula>NOT(ISERROR(SEARCH(("ICU"),(X34))))</formula>
    </cfRule>
    <cfRule type="containsText" priority="22093" operator="containsText" dxfId="0" text="SWING">
      <formula>NOT(ISERROR(SEARCH(("SWING"),(X34))))</formula>
    </cfRule>
    <cfRule type="containsText" priority="22094" operator="containsText" dxfId="0" text="NF">
      <formula>NOT(ISERROR(SEARCH(("NF"),(X34))))</formula>
    </cfRule>
    <cfRule type="containsText" priority="22095" operator="containsText" dxfId="0" text="ICU N">
      <formula>NOT(ISERROR(SEARCH(("ICU N"),(X34))))</formula>
    </cfRule>
  </conditionalFormatting>
  <conditionalFormatting sqref="Z34:AA34">
    <cfRule type="containsText" priority="22079" operator="containsText" dxfId="17" text="VACATION">
      <formula>NOT(ISERROR(SEARCH(("VACATION"),(Z34))))</formula>
    </cfRule>
    <cfRule type="containsText" priority="22080" operator="containsText" dxfId="0" text="ICU N">
      <formula>NOT(ISERROR(SEARCH(("ICU N"),(Z34))))</formula>
    </cfRule>
    <cfRule type="containsText" priority="22078" operator="containsText" dxfId="17" text="VACATION">
      <formula>NOT(ISERROR(SEARCH(("VACATION"),(Z34))))</formula>
    </cfRule>
    <cfRule type="containsText" priority="22063" operator="containsText" dxfId="7" text="PATH">
      <formula>NOT(ISERROR(SEARCH(("PATH"),(Z34))))</formula>
    </cfRule>
    <cfRule type="containsText" priority="22064" operator="containsText" dxfId="7" text="NEPHRO">
      <formula>NOT(ISERROR(SEARCH(("NEPHRO"),(Z34))))</formula>
    </cfRule>
    <cfRule type="containsText" priority="22065" operator="containsText" dxfId="7" text="PULM">
      <formula>NOT(ISERROR(SEARCH(("PULM"),(Z34))))</formula>
    </cfRule>
    <cfRule type="containsText" priority="22066" operator="containsText" dxfId="7" text="RADIOLOGY">
      <formula>NOT(ISERROR(SEARCH(("RADIOLOGY"),(Z34))))</formula>
    </cfRule>
    <cfRule type="containsText" priority="22067" operator="containsText" dxfId="7" text="HEM/ONC">
      <formula>NOT(ISERROR(SEARCH(("HEM/ONC"),(Z34))))</formula>
    </cfRule>
    <cfRule type="containsText" priority="22068" operator="containsText" dxfId="7" text="CARDIO">
      <formula>NOT(ISERROR(SEARCH(("CARDIO"),(Z34))))</formula>
    </cfRule>
    <cfRule type="containsText" priority="22069" operator="containsText" dxfId="7" text="ID">
      <formula>NOT(ISERROR(SEARCH(("ID"),(Z34))))</formula>
    </cfRule>
    <cfRule type="containsText" priority="22070" operator="containsText" dxfId="7" text="NEURO">
      <formula>NOT(ISERROR(SEARCH(("NEURO"),(Z34))))</formula>
    </cfRule>
    <cfRule type="containsText" priority="22071" operator="containsText" dxfId="6" text="NEURO">
      <formula>NOT(ISERROR(SEARCH(("NEURO"),(Z34))))</formula>
    </cfRule>
    <cfRule type="containsText" priority="22072" operator="containsText" dxfId="5" text="NEURO">
      <formula>NOT(ISERROR(SEARCH(("NEURO"),(Z34))))</formula>
    </cfRule>
    <cfRule type="containsText" priority="22073" operator="containsText" dxfId="0" text="ICU N">
      <formula>NOT(ISERROR(SEARCH(("ICU N"),(Z34))))</formula>
    </cfRule>
    <cfRule type="containsText" priority="22074" operator="containsText" dxfId="3" text="ICU">
      <formula>NOT(ISERROR(SEARCH(("ICU"),(Z34))))</formula>
    </cfRule>
    <cfRule type="containsText" priority="22075" operator="containsText" dxfId="0" text="SWING">
      <formula>NOT(ISERROR(SEARCH(("SWING"),(Z34))))</formula>
    </cfRule>
    <cfRule type="containsText" priority="22076" operator="containsText" dxfId="0" text="NF">
      <formula>NOT(ISERROR(SEARCH(("NF"),(Z34))))</formula>
    </cfRule>
    <cfRule type="containsText" priority="22077" operator="containsText" dxfId="0" text="ICU N">
      <formula>NOT(ISERROR(SEARCH(("ICU N"),(Z34))))</formula>
    </cfRule>
  </conditionalFormatting>
  <conditionalFormatting sqref="Q34">
    <cfRule type="containsText" priority="22044" operator="containsText" dxfId="17" text="VACATION">
      <formula>NOT(ISERROR(SEARCH(("VACATION"),(Q34))))</formula>
    </cfRule>
    <cfRule type="containsText" priority="22045" operator="containsText" dxfId="0" text="ICU N">
      <formula>NOT(ISERROR(SEARCH(("ICU N"),(Q34))))</formula>
    </cfRule>
  </conditionalFormatting>
  <conditionalFormatting sqref="H34">
    <cfRule type="containsText" priority="22026" operator="containsText" dxfId="16" text="ED">
      <formula>NOT(ISERROR(SEARCH(("ED"),(H34))))</formula>
    </cfRule>
    <cfRule type="containsText" priority="22027" operator="containsText" dxfId="15" text="GERIATRIC">
      <formula>NOT(ISERROR(SEARCH(("GERIATRIC"),(H34))))</formula>
    </cfRule>
    <cfRule type="containsText" priority="22028" operator="containsText" dxfId="17" text="VACATION">
      <formula>NOT(ISERROR(SEARCH(("VACATION"),(H34))))</formula>
    </cfRule>
    <cfRule type="containsText" priority="22029" operator="containsText" dxfId="7" text="PATH">
      <formula>NOT(ISERROR(SEARCH(("PATH"),(H34))))</formula>
    </cfRule>
    <cfRule type="containsText" priority="22030" operator="containsText" dxfId="7" text="NEPHRO">
      <formula>NOT(ISERROR(SEARCH(("NEPHRO"),(H34))))</formula>
    </cfRule>
    <cfRule type="containsText" priority="22031" operator="containsText" dxfId="7" text="PULM">
      <formula>NOT(ISERROR(SEARCH(("PULM"),(H34))))</formula>
    </cfRule>
    <cfRule type="containsText" priority="22032" operator="containsText" dxfId="7" text="RADIOLOGY">
      <formula>NOT(ISERROR(SEARCH(("RADIOLOGY"),(H34))))</formula>
    </cfRule>
    <cfRule type="containsText" priority="22033" operator="containsText" dxfId="7" text="HEM/ONC">
      <formula>NOT(ISERROR(SEARCH(("HEM/ONC"),(H34))))</formula>
    </cfRule>
    <cfRule type="containsText" priority="22034" operator="containsText" dxfId="7" text="CARDIO">
      <formula>NOT(ISERROR(SEARCH(("CARDIO"),(H34))))</formula>
    </cfRule>
    <cfRule type="containsText" priority="22035" operator="containsText" dxfId="7" text="ID">
      <formula>NOT(ISERROR(SEARCH(("ID"),(H34))))</formula>
    </cfRule>
    <cfRule type="containsText" priority="22036" operator="containsText" dxfId="7" text="NEURO">
      <formula>NOT(ISERROR(SEARCH(("NEURO"),(H34))))</formula>
    </cfRule>
    <cfRule type="containsText" priority="22037" operator="containsText" dxfId="6" text="NEURO">
      <formula>NOT(ISERROR(SEARCH(("NEURO"),(H34))))</formula>
    </cfRule>
    <cfRule type="containsText" priority="22038" operator="containsText" dxfId="5" text="NEURO">
      <formula>NOT(ISERROR(SEARCH(("NEURO"),(H34))))</formula>
    </cfRule>
    <cfRule type="containsText" priority="22039" operator="containsText" dxfId="0" text="ICU N">
      <formula>NOT(ISERROR(SEARCH(("ICU N"),(H34))))</formula>
    </cfRule>
    <cfRule type="containsText" priority="22040" operator="containsText" dxfId="3" text="ICU">
      <formula>NOT(ISERROR(SEARCH(("ICU"),(H34))))</formula>
    </cfRule>
    <cfRule type="containsText" priority="22041" operator="containsText" dxfId="0" text="SWING">
      <formula>NOT(ISERROR(SEARCH(("SWING"),(H34))))</formula>
    </cfRule>
    <cfRule type="containsText" priority="22042" operator="containsText" dxfId="0" text="NF">
      <formula>NOT(ISERROR(SEARCH(("NF"),(H34))))</formula>
    </cfRule>
    <cfRule type="containsText" priority="22043" operator="containsText" dxfId="0" text="ICU N">
      <formula>NOT(ISERROR(SEARCH(("ICU N"),(H34))))</formula>
    </cfRule>
  </conditionalFormatting>
  <conditionalFormatting sqref="H35">
    <cfRule type="containsText" priority="21978" operator="containsText" dxfId="17" text="VACATION">
      <formula>NOT(ISERROR(SEARCH(("VACATION"),(H35))))</formula>
    </cfRule>
  </conditionalFormatting>
  <conditionalFormatting sqref="S35">
    <cfRule type="containsText" priority="21976" operator="containsText" dxfId="17" text="VACATION">
      <formula>NOT(ISERROR(SEARCH(("VACATION"),(S35))))</formula>
    </cfRule>
    <cfRule type="containsText" priority="21977" operator="containsText" dxfId="0" text="ICU N">
      <formula>NOT(ISERROR(SEARCH(("ICU N"),(S35))))</formula>
    </cfRule>
  </conditionalFormatting>
  <conditionalFormatting sqref="S35:T35">
    <cfRule type="containsText" priority="21956" operator="containsText" dxfId="17" text="VACATION">
      <formula>NOT(ISERROR(SEARCH(("VACATION"),(S35))))</formula>
    </cfRule>
    <cfRule type="containsText" priority="21957" operator="containsText" dxfId="0" text="ICU N">
      <formula>NOT(ISERROR(SEARCH(("ICU N"),(S35))))</formula>
    </cfRule>
    <cfRule type="containsText" priority="21955" operator="containsText" dxfId="17" text="VACATION">
      <formula>NOT(ISERROR(SEARCH(("VACATION"),(S35))))</formula>
    </cfRule>
    <cfRule type="containsText" priority="21940" operator="containsText" dxfId="7" text="PATH">
      <formula>NOT(ISERROR(SEARCH(("PATH"),(S35))))</formula>
    </cfRule>
    <cfRule type="containsText" priority="21941" operator="containsText" dxfId="7" text="NEPHRO">
      <formula>NOT(ISERROR(SEARCH(("NEPHRO"),(S35))))</formula>
    </cfRule>
    <cfRule type="containsText" priority="21942" operator="containsText" dxfId="7" text="PULM">
      <formula>NOT(ISERROR(SEARCH(("PULM"),(S35))))</formula>
    </cfRule>
    <cfRule type="containsText" priority="21943" operator="containsText" dxfId="7" text="RADIOLOGY">
      <formula>NOT(ISERROR(SEARCH(("RADIOLOGY"),(S35))))</formula>
    </cfRule>
    <cfRule type="containsText" priority="21944" operator="containsText" dxfId="7" text="HEM/ONC">
      <formula>NOT(ISERROR(SEARCH(("HEM/ONC"),(S35))))</formula>
    </cfRule>
    <cfRule type="containsText" priority="21945" operator="containsText" dxfId="7" text="CARDIO">
      <formula>NOT(ISERROR(SEARCH(("CARDIO"),(S35))))</formula>
    </cfRule>
    <cfRule type="containsText" priority="21946" operator="containsText" dxfId="7" text="ID">
      <formula>NOT(ISERROR(SEARCH(("ID"),(S35))))</formula>
    </cfRule>
    <cfRule type="containsText" priority="21947" operator="containsText" dxfId="7" text="NEURO">
      <formula>NOT(ISERROR(SEARCH(("NEURO"),(S35))))</formula>
    </cfRule>
    <cfRule type="containsText" priority="21948" operator="containsText" dxfId="6" text="NEURO">
      <formula>NOT(ISERROR(SEARCH(("NEURO"),(S35))))</formula>
    </cfRule>
    <cfRule type="containsText" priority="21949" operator="containsText" dxfId="5" text="NEURO">
      <formula>NOT(ISERROR(SEARCH(("NEURO"),(S35))))</formula>
    </cfRule>
    <cfRule type="containsText" priority="21950" operator="containsText" dxfId="0" text="ICU N">
      <formula>NOT(ISERROR(SEARCH(("ICU N"),(S35))))</formula>
    </cfRule>
    <cfRule type="containsText" priority="21951" operator="containsText" dxfId="3" text="ICU">
      <formula>NOT(ISERROR(SEARCH(("ICU"),(S35))))</formula>
    </cfRule>
    <cfRule type="containsText" priority="21952" operator="containsText" dxfId="0" text="SWING">
      <formula>NOT(ISERROR(SEARCH(("SWING"),(S35))))</formula>
    </cfRule>
    <cfRule type="containsText" priority="21953" operator="containsText" dxfId="0" text="NF">
      <formula>NOT(ISERROR(SEARCH(("NF"),(S35))))</formula>
    </cfRule>
    <cfRule type="containsText" priority="21954" operator="containsText" dxfId="0" text="ICU N">
      <formula>NOT(ISERROR(SEARCH(("ICU N"),(S35))))</formula>
    </cfRule>
  </conditionalFormatting>
  <conditionalFormatting sqref="W35:X35">
    <cfRule type="containsText" priority="21938" operator="containsText" dxfId="17" text="VACATION">
      <formula>NOT(ISERROR(SEARCH(("VACATION"),(W35))))</formula>
    </cfRule>
    <cfRule type="containsText" priority="21939" operator="containsText" dxfId="0" text="ICU N">
      <formula>NOT(ISERROR(SEARCH(("ICU N"),(W35))))</formula>
    </cfRule>
    <cfRule type="containsText" priority="21937" operator="containsText" dxfId="17" text="VACATION">
      <formula>NOT(ISERROR(SEARCH(("VACATION"),(W35))))</formula>
    </cfRule>
    <cfRule type="containsText" priority="21922" operator="containsText" dxfId="7" text="PATH">
      <formula>NOT(ISERROR(SEARCH(("PATH"),(W35))))</formula>
    </cfRule>
    <cfRule type="containsText" priority="21923" operator="containsText" dxfId="7" text="NEPHRO">
      <formula>NOT(ISERROR(SEARCH(("NEPHRO"),(W35))))</formula>
    </cfRule>
    <cfRule type="containsText" priority="21924" operator="containsText" dxfId="7" text="PULM">
      <formula>NOT(ISERROR(SEARCH(("PULM"),(W35))))</formula>
    </cfRule>
    <cfRule type="containsText" priority="21925" operator="containsText" dxfId="7" text="RADIOLOGY">
      <formula>NOT(ISERROR(SEARCH(("RADIOLOGY"),(W35))))</formula>
    </cfRule>
    <cfRule type="containsText" priority="21926" operator="containsText" dxfId="7" text="HEM/ONC">
      <formula>NOT(ISERROR(SEARCH(("HEM/ONC"),(W35))))</formula>
    </cfRule>
    <cfRule type="containsText" priority="21927" operator="containsText" dxfId="7" text="CARDIO">
      <formula>NOT(ISERROR(SEARCH(("CARDIO"),(W35))))</formula>
    </cfRule>
    <cfRule type="containsText" priority="21928" operator="containsText" dxfId="7" text="ID">
      <formula>NOT(ISERROR(SEARCH(("ID"),(W35))))</formula>
    </cfRule>
    <cfRule type="containsText" priority="21929" operator="containsText" dxfId="7" text="NEURO">
      <formula>NOT(ISERROR(SEARCH(("NEURO"),(W35))))</formula>
    </cfRule>
    <cfRule type="containsText" priority="21930" operator="containsText" dxfId="6" text="NEURO">
      <formula>NOT(ISERROR(SEARCH(("NEURO"),(W35))))</formula>
    </cfRule>
    <cfRule type="containsText" priority="21931" operator="containsText" dxfId="5" text="NEURO">
      <formula>NOT(ISERROR(SEARCH(("NEURO"),(W35))))</formula>
    </cfRule>
    <cfRule type="containsText" priority="21932" operator="containsText" dxfId="0" text="ICU N">
      <formula>NOT(ISERROR(SEARCH(("ICU N"),(W35))))</formula>
    </cfRule>
    <cfRule type="containsText" priority="21933" operator="containsText" dxfId="3" text="ICU">
      <formula>NOT(ISERROR(SEARCH(("ICU"),(W35))))</formula>
    </cfRule>
    <cfRule type="containsText" priority="21934" operator="containsText" dxfId="0" text="SWING">
      <formula>NOT(ISERROR(SEARCH(("SWING"),(W35))))</formula>
    </cfRule>
    <cfRule type="containsText" priority="21935" operator="containsText" dxfId="0" text="NF">
      <formula>NOT(ISERROR(SEARCH(("NF"),(W35))))</formula>
    </cfRule>
    <cfRule type="containsText" priority="21936" operator="containsText" dxfId="0" text="ICU N">
      <formula>NOT(ISERROR(SEARCH(("ICU N"),(W35))))</formula>
    </cfRule>
    <cfRule type="containsText" priority="21920" operator="containsText" dxfId="17" text="VACATION">
      <formula>NOT(ISERROR(SEARCH(("VACATION"),(W35))))</formula>
    </cfRule>
    <cfRule type="containsText" priority="21921" operator="containsText" dxfId="0" text="ICU N">
      <formula>NOT(ISERROR(SEARCH(("ICU N"),(W35))))</formula>
    </cfRule>
    <cfRule type="containsText" priority="21883" operator="containsText" dxfId="17" text="VACATION">
      <formula>NOT(ISERROR(SEARCH(("VACATION"),(W35))))</formula>
    </cfRule>
    <cfRule type="containsText" priority="21884" operator="containsText" dxfId="0" text="ICU N">
      <formula>NOT(ISERROR(SEARCH(("ICU N"),(W35))))</formula>
    </cfRule>
  </conditionalFormatting>
  <conditionalFormatting sqref="AM35">
    <cfRule type="containsText" priority="21918" operator="containsText" dxfId="17" text="VACATION">
      <formula>NOT(ISERROR(SEARCH(("VACATION"),(AM35))))</formula>
    </cfRule>
    <cfRule type="containsText" priority="21919" operator="containsText" dxfId="0" text="ICU N">
      <formula>NOT(ISERROR(SEARCH(("ICU N"),(AM35))))</formula>
    </cfRule>
  </conditionalFormatting>
  <conditionalFormatting sqref="D35">
    <cfRule type="containsText" priority="21900" operator="containsText" dxfId="16" text="ED">
      <formula>NOT(ISERROR(SEARCH(("ED"),(D35))))</formula>
    </cfRule>
    <cfRule type="containsText" priority="21901" operator="containsText" dxfId="15" text="GERIATRIC">
      <formula>NOT(ISERROR(SEARCH(("GERIATRIC"),(D35))))</formula>
    </cfRule>
    <cfRule type="containsText" priority="21902" operator="containsText" dxfId="17" text="VACATION">
      <formula>NOT(ISERROR(SEARCH(("VACATION"),(D35))))</formula>
    </cfRule>
    <cfRule type="containsText" priority="21903" operator="containsText" dxfId="7" text="PATH">
      <formula>NOT(ISERROR(SEARCH(("PATH"),(D35))))</formula>
    </cfRule>
    <cfRule type="containsText" priority="21904" operator="containsText" dxfId="7" text="NEPHRO">
      <formula>NOT(ISERROR(SEARCH(("NEPHRO"),(D35))))</formula>
    </cfRule>
    <cfRule type="containsText" priority="21905" operator="containsText" dxfId="7" text="PULM">
      <formula>NOT(ISERROR(SEARCH(("PULM"),(D35))))</formula>
    </cfRule>
    <cfRule type="containsText" priority="21906" operator="containsText" dxfId="7" text="RADIOLOGY">
      <formula>NOT(ISERROR(SEARCH(("RADIOLOGY"),(D35))))</formula>
    </cfRule>
    <cfRule type="containsText" priority="21907" operator="containsText" dxfId="7" text="HEM/ONC">
      <formula>NOT(ISERROR(SEARCH(("HEM/ONC"),(D35))))</formula>
    </cfRule>
    <cfRule type="containsText" priority="21908" operator="containsText" dxfId="7" text="CARDIO">
      <formula>NOT(ISERROR(SEARCH(("CARDIO"),(D35))))</formula>
    </cfRule>
    <cfRule type="containsText" priority="21909" operator="containsText" dxfId="7" text="ID">
      <formula>NOT(ISERROR(SEARCH(("ID"),(D35))))</formula>
    </cfRule>
    <cfRule type="containsText" priority="21910" operator="containsText" dxfId="7" text="NEURO">
      <formula>NOT(ISERROR(SEARCH(("NEURO"),(D35))))</formula>
    </cfRule>
    <cfRule type="containsText" priority="21911" operator="containsText" dxfId="6" text="NEURO">
      <formula>NOT(ISERROR(SEARCH(("NEURO"),(D35))))</formula>
    </cfRule>
    <cfRule type="containsText" priority="21912" operator="containsText" dxfId="5" text="NEURO">
      <formula>NOT(ISERROR(SEARCH(("NEURO"),(D35))))</formula>
    </cfRule>
    <cfRule type="containsText" priority="21913" operator="containsText" dxfId="0" text="ICU N">
      <formula>NOT(ISERROR(SEARCH(("ICU N"),(D35))))</formula>
    </cfRule>
    <cfRule type="containsText" priority="21914" operator="containsText" dxfId="3" text="ICU">
      <formula>NOT(ISERROR(SEARCH(("ICU"),(D35))))</formula>
    </cfRule>
    <cfRule type="containsText" priority="21915" operator="containsText" dxfId="0" text="SWING">
      <formula>NOT(ISERROR(SEARCH(("SWING"),(D35))))</formula>
    </cfRule>
    <cfRule type="containsText" priority="21916" operator="containsText" dxfId="0" text="NF">
      <formula>NOT(ISERROR(SEARCH(("NF"),(D35))))</formula>
    </cfRule>
    <cfRule type="containsText" priority="21917" operator="containsText" dxfId="0" text="ICU N">
      <formula>NOT(ISERROR(SEARCH(("ICU N"),(D35))))</formula>
    </cfRule>
  </conditionalFormatting>
  <conditionalFormatting sqref="G35">
    <cfRule type="containsText" priority="21885" operator="containsText" dxfId="16" text="ED">
      <formula>NOT(ISERROR(SEARCH(("ED"),(G35))))</formula>
    </cfRule>
    <cfRule type="containsText" priority="21886" operator="containsText" dxfId="15" text="GERIATRIC">
      <formula>NOT(ISERROR(SEARCH(("GERIATRIC"),(G35))))</formula>
    </cfRule>
    <cfRule type="containsText" priority="21887" operator="containsText" dxfId="7" text="PATH">
      <formula>NOT(ISERROR(SEARCH(("PATH"),(G35))))</formula>
    </cfRule>
    <cfRule type="containsText" priority="21888" operator="containsText" dxfId="7" text="NEPHRO">
      <formula>NOT(ISERROR(SEARCH(("NEPHRO"),(G35))))</formula>
    </cfRule>
    <cfRule type="containsText" priority="21889" operator="containsText" dxfId="7" text="PULM">
      <formula>NOT(ISERROR(SEARCH(("PULM"),(G35))))</formula>
    </cfRule>
    <cfRule type="containsText" priority="21890" operator="containsText" dxfId="7" text="RADIOLOGY">
      <formula>NOT(ISERROR(SEARCH(("RADIOLOGY"),(G35))))</formula>
    </cfRule>
    <cfRule type="containsText" priority="21891" operator="containsText" dxfId="7" text="HEM/ONC">
      <formula>NOT(ISERROR(SEARCH(("HEM/ONC"),(G35))))</formula>
    </cfRule>
    <cfRule type="containsText" priority="21892" operator="containsText" dxfId="7" text="CARDIO">
      <formula>NOT(ISERROR(SEARCH(("CARDIO"),(G35))))</formula>
    </cfRule>
    <cfRule type="containsText" priority="21893" operator="containsText" dxfId="7" text="ID">
      <formula>NOT(ISERROR(SEARCH(("ID"),(G35))))</formula>
    </cfRule>
    <cfRule type="containsText" priority="21894" operator="containsText" dxfId="7" text="NEURO">
      <formula>NOT(ISERROR(SEARCH(("NEURO"),(G35))))</formula>
    </cfRule>
    <cfRule type="containsText" priority="21895" operator="containsText" dxfId="6" text="NEURO">
      <formula>NOT(ISERROR(SEARCH(("NEURO"),(G35))))</formula>
    </cfRule>
    <cfRule type="containsText" priority="21896" operator="containsText" dxfId="5" text="NEURO">
      <formula>NOT(ISERROR(SEARCH(("NEURO"),(G35))))</formula>
    </cfRule>
    <cfRule type="containsText" priority="21897" operator="containsText" dxfId="3" text="ICU">
      <formula>NOT(ISERROR(SEARCH(("ICU"),(G35))))</formula>
    </cfRule>
    <cfRule type="containsText" priority="21898" operator="containsText" dxfId="0" text="SWING">
      <formula>NOT(ISERROR(SEARCH(("SWING"),(G35))))</formula>
    </cfRule>
    <cfRule type="containsText" priority="21899" operator="containsText" dxfId="0" text="NF">
      <formula>NOT(ISERROR(SEARCH(("NF"),(G35))))</formula>
    </cfRule>
    <cfRule type="containsText" priority="21859" operator="containsText" dxfId="17" text="VACATION">
      <formula>NOT(ISERROR(SEARCH(("VACATION"),(G35))))</formula>
    </cfRule>
  </conditionalFormatting>
  <conditionalFormatting sqref="Q35">
    <cfRule type="containsText" priority="21881" operator="containsText" dxfId="17" text="VACATION">
      <formula>NOT(ISERROR(SEARCH(("VACATION"),(Q35))))</formula>
    </cfRule>
    <cfRule type="containsText" priority="21882" operator="containsText" dxfId="0" text="ICU N">
      <formula>NOT(ISERROR(SEARCH(("ICU N"),(Q35))))</formula>
    </cfRule>
  </conditionalFormatting>
  <conditionalFormatting sqref="R35">
    <cfRule type="containsText" priority="21863" operator="containsText" dxfId="16" text="ED">
      <formula>NOT(ISERROR(SEARCH(("ED"),(R35))))</formula>
    </cfRule>
    <cfRule type="containsText" priority="21864" operator="containsText" dxfId="15" text="GERIATRIC">
      <formula>NOT(ISERROR(SEARCH(("GERIATRIC"),(R35))))</formula>
    </cfRule>
    <cfRule type="containsText" priority="21865" operator="containsText" dxfId="17" text="VACATION">
      <formula>NOT(ISERROR(SEARCH(("VACATION"),(R35))))</formula>
    </cfRule>
    <cfRule type="containsText" priority="21866" operator="containsText" dxfId="7" text="PATH">
      <formula>NOT(ISERROR(SEARCH(("PATH"),(R35))))</formula>
    </cfRule>
    <cfRule type="containsText" priority="21867" operator="containsText" dxfId="7" text="NEPHRO">
      <formula>NOT(ISERROR(SEARCH(("NEPHRO"),(R35))))</formula>
    </cfRule>
    <cfRule type="containsText" priority="21868" operator="containsText" dxfId="7" text="PULM">
      <formula>NOT(ISERROR(SEARCH(("PULM"),(R35))))</formula>
    </cfRule>
    <cfRule type="containsText" priority="21869" operator="containsText" dxfId="7" text="RADIOLOGY">
      <formula>NOT(ISERROR(SEARCH(("RADIOLOGY"),(R35))))</formula>
    </cfRule>
    <cfRule type="containsText" priority="21870" operator="containsText" dxfId="7" text="HEM/ONC">
      <formula>NOT(ISERROR(SEARCH(("HEM/ONC"),(R35))))</formula>
    </cfRule>
    <cfRule type="containsText" priority="21871" operator="containsText" dxfId="7" text="CARDIO">
      <formula>NOT(ISERROR(SEARCH(("CARDIO"),(R35))))</formula>
    </cfRule>
    <cfRule type="containsText" priority="21872" operator="containsText" dxfId="7" text="ID">
      <formula>NOT(ISERROR(SEARCH(("ID"),(R35))))</formula>
    </cfRule>
    <cfRule type="containsText" priority="21873" operator="containsText" dxfId="7" text="NEURO">
      <formula>NOT(ISERROR(SEARCH(("NEURO"),(R35))))</formula>
    </cfRule>
    <cfRule type="containsText" priority="21874" operator="containsText" dxfId="6" text="NEURO">
      <formula>NOT(ISERROR(SEARCH(("NEURO"),(R35))))</formula>
    </cfRule>
    <cfRule type="containsText" priority="21875" operator="containsText" dxfId="5" text="NEURO">
      <formula>NOT(ISERROR(SEARCH(("NEURO"),(R35))))</formula>
    </cfRule>
    <cfRule type="containsText" priority="21876" operator="containsText" dxfId="0" text="ICU N">
      <formula>NOT(ISERROR(SEARCH(("ICU N"),(R35))))</formula>
    </cfRule>
    <cfRule type="containsText" priority="21877" operator="containsText" dxfId="3" text="ICU">
      <formula>NOT(ISERROR(SEARCH(("ICU"),(R35))))</formula>
    </cfRule>
    <cfRule type="containsText" priority="21878" operator="containsText" dxfId="0" text="SWING">
      <formula>NOT(ISERROR(SEARCH(("SWING"),(R35))))</formula>
    </cfRule>
    <cfRule type="containsText" priority="21879" operator="containsText" dxfId="0" text="NF">
      <formula>NOT(ISERROR(SEARCH(("NF"),(R35))))</formula>
    </cfRule>
    <cfRule type="containsText" priority="21880" operator="containsText" dxfId="0" text="ICU N">
      <formula>NOT(ISERROR(SEARCH(("ICU N"),(R35))))</formula>
    </cfRule>
  </conditionalFormatting>
  <conditionalFormatting sqref="V35">
    <cfRule type="containsText" priority="21860" operator="containsText" dxfId="16" text="ED">
      <formula>NOT(ISERROR(SEARCH(("ED"),(V35))))</formula>
    </cfRule>
    <cfRule type="containsText" priority="21861" operator="containsText" dxfId="17" text="VACATION">
      <formula>NOT(ISERROR(SEARCH(("VACATION"),(V35))))</formula>
    </cfRule>
    <cfRule type="containsText" priority="21862" operator="containsText" dxfId="0" text="ICU N">
      <formula>NOT(ISERROR(SEARCH(("ICU N"),(V35))))</formula>
    </cfRule>
  </conditionalFormatting>
  <conditionalFormatting sqref="H43">
    <cfRule type="containsText" priority="21728" operator="containsText" dxfId="17" text="VACATION">
      <formula>NOT(ISERROR(SEARCH(("VACATION"),(H43))))</formula>
    </cfRule>
    <cfRule type="containsText" priority="21729" operator="containsText" dxfId="0" text="ICU N">
      <formula>NOT(ISERROR(SEARCH(("ICU N"),(H43))))</formula>
    </cfRule>
    <cfRule type="containsText" priority="21727" operator="containsText" dxfId="17" text="VACATION">
      <formula>NOT(ISERROR(SEARCH(("VACATION"),(H43))))</formula>
    </cfRule>
  </conditionalFormatting>
  <conditionalFormatting sqref="W43">
    <cfRule type="containsText" priority="21687" operator="containsText" dxfId="17" text="VACATION">
      <formula>NOT(ISERROR(SEARCH(("VACATION"),(W43))))</formula>
    </cfRule>
    <cfRule type="containsText" priority="21688" operator="containsText" dxfId="0" text="ICU N">
      <formula>NOT(ISERROR(SEARCH(("ICU N"),(W43))))</formula>
    </cfRule>
    <cfRule type="containsText" priority="21686" operator="containsText" dxfId="17" text="VACATION">
      <formula>NOT(ISERROR(SEARCH(("VACATION"),(W43))))</formula>
    </cfRule>
    <cfRule type="containsText" priority="21671" operator="containsText" dxfId="7" text="PATH">
      <formula>NOT(ISERROR(SEARCH(("PATH"),(W43))))</formula>
    </cfRule>
    <cfRule type="containsText" priority="21672" operator="containsText" dxfId="7" text="NEPHRO">
      <formula>NOT(ISERROR(SEARCH(("NEPHRO"),(W43))))</formula>
    </cfRule>
    <cfRule type="containsText" priority="21673" operator="containsText" dxfId="7" text="PULM">
      <formula>NOT(ISERROR(SEARCH(("PULM"),(W43))))</formula>
    </cfRule>
    <cfRule type="containsText" priority="21674" operator="containsText" dxfId="7" text="RADIOLOGY">
      <formula>NOT(ISERROR(SEARCH(("RADIOLOGY"),(W43))))</formula>
    </cfRule>
    <cfRule type="containsText" priority="21675" operator="containsText" dxfId="7" text="HEM/ONC">
      <formula>NOT(ISERROR(SEARCH(("HEM/ONC"),(W43))))</formula>
    </cfRule>
    <cfRule type="containsText" priority="21676" operator="containsText" dxfId="7" text="CARDIO">
      <formula>NOT(ISERROR(SEARCH(("CARDIO"),(W43))))</formula>
    </cfRule>
    <cfRule type="containsText" priority="21677" operator="containsText" dxfId="7" text="ID">
      <formula>NOT(ISERROR(SEARCH(("ID"),(W43))))</formula>
    </cfRule>
    <cfRule type="containsText" priority="21678" operator="containsText" dxfId="7" text="NEURO">
      <formula>NOT(ISERROR(SEARCH(("NEURO"),(W43))))</formula>
    </cfRule>
    <cfRule type="containsText" priority="21679" operator="containsText" dxfId="6" text="NEURO">
      <formula>NOT(ISERROR(SEARCH(("NEURO"),(W43))))</formula>
    </cfRule>
    <cfRule type="containsText" priority="21680" operator="containsText" dxfId="5" text="NEURO">
      <formula>NOT(ISERROR(SEARCH(("NEURO"),(W43))))</formula>
    </cfRule>
    <cfRule type="containsText" priority="21681" operator="containsText" dxfId="0" text="ICU N">
      <formula>NOT(ISERROR(SEARCH(("ICU N"),(W43))))</formula>
    </cfRule>
    <cfRule type="containsText" priority="21682" operator="containsText" dxfId="3" text="ICU">
      <formula>NOT(ISERROR(SEARCH(("ICU"),(W43))))</formula>
    </cfRule>
    <cfRule type="containsText" priority="21683" operator="containsText" dxfId="0" text="SWING">
      <formula>NOT(ISERROR(SEARCH(("SWING"),(W43))))</formula>
    </cfRule>
    <cfRule type="containsText" priority="21684" operator="containsText" dxfId="0" text="NF">
      <formula>NOT(ISERROR(SEARCH(("NF"),(W43))))</formula>
    </cfRule>
    <cfRule type="containsText" priority="21685" operator="containsText" dxfId="0" text="ICU N">
      <formula>NOT(ISERROR(SEARCH(("ICU N"),(W43))))</formula>
    </cfRule>
    <cfRule type="containsText" priority="21669" operator="containsText" dxfId="17" text="VACATION">
      <formula>NOT(ISERROR(SEARCH(("VACATION"),(W43))))</formula>
    </cfRule>
    <cfRule type="containsText" priority="21670" operator="containsText" dxfId="0" text="ICU N">
      <formula>NOT(ISERROR(SEARCH(("ICU N"),(W43))))</formula>
    </cfRule>
    <cfRule type="containsText" priority="21632" operator="containsText" dxfId="17" text="VACATION">
      <formula>NOT(ISERROR(SEARCH(("VACATION"),(W43))))</formula>
    </cfRule>
    <cfRule type="containsText" priority="21633" operator="containsText" dxfId="0" text="ICU N">
      <formula>NOT(ISERROR(SEARCH(("ICU N"),(W43))))</formula>
    </cfRule>
  </conditionalFormatting>
  <conditionalFormatting sqref="D43">
    <cfRule type="containsText" priority="21649" operator="containsText" dxfId="16" text="ED">
      <formula>NOT(ISERROR(SEARCH(("ED"),(D43))))</formula>
    </cfRule>
    <cfRule type="containsText" priority="21650" operator="containsText" dxfId="15" text="GERIATRIC">
      <formula>NOT(ISERROR(SEARCH(("GERIATRIC"),(D43))))</formula>
    </cfRule>
    <cfRule type="containsText" priority="21651" operator="containsText" dxfId="17" text="VACATION">
      <formula>NOT(ISERROR(SEARCH(("VACATION"),(D43))))</formula>
    </cfRule>
    <cfRule type="containsText" priority="21652" operator="containsText" dxfId="7" text="PATH">
      <formula>NOT(ISERROR(SEARCH(("PATH"),(D43))))</formula>
    </cfRule>
    <cfRule type="containsText" priority="21653" operator="containsText" dxfId="7" text="NEPHRO">
      <formula>NOT(ISERROR(SEARCH(("NEPHRO"),(D43))))</formula>
    </cfRule>
    <cfRule type="containsText" priority="21654" operator="containsText" dxfId="7" text="PULM">
      <formula>NOT(ISERROR(SEARCH(("PULM"),(D43))))</formula>
    </cfRule>
    <cfRule type="containsText" priority="21655" operator="containsText" dxfId="7" text="RADIOLOGY">
      <formula>NOT(ISERROR(SEARCH(("RADIOLOGY"),(D43))))</formula>
    </cfRule>
    <cfRule type="containsText" priority="21656" operator="containsText" dxfId="7" text="HEM/ONC">
      <formula>NOT(ISERROR(SEARCH(("HEM/ONC"),(D43))))</formula>
    </cfRule>
    <cfRule type="containsText" priority="21657" operator="containsText" dxfId="7" text="CARDIO">
      <formula>NOT(ISERROR(SEARCH(("CARDIO"),(D43))))</formula>
    </cfRule>
    <cfRule type="containsText" priority="21658" operator="containsText" dxfId="7" text="ID">
      <formula>NOT(ISERROR(SEARCH(("ID"),(D43))))</formula>
    </cfRule>
    <cfRule type="containsText" priority="21659" operator="containsText" dxfId="7" text="NEURO">
      <formula>NOT(ISERROR(SEARCH(("NEURO"),(D43))))</formula>
    </cfRule>
    <cfRule type="containsText" priority="21660" operator="containsText" dxfId="6" text="NEURO">
      <formula>NOT(ISERROR(SEARCH(("NEURO"),(D43))))</formula>
    </cfRule>
    <cfRule type="containsText" priority="21661" operator="containsText" dxfId="5" text="NEURO">
      <formula>NOT(ISERROR(SEARCH(("NEURO"),(D43))))</formula>
    </cfRule>
    <cfRule type="containsText" priority="21662" operator="containsText" dxfId="0" text="ICU N">
      <formula>NOT(ISERROR(SEARCH(("ICU N"),(D43))))</formula>
    </cfRule>
    <cfRule type="containsText" priority="21663" operator="containsText" dxfId="3" text="ICU">
      <formula>NOT(ISERROR(SEARCH(("ICU"),(D43))))</formula>
    </cfRule>
    <cfRule type="containsText" priority="21664" operator="containsText" dxfId="0" text="SWING">
      <formula>NOT(ISERROR(SEARCH(("SWING"),(D43))))</formula>
    </cfRule>
    <cfRule type="containsText" priority="21665" operator="containsText" dxfId="0" text="NF">
      <formula>NOT(ISERROR(SEARCH(("NF"),(D43))))</formula>
    </cfRule>
    <cfRule type="containsText" priority="21666" operator="containsText" dxfId="0" text="ICU N">
      <formula>NOT(ISERROR(SEARCH(("ICU N"),(D43))))</formula>
    </cfRule>
    <cfRule type="containsText" priority="20758" operator="containsText" dxfId="16" text="ED">
      <formula>NOT(ISERROR(SEARCH(("ED"),(D43))))</formula>
    </cfRule>
    <cfRule type="containsText" priority="20759" operator="containsText" dxfId="15" text="GERIATRIC">
      <formula>NOT(ISERROR(SEARCH(("GERIATRIC"),(D43))))</formula>
    </cfRule>
    <cfRule type="containsText" priority="20760" operator="containsText" dxfId="17" text="VACATION">
      <formula>NOT(ISERROR(SEARCH(("VACATION"),(D43))))</formula>
    </cfRule>
    <cfRule type="containsText" priority="20761" operator="containsText" dxfId="7" text="PATH">
      <formula>NOT(ISERROR(SEARCH(("PATH"),(D43))))</formula>
    </cfRule>
    <cfRule type="containsText" priority="20762" operator="containsText" dxfId="7" text="NEPHRO">
      <formula>NOT(ISERROR(SEARCH(("NEPHRO"),(D43))))</formula>
    </cfRule>
    <cfRule type="containsText" priority="20763" operator="containsText" dxfId="7" text="PULM">
      <formula>NOT(ISERROR(SEARCH(("PULM"),(D43))))</formula>
    </cfRule>
    <cfRule type="containsText" priority="20764" operator="containsText" dxfId="7" text="RADIOLOGY">
      <formula>NOT(ISERROR(SEARCH(("RADIOLOGY"),(D43))))</formula>
    </cfRule>
    <cfRule type="containsText" priority="20765" operator="containsText" dxfId="7" text="HEM/ONC">
      <formula>NOT(ISERROR(SEARCH(("HEM/ONC"),(D43))))</formula>
    </cfRule>
    <cfRule type="containsText" priority="20766" operator="containsText" dxfId="7" text="CARDIO">
      <formula>NOT(ISERROR(SEARCH(("CARDIO"),(D43))))</formula>
    </cfRule>
    <cfRule type="containsText" priority="20767" operator="containsText" dxfId="7" text="ID">
      <formula>NOT(ISERROR(SEARCH(("ID"),(D43))))</formula>
    </cfRule>
    <cfRule type="containsText" priority="20768" operator="containsText" dxfId="7" text="NEURO">
      <formula>NOT(ISERROR(SEARCH(("NEURO"),(D43))))</formula>
    </cfRule>
    <cfRule type="containsText" priority="20769" operator="containsText" dxfId="6" text="NEURO">
      <formula>NOT(ISERROR(SEARCH(("NEURO"),(D43))))</formula>
    </cfRule>
    <cfRule type="containsText" priority="20770" operator="containsText" dxfId="5" text="NEURO">
      <formula>NOT(ISERROR(SEARCH(("NEURO"),(D43))))</formula>
    </cfRule>
    <cfRule type="containsText" priority="20771" operator="containsText" dxfId="0" text="ICU N">
      <formula>NOT(ISERROR(SEARCH(("ICU N"),(D43))))</formula>
    </cfRule>
    <cfRule type="containsText" priority="20772" operator="containsText" dxfId="3" text="ICU">
      <formula>NOT(ISERROR(SEARCH(("ICU"),(D43))))</formula>
    </cfRule>
    <cfRule type="containsText" priority="20773" operator="containsText" dxfId="0" text="SWING">
      <formula>NOT(ISERROR(SEARCH(("SWING"),(D43))))</formula>
    </cfRule>
    <cfRule type="containsText" priority="20774" operator="containsText" dxfId="0" text="NF">
      <formula>NOT(ISERROR(SEARCH(("NF"),(D43))))</formula>
    </cfRule>
    <cfRule type="containsText" priority="20775" operator="containsText" dxfId="0" text="ICU N">
      <formula>NOT(ISERROR(SEARCH(("ICU N"),(D43))))</formula>
    </cfRule>
  </conditionalFormatting>
  <conditionalFormatting sqref="Q43">
    <cfRule type="containsText" priority="21630" operator="containsText" dxfId="17" text="VACATION">
      <formula>NOT(ISERROR(SEARCH(("VACATION"),(Q43))))</formula>
    </cfRule>
    <cfRule type="containsText" priority="21631" operator="containsText" dxfId="0" text="ICU N">
      <formula>NOT(ISERROR(SEARCH(("ICU N"),(Q43))))</formula>
    </cfRule>
  </conditionalFormatting>
  <conditionalFormatting sqref="J42">
    <cfRule type="containsText" priority="21588" operator="containsText" dxfId="17" text="VACATION">
      <formula>NOT(ISERROR(SEARCH(("VACATION"),(J42))))</formula>
    </cfRule>
    <cfRule type="containsText" priority="21589" operator="containsText" dxfId="0" text="ICU N">
      <formula>NOT(ISERROR(SEARCH(("ICU N"),(J42))))</formula>
    </cfRule>
    <cfRule type="containsText" priority="21542" operator="containsText" dxfId="17" text="VACATION">
      <formula>NOT(ISERROR(SEARCH(("VACATION"),(J42))))</formula>
    </cfRule>
    <cfRule type="containsText" priority="21543" operator="containsText" dxfId="0" text="ICU N">
      <formula>NOT(ISERROR(SEARCH(("ICU N"),(J42))))</formula>
    </cfRule>
    <cfRule type="containsText" priority="21541" operator="containsText" dxfId="17" text="VACATION">
      <formula>NOT(ISERROR(SEARCH(("VACATION"),(J42))))</formula>
    </cfRule>
    <cfRule type="containsText" priority="21526" operator="containsText" dxfId="7" text="PATH">
      <formula>NOT(ISERROR(SEARCH(("PATH"),(J42))))</formula>
    </cfRule>
    <cfRule type="containsText" priority="21527" operator="containsText" dxfId="7" text="NEPHRO">
      <formula>NOT(ISERROR(SEARCH(("NEPHRO"),(J42))))</formula>
    </cfRule>
    <cfRule type="containsText" priority="21528" operator="containsText" dxfId="7" text="PULM">
      <formula>NOT(ISERROR(SEARCH(("PULM"),(J42))))</formula>
    </cfRule>
    <cfRule type="containsText" priority="21529" operator="containsText" dxfId="7" text="RADIOLOGY">
      <formula>NOT(ISERROR(SEARCH(("RADIOLOGY"),(J42))))</formula>
    </cfRule>
    <cfRule type="containsText" priority="21530" operator="containsText" dxfId="7" text="HEM/ONC">
      <formula>NOT(ISERROR(SEARCH(("HEM/ONC"),(J42))))</formula>
    </cfRule>
    <cfRule type="containsText" priority="21531" operator="containsText" dxfId="7" text="CARDIO">
      <formula>NOT(ISERROR(SEARCH(("CARDIO"),(J42))))</formula>
    </cfRule>
    <cfRule type="containsText" priority="21532" operator="containsText" dxfId="7" text="ID">
      <formula>NOT(ISERROR(SEARCH(("ID"),(J42))))</formula>
    </cfRule>
    <cfRule type="containsText" priority="21533" operator="containsText" dxfId="7" text="NEURO">
      <formula>NOT(ISERROR(SEARCH(("NEURO"),(J42))))</formula>
    </cfRule>
    <cfRule type="containsText" priority="21534" operator="containsText" dxfId="6" text="NEURO">
      <formula>NOT(ISERROR(SEARCH(("NEURO"),(J42))))</formula>
    </cfRule>
    <cfRule type="containsText" priority="21535" operator="containsText" dxfId="5" text="NEURO">
      <formula>NOT(ISERROR(SEARCH(("NEURO"),(J42))))</formula>
    </cfRule>
    <cfRule type="containsText" priority="21536" operator="containsText" dxfId="0" text="ICU N">
      <formula>NOT(ISERROR(SEARCH(("ICU N"),(J42))))</formula>
    </cfRule>
    <cfRule type="containsText" priority="21537" operator="containsText" dxfId="3" text="ICU">
      <formula>NOT(ISERROR(SEARCH(("ICU"),(J42))))</formula>
    </cfRule>
    <cfRule type="containsText" priority="21538" operator="containsText" dxfId="0" text="SWING">
      <formula>NOT(ISERROR(SEARCH(("SWING"),(J42))))</formula>
    </cfRule>
    <cfRule type="containsText" priority="21539" operator="containsText" dxfId="0" text="NF">
      <formula>NOT(ISERROR(SEARCH(("NF"),(J42))))</formula>
    </cfRule>
    <cfRule type="containsText" priority="21540" operator="containsText" dxfId="0" text="ICU N">
      <formula>NOT(ISERROR(SEARCH(("ICU N"),(J42))))</formula>
    </cfRule>
    <cfRule type="containsText" priority="21486" operator="containsText" dxfId="17" text="VACATION">
      <formula>NOT(ISERROR(SEARCH(("VACATION"),(J42))))</formula>
    </cfRule>
    <cfRule type="containsText" priority="21487" operator="containsText" dxfId="0" text="ICU N">
      <formula>NOT(ISERROR(SEARCH(("ICU N"),(J42))))</formula>
    </cfRule>
    <cfRule type="containsText" priority="21485" operator="containsText" dxfId="17" text="VACATION">
      <formula>NOT(ISERROR(SEARCH(("VACATION"),(J42))))</formula>
    </cfRule>
  </conditionalFormatting>
  <conditionalFormatting sqref="C42">
    <cfRule type="containsText" priority="21570" operator="containsText" dxfId="16" text="ED">
      <formula>NOT(ISERROR(SEARCH(("ED"),(C42))))</formula>
    </cfRule>
    <cfRule type="containsText" priority="21571" operator="containsText" dxfId="15" text="GERIATRIC">
      <formula>NOT(ISERROR(SEARCH(("GERIATRIC"),(C42))))</formula>
    </cfRule>
    <cfRule type="containsText" priority="21572" operator="containsText" dxfId="17" text="VACATION">
      <formula>NOT(ISERROR(SEARCH(("VACATION"),(C42))))</formula>
    </cfRule>
    <cfRule type="containsText" priority="21573" operator="containsText" dxfId="7" text="PATH">
      <formula>NOT(ISERROR(SEARCH(("PATH"),(C42))))</formula>
    </cfRule>
    <cfRule type="containsText" priority="21574" operator="containsText" dxfId="7" text="NEPHRO">
      <formula>NOT(ISERROR(SEARCH(("NEPHRO"),(C42))))</formula>
    </cfRule>
    <cfRule type="containsText" priority="21575" operator="containsText" dxfId="7" text="PULM">
      <formula>NOT(ISERROR(SEARCH(("PULM"),(C42))))</formula>
    </cfRule>
    <cfRule type="containsText" priority="21576" operator="containsText" dxfId="7" text="RADIOLOGY">
      <formula>NOT(ISERROR(SEARCH(("RADIOLOGY"),(C42))))</formula>
    </cfRule>
    <cfRule type="containsText" priority="21577" operator="containsText" dxfId="7" text="HEM/ONC">
      <formula>NOT(ISERROR(SEARCH(("HEM/ONC"),(C42))))</formula>
    </cfRule>
    <cfRule type="containsText" priority="21578" operator="containsText" dxfId="7" text="CARDIO">
      <formula>NOT(ISERROR(SEARCH(("CARDIO"),(C42))))</formula>
    </cfRule>
    <cfRule type="containsText" priority="21579" operator="containsText" dxfId="7" text="ID">
      <formula>NOT(ISERROR(SEARCH(("ID"),(C42))))</formula>
    </cfRule>
    <cfRule type="containsText" priority="21580" operator="containsText" dxfId="7" text="NEURO">
      <formula>NOT(ISERROR(SEARCH(("NEURO"),(C42))))</formula>
    </cfRule>
    <cfRule type="containsText" priority="21581" operator="containsText" dxfId="6" text="NEURO">
      <formula>NOT(ISERROR(SEARCH(("NEURO"),(C42))))</formula>
    </cfRule>
    <cfRule type="containsText" priority="21582" operator="containsText" dxfId="5" text="NEURO">
      <formula>NOT(ISERROR(SEARCH(("NEURO"),(C42))))</formula>
    </cfRule>
    <cfRule type="containsText" priority="21583" operator="containsText" dxfId="0" text="ICU N">
      <formula>NOT(ISERROR(SEARCH(("ICU N"),(C42))))</formula>
    </cfRule>
    <cfRule type="containsText" priority="21584" operator="containsText" dxfId="3" text="ICU">
      <formula>NOT(ISERROR(SEARCH(("ICU"),(C42))))</formula>
    </cfRule>
    <cfRule type="containsText" priority="21585" operator="containsText" dxfId="0" text="SWING">
      <formula>NOT(ISERROR(SEARCH(("SWING"),(C42))))</formula>
    </cfRule>
    <cfRule type="containsText" priority="21586" operator="containsText" dxfId="0" text="NF">
      <formula>NOT(ISERROR(SEARCH(("NF"),(C42))))</formula>
    </cfRule>
    <cfRule type="containsText" priority="21587" operator="containsText" dxfId="0" text="ICU N">
      <formula>NOT(ISERROR(SEARCH(("ICU N"),(C42))))</formula>
    </cfRule>
  </conditionalFormatting>
  <conditionalFormatting sqref="H42">
    <cfRule type="containsText" priority="21552" operator="containsText" dxfId="16" text="ED">
      <formula>NOT(ISERROR(SEARCH(("ED"),(H42))))</formula>
    </cfRule>
    <cfRule type="containsText" priority="21553" operator="containsText" dxfId="15" text="GERIATRIC">
      <formula>NOT(ISERROR(SEARCH(("GERIATRIC"),(H42))))</formula>
    </cfRule>
    <cfRule type="containsText" priority="21554" operator="containsText" dxfId="17" text="VACATION">
      <formula>NOT(ISERROR(SEARCH(("VACATION"),(H42))))</formula>
    </cfRule>
    <cfRule type="containsText" priority="21555" operator="containsText" dxfId="7" text="PATH">
      <formula>NOT(ISERROR(SEARCH(("PATH"),(H42))))</formula>
    </cfRule>
    <cfRule type="containsText" priority="21556" operator="containsText" dxfId="7" text="NEPHRO">
      <formula>NOT(ISERROR(SEARCH(("NEPHRO"),(H42))))</formula>
    </cfRule>
    <cfRule type="containsText" priority="21557" operator="containsText" dxfId="7" text="PULM">
      <formula>NOT(ISERROR(SEARCH(("PULM"),(H42))))</formula>
    </cfRule>
    <cfRule type="containsText" priority="21558" operator="containsText" dxfId="7" text="RADIOLOGY">
      <formula>NOT(ISERROR(SEARCH(("RADIOLOGY"),(H42))))</formula>
    </cfRule>
    <cfRule type="containsText" priority="21559" operator="containsText" dxfId="7" text="HEM/ONC">
      <formula>NOT(ISERROR(SEARCH(("HEM/ONC"),(H42))))</formula>
    </cfRule>
    <cfRule type="containsText" priority="21560" operator="containsText" dxfId="7" text="CARDIO">
      <formula>NOT(ISERROR(SEARCH(("CARDIO"),(H42))))</formula>
    </cfRule>
    <cfRule type="containsText" priority="21561" operator="containsText" dxfId="7" text="ID">
      <formula>NOT(ISERROR(SEARCH(("ID"),(H42))))</formula>
    </cfRule>
    <cfRule type="containsText" priority="21562" operator="containsText" dxfId="7" text="NEURO">
      <formula>NOT(ISERROR(SEARCH(("NEURO"),(H42))))</formula>
    </cfRule>
    <cfRule type="containsText" priority="21563" operator="containsText" dxfId="6" text="NEURO">
      <formula>NOT(ISERROR(SEARCH(("NEURO"),(H42))))</formula>
    </cfRule>
    <cfRule type="containsText" priority="21564" operator="containsText" dxfId="5" text="NEURO">
      <formula>NOT(ISERROR(SEARCH(("NEURO"),(H42))))</formula>
    </cfRule>
    <cfRule type="containsText" priority="21565" operator="containsText" dxfId="0" text="ICU N">
      <formula>NOT(ISERROR(SEARCH(("ICU N"),(H42))))</formula>
    </cfRule>
    <cfRule type="containsText" priority="21566" operator="containsText" dxfId="3" text="ICU">
      <formula>NOT(ISERROR(SEARCH(("ICU"),(H42))))</formula>
    </cfRule>
    <cfRule type="containsText" priority="21567" operator="containsText" dxfId="0" text="SWING">
      <formula>NOT(ISERROR(SEARCH(("SWING"),(H42))))</formula>
    </cfRule>
    <cfRule type="containsText" priority="21568" operator="containsText" dxfId="0" text="NF">
      <formula>NOT(ISERROR(SEARCH(("NF"),(H42))))</formula>
    </cfRule>
    <cfRule type="containsText" priority="21569" operator="containsText" dxfId="0" text="ICU N">
      <formula>NOT(ISERROR(SEARCH(("ICU N"),(H42))))</formula>
    </cfRule>
  </conditionalFormatting>
  <conditionalFormatting sqref="Z42">
    <cfRule type="containsText" priority="21548" operator="containsText" dxfId="17" text="VACATION">
      <formula>NOT(ISERROR(SEARCH(("VACATION"),(Z42))))</formula>
    </cfRule>
    <cfRule type="containsText" priority="21549" operator="containsText" dxfId="0" text="ICU N">
      <formula>NOT(ISERROR(SEARCH(("ICU N"),(Z42))))</formula>
    </cfRule>
  </conditionalFormatting>
  <conditionalFormatting sqref="Z42:AB42">
    <cfRule type="containsText" priority="21506" operator="containsText" dxfId="17" text="VACATION">
      <formula>NOT(ISERROR(SEARCH(("VACATION"),(Z42))))</formula>
    </cfRule>
    <cfRule type="containsText" priority="21507" operator="containsText" dxfId="0" text="ICU N">
      <formula>NOT(ISERROR(SEARCH(("ICU N"),(Z42))))</formula>
    </cfRule>
    <cfRule type="containsText" priority="21505" operator="containsText" dxfId="17" text="VACATION">
      <formula>NOT(ISERROR(SEARCH(("VACATION"),(Z42))))</formula>
    </cfRule>
    <cfRule type="containsText" priority="21490" operator="containsText" dxfId="7" text="PATH">
      <formula>NOT(ISERROR(SEARCH(("PATH"),(Z42))))</formula>
    </cfRule>
    <cfRule type="containsText" priority="21491" operator="containsText" dxfId="7" text="NEPHRO">
      <formula>NOT(ISERROR(SEARCH(("NEPHRO"),(Z42))))</formula>
    </cfRule>
    <cfRule type="containsText" priority="21492" operator="containsText" dxfId="7" text="PULM">
      <formula>NOT(ISERROR(SEARCH(("PULM"),(Z42))))</formula>
    </cfRule>
    <cfRule type="containsText" priority="21493" operator="containsText" dxfId="7" text="RADIOLOGY">
      <formula>NOT(ISERROR(SEARCH(("RADIOLOGY"),(Z42))))</formula>
    </cfRule>
    <cfRule type="containsText" priority="21494" operator="containsText" dxfId="7" text="HEM/ONC">
      <formula>NOT(ISERROR(SEARCH(("HEM/ONC"),(Z42))))</formula>
    </cfRule>
    <cfRule type="containsText" priority="21495" operator="containsText" dxfId="7" text="CARDIO">
      <formula>NOT(ISERROR(SEARCH(("CARDIO"),(Z42))))</formula>
    </cfRule>
    <cfRule type="containsText" priority="21496" operator="containsText" dxfId="7" text="ID">
      <formula>NOT(ISERROR(SEARCH(("ID"),(Z42))))</formula>
    </cfRule>
    <cfRule type="containsText" priority="21497" operator="containsText" dxfId="7" text="NEURO">
      <formula>NOT(ISERROR(SEARCH(("NEURO"),(Z42))))</formula>
    </cfRule>
    <cfRule type="containsText" priority="21498" operator="containsText" dxfId="6" text="NEURO">
      <formula>NOT(ISERROR(SEARCH(("NEURO"),(Z42))))</formula>
    </cfRule>
    <cfRule type="containsText" priority="21499" operator="containsText" dxfId="5" text="NEURO">
      <formula>NOT(ISERROR(SEARCH(("NEURO"),(Z42))))</formula>
    </cfRule>
    <cfRule type="containsText" priority="21500" operator="containsText" dxfId="0" text="ICU N">
      <formula>NOT(ISERROR(SEARCH(("ICU N"),(Z42))))</formula>
    </cfRule>
    <cfRule type="containsText" priority="21501" operator="containsText" dxfId="3" text="ICU">
      <formula>NOT(ISERROR(SEARCH(("ICU"),(Z42))))</formula>
    </cfRule>
    <cfRule type="containsText" priority="21502" operator="containsText" dxfId="0" text="SWING">
      <formula>NOT(ISERROR(SEARCH(("SWING"),(Z42))))</formula>
    </cfRule>
    <cfRule type="containsText" priority="21503" operator="containsText" dxfId="0" text="NF">
      <formula>NOT(ISERROR(SEARCH(("NF"),(Z42))))</formula>
    </cfRule>
    <cfRule type="containsText" priority="21504" operator="containsText" dxfId="0" text="ICU N">
      <formula>NOT(ISERROR(SEARCH(("ICU N"),(Z42))))</formula>
    </cfRule>
  </conditionalFormatting>
  <conditionalFormatting sqref="F42">
    <cfRule type="containsText" priority="21432" operator="containsText" dxfId="17" text="VACATION">
      <formula>NOT(ISERROR(SEARCH(("VACATION"),(F42))))</formula>
    </cfRule>
    <cfRule type="containsText" priority="21433" operator="containsText" dxfId="16" text="ED">
      <formula>NOT(ISERROR(SEARCH(("ED"),(F42))))</formula>
    </cfRule>
    <cfRule type="containsText" priority="21434" operator="containsText" dxfId="15" text="GERIATRIC">
      <formula>NOT(ISERROR(SEARCH(("GERIATRIC"),(F42))))</formula>
    </cfRule>
    <cfRule type="containsText" priority="21435" operator="containsText" dxfId="7" text="PATH">
      <formula>NOT(ISERROR(SEARCH(("PATH"),(F42))))</formula>
    </cfRule>
    <cfRule type="containsText" priority="21436" operator="containsText" dxfId="7" text="NEPHRO">
      <formula>NOT(ISERROR(SEARCH(("NEPHRO"),(F42))))</formula>
    </cfRule>
    <cfRule type="containsText" priority="21437" operator="containsText" dxfId="7" text="PULM">
      <formula>NOT(ISERROR(SEARCH(("PULM"),(F42))))</formula>
    </cfRule>
    <cfRule type="containsText" priority="21438" operator="containsText" dxfId="7" text="RADIOLOGY">
      <formula>NOT(ISERROR(SEARCH(("RADIOLOGY"),(F42))))</formula>
    </cfRule>
    <cfRule type="containsText" priority="21439" operator="containsText" dxfId="7" text="HEM/ONC">
      <formula>NOT(ISERROR(SEARCH(("HEM/ONC"),(F42))))</formula>
    </cfRule>
    <cfRule type="containsText" priority="21440" operator="containsText" dxfId="7" text="CARDIO">
      <formula>NOT(ISERROR(SEARCH(("CARDIO"),(F42))))</formula>
    </cfRule>
    <cfRule type="containsText" priority="21441" operator="containsText" dxfId="7" text="ID">
      <formula>NOT(ISERROR(SEARCH(("ID"),(F42))))</formula>
    </cfRule>
    <cfRule type="containsText" priority="21442" operator="containsText" dxfId="7" text="NEURO">
      <formula>NOT(ISERROR(SEARCH(("NEURO"),(F42))))</formula>
    </cfRule>
    <cfRule type="containsText" priority="21443" operator="containsText" dxfId="6" text="NEURO">
      <formula>NOT(ISERROR(SEARCH(("NEURO"),(F42))))</formula>
    </cfRule>
    <cfRule type="containsText" priority="21444" operator="containsText" dxfId="5" text="NEURO">
      <formula>NOT(ISERROR(SEARCH(("NEURO"),(F42))))</formula>
    </cfRule>
    <cfRule type="containsText" priority="21445" operator="containsText" dxfId="0" text="ICU N">
      <formula>NOT(ISERROR(SEARCH(("ICU N"),(F42))))</formula>
    </cfRule>
    <cfRule type="containsText" priority="21446" operator="containsText" dxfId="3" text="ICU">
      <formula>NOT(ISERROR(SEARCH(("ICU"),(F42))))</formula>
    </cfRule>
    <cfRule type="containsText" priority="21447" operator="containsText" dxfId="0" text="SWING">
      <formula>NOT(ISERROR(SEARCH(("SWING"),(F42))))</formula>
    </cfRule>
    <cfRule type="containsText" priority="21448" operator="containsText" dxfId="0" text="NF">
      <formula>NOT(ISERROR(SEARCH(("NF"),(F42))))</formula>
    </cfRule>
    <cfRule type="containsText" priority="4913" operator="containsText" dxfId="17" text="VACATION">
      <formula>NOT(ISERROR(SEARCH(("VACATION"),(F42))))</formula>
    </cfRule>
    <cfRule type="containsText" priority="4914" operator="containsText" dxfId="0" text="ICU N">
      <formula>NOT(ISERROR(SEARCH(("ICU N"),(F42))))</formula>
    </cfRule>
    <cfRule type="containsText" priority="4915" operator="containsText" dxfId="7" text="PATH">
      <formula>NOT(ISERROR(SEARCH(("PATH"),(F42))))</formula>
    </cfRule>
    <cfRule type="containsText" priority="4916" operator="containsText" dxfId="7" text="NEPHRO">
      <formula>NOT(ISERROR(SEARCH(("NEPHRO"),(F42))))</formula>
    </cfRule>
    <cfRule type="containsText" priority="4917" operator="containsText" dxfId="7" text="PULM">
      <formula>NOT(ISERROR(SEARCH(("PULM"),(F42))))</formula>
    </cfRule>
    <cfRule type="containsText" priority="4918" operator="containsText" dxfId="7" text="RADIOLOGY">
      <formula>NOT(ISERROR(SEARCH(("RADIOLOGY"),(F42))))</formula>
    </cfRule>
    <cfRule type="containsText" priority="4919" operator="containsText" dxfId="7" text="HEM/ONC">
      <formula>NOT(ISERROR(SEARCH(("HEM/ONC"),(F42))))</formula>
    </cfRule>
    <cfRule type="containsText" priority="4920" operator="containsText" dxfId="7" text="CARDIO">
      <formula>NOT(ISERROR(SEARCH(("CARDIO"),(F42))))</formula>
    </cfRule>
    <cfRule type="containsText" priority="4921" operator="containsText" dxfId="7" text="ID">
      <formula>NOT(ISERROR(SEARCH(("ID"),(F42))))</formula>
    </cfRule>
    <cfRule type="containsText" priority="4922" operator="containsText" dxfId="7" text="NEURO">
      <formula>NOT(ISERROR(SEARCH(("NEURO"),(F42))))</formula>
    </cfRule>
    <cfRule type="containsText" priority="4923" operator="containsText" dxfId="6" text="NEURO">
      <formula>NOT(ISERROR(SEARCH(("NEURO"),(F42))))</formula>
    </cfRule>
    <cfRule type="containsText" priority="4924" operator="containsText" dxfId="5" text="NEURO">
      <formula>NOT(ISERROR(SEARCH(("NEURO"),(F42))))</formula>
    </cfRule>
    <cfRule type="containsText" priority="4925" operator="containsText" dxfId="0" text="ICU N">
      <formula>NOT(ISERROR(SEARCH(("ICU N"),(F42))))</formula>
    </cfRule>
    <cfRule type="containsText" priority="4926" operator="containsText" dxfId="3" text="ICU">
      <formula>NOT(ISERROR(SEARCH(("ICU"),(F42))))</formula>
    </cfRule>
    <cfRule type="containsText" priority="4927" operator="containsText" dxfId="0" text="SWING">
      <formula>NOT(ISERROR(SEARCH(("SWING"),(F42))))</formula>
    </cfRule>
    <cfRule type="containsText" priority="4928" operator="containsText" dxfId="0" text="NF">
      <formula>NOT(ISERROR(SEARCH(("NF"),(F42))))</formula>
    </cfRule>
    <cfRule type="containsText" priority="4929" operator="containsText" dxfId="0" text="ICU N">
      <formula>NOT(ISERROR(SEARCH(("ICU N"),(F42))))</formula>
    </cfRule>
    <cfRule type="containsText" priority="4898" operator="containsText" dxfId="7" text="PATH">
      <formula>NOT(ISERROR(SEARCH(("PATH"),(F42))))</formula>
    </cfRule>
    <cfRule type="containsText" priority="4899" operator="containsText" dxfId="7" text="NEPHRO">
      <formula>NOT(ISERROR(SEARCH(("NEPHRO"),(F42))))</formula>
    </cfRule>
    <cfRule type="containsText" priority="4900" operator="containsText" dxfId="7" text="PULM">
      <formula>NOT(ISERROR(SEARCH(("PULM"),(F42))))</formula>
    </cfRule>
    <cfRule type="containsText" priority="4901" operator="containsText" dxfId="7" text="RADIOLOGY">
      <formula>NOT(ISERROR(SEARCH(("RADIOLOGY"),(F42))))</formula>
    </cfRule>
    <cfRule type="containsText" priority="4902" operator="containsText" dxfId="7" text="HEM/ONC">
      <formula>NOT(ISERROR(SEARCH(("HEM/ONC"),(F42))))</formula>
    </cfRule>
    <cfRule type="containsText" priority="4903" operator="containsText" dxfId="7" text="CARDIO">
      <formula>NOT(ISERROR(SEARCH(("CARDIO"),(F42))))</formula>
    </cfRule>
    <cfRule type="containsText" priority="4904" operator="containsText" dxfId="7" text="ID">
      <formula>NOT(ISERROR(SEARCH(("ID"),(F42))))</formula>
    </cfRule>
    <cfRule type="containsText" priority="4905" operator="containsText" dxfId="7" text="NEURO">
      <formula>NOT(ISERROR(SEARCH(("NEURO"),(F42))))</formula>
    </cfRule>
    <cfRule type="containsText" priority="4906" operator="containsText" dxfId="6" text="NEURO">
      <formula>NOT(ISERROR(SEARCH(("NEURO"),(F42))))</formula>
    </cfRule>
    <cfRule type="containsText" priority="4907" operator="containsText" dxfId="5" text="NEURO">
      <formula>NOT(ISERROR(SEARCH(("NEURO"),(F42))))</formula>
    </cfRule>
    <cfRule type="containsText" priority="4908" operator="containsText" dxfId="0" text="ICU N">
      <formula>NOT(ISERROR(SEARCH(("ICU N"),(F42))))</formula>
    </cfRule>
    <cfRule type="containsText" priority="4909" operator="containsText" dxfId="3" text="ICU">
      <formula>NOT(ISERROR(SEARCH(("ICU"),(F42))))</formula>
    </cfRule>
    <cfRule type="containsText" priority="4910" operator="containsText" dxfId="0" text="SWING">
      <formula>NOT(ISERROR(SEARCH(("SWING"),(F42))))</formula>
    </cfRule>
    <cfRule type="containsText" priority="4911" operator="containsText" dxfId="0" text="NF">
      <formula>NOT(ISERROR(SEARCH(("NF"),(F42))))</formula>
    </cfRule>
    <cfRule type="containsText" priority="4912" operator="containsText" dxfId="0" text="ICU N">
      <formula>NOT(ISERROR(SEARCH(("ICU N"),(F42))))</formula>
    </cfRule>
    <cfRule type="containsText" priority="4883" operator="containsText" dxfId="7" text="PATH">
      <formula>NOT(ISERROR(SEARCH(("PATH"),(F42))))</formula>
    </cfRule>
    <cfRule type="containsText" priority="4884" operator="containsText" dxfId="7" text="NEPHRO">
      <formula>NOT(ISERROR(SEARCH(("NEPHRO"),(F42))))</formula>
    </cfRule>
    <cfRule type="containsText" priority="4885" operator="containsText" dxfId="7" text="PULM">
      <formula>NOT(ISERROR(SEARCH(("PULM"),(F42))))</formula>
    </cfRule>
    <cfRule type="containsText" priority="4886" operator="containsText" dxfId="7" text="RADIOLOGY">
      <formula>NOT(ISERROR(SEARCH(("RADIOLOGY"),(F42))))</formula>
    </cfRule>
    <cfRule type="containsText" priority="4887" operator="containsText" dxfId="7" text="HEM/ONC">
      <formula>NOT(ISERROR(SEARCH(("HEM/ONC"),(F42))))</formula>
    </cfRule>
    <cfRule type="containsText" priority="4888" operator="containsText" dxfId="7" text="CARDIO">
      <formula>NOT(ISERROR(SEARCH(("CARDIO"),(F42))))</formula>
    </cfRule>
    <cfRule type="containsText" priority="4889" operator="containsText" dxfId="7" text="ID">
      <formula>NOT(ISERROR(SEARCH(("ID"),(F42))))</formula>
    </cfRule>
    <cfRule type="containsText" priority="4890" operator="containsText" dxfId="7" text="NEURO">
      <formula>NOT(ISERROR(SEARCH(("NEURO"),(F42))))</formula>
    </cfRule>
    <cfRule type="containsText" priority="4891" operator="containsText" dxfId="6" text="NEURO">
      <formula>NOT(ISERROR(SEARCH(("NEURO"),(F42))))</formula>
    </cfRule>
    <cfRule type="containsText" priority="4892" operator="containsText" dxfId="5" text="NEURO">
      <formula>NOT(ISERROR(SEARCH(("NEURO"),(F42))))</formula>
    </cfRule>
    <cfRule type="containsText" priority="4893" operator="containsText" dxfId="0" text="ICU N">
      <formula>NOT(ISERROR(SEARCH(("ICU N"),(F42))))</formula>
    </cfRule>
    <cfRule type="containsText" priority="4894" operator="containsText" dxfId="3" text="ICU">
      <formula>NOT(ISERROR(SEARCH(("ICU"),(F42))))</formula>
    </cfRule>
    <cfRule type="containsText" priority="4895" operator="containsText" dxfId="0" text="SWING">
      <formula>NOT(ISERROR(SEARCH(("SWING"),(F42))))</formula>
    </cfRule>
    <cfRule type="containsText" priority="4896" operator="containsText" dxfId="0" text="NF">
      <formula>NOT(ISERROR(SEARCH(("NF"),(F42))))</formula>
    </cfRule>
    <cfRule type="containsText" priority="4897" operator="containsText" dxfId="0" text="ICU N">
      <formula>NOT(ISERROR(SEARCH(("ICU N"),(F42))))</formula>
    </cfRule>
  </conditionalFormatting>
  <conditionalFormatting sqref="Z42:AA42">
    <cfRule type="containsText" priority="21430" operator="containsText" dxfId="17" text="VACATION">
      <formula>NOT(ISERROR(SEARCH(("VACATION"),(Z42))))</formula>
    </cfRule>
    <cfRule type="containsText" priority="21431" operator="containsText" dxfId="0" text="ICU N">
      <formula>NOT(ISERROR(SEARCH(("ICU N"),(Z42))))</formula>
    </cfRule>
  </conditionalFormatting>
  <conditionalFormatting sqref="AB42">
    <cfRule type="containsText" priority="21428" operator="containsText" dxfId="17" text="VACATION">
      <formula>NOT(ISERROR(SEARCH(("VACATION"),(AB42))))</formula>
    </cfRule>
    <cfRule type="containsText" priority="21429" operator="containsText" dxfId="0" text="ICU N">
      <formula>NOT(ISERROR(SEARCH(("ICU N"),(AB42))))</formula>
    </cfRule>
  </conditionalFormatting>
  <conditionalFormatting sqref="BB9">
    <cfRule type="containsText" priority="21409" operator="containsText" dxfId="0" text="ICU N">
      <formula>NOT(ISERROR(SEARCH(("ICU N"),(BB9))))</formula>
    </cfRule>
    <cfRule type="containsText" priority="6783" operator="containsText" dxfId="0" text="ICU N">
      <formula>NOT(ISERROR(SEARCH(("ICU N"),(BB9))))</formula>
    </cfRule>
  </conditionalFormatting>
  <conditionalFormatting sqref="AN9">
    <cfRule type="containsText" priority="21392" operator="containsText" dxfId="16" text="ED">
      <formula>NOT(ISERROR(SEARCH(("ED"),(AN9))))</formula>
    </cfRule>
    <cfRule type="containsText" priority="21393" operator="containsText" dxfId="15" text="GERIATRIC">
      <formula>NOT(ISERROR(SEARCH(("GERIATRIC"),(AN9))))</formula>
    </cfRule>
    <cfRule type="containsText" priority="21394" operator="containsText" dxfId="7" text="PATH">
      <formula>NOT(ISERROR(SEARCH(("PATH"),(AN9))))</formula>
    </cfRule>
    <cfRule type="containsText" priority="21395" operator="containsText" dxfId="7" text="NEPHRO">
      <formula>NOT(ISERROR(SEARCH(("NEPHRO"),(AN9))))</formula>
    </cfRule>
    <cfRule type="containsText" priority="21396" operator="containsText" dxfId="7" text="PULM">
      <formula>NOT(ISERROR(SEARCH(("PULM"),(AN9))))</formula>
    </cfRule>
    <cfRule type="containsText" priority="21397" operator="containsText" dxfId="7" text="RADIOLOGY">
      <formula>NOT(ISERROR(SEARCH(("RADIOLOGY"),(AN9))))</formula>
    </cfRule>
    <cfRule type="containsText" priority="21398" operator="containsText" dxfId="7" text="HEM/ONC">
      <formula>NOT(ISERROR(SEARCH(("HEM/ONC"),(AN9))))</formula>
    </cfRule>
    <cfRule type="containsText" priority="21399" operator="containsText" dxfId="7" text="CARDIO">
      <formula>NOT(ISERROR(SEARCH(("CARDIO"),(AN9))))</formula>
    </cfRule>
    <cfRule type="containsText" priority="21400" operator="containsText" dxfId="7" text="ID">
      <formula>NOT(ISERROR(SEARCH(("ID"),(AN9))))</formula>
    </cfRule>
    <cfRule type="containsText" priority="21401" operator="containsText" dxfId="7" text="NEURO">
      <formula>NOT(ISERROR(SEARCH(("NEURO"),(AN9))))</formula>
    </cfRule>
    <cfRule type="containsText" priority="21402" operator="containsText" dxfId="6" text="NEURO">
      <formula>NOT(ISERROR(SEARCH(("NEURO"),(AN9))))</formula>
    </cfRule>
    <cfRule type="containsText" priority="21403" operator="containsText" dxfId="5" text="NEURO">
      <formula>NOT(ISERROR(SEARCH(("NEURO"),(AN9))))</formula>
    </cfRule>
    <cfRule type="containsText" priority="21404" operator="containsText" dxfId="0" text="ICU N">
      <formula>NOT(ISERROR(SEARCH(("ICU N"),(AN9))))</formula>
    </cfRule>
    <cfRule type="containsText" priority="21405" operator="containsText" dxfId="3" text="ICU">
      <formula>NOT(ISERROR(SEARCH(("ICU"),(AN9))))</formula>
    </cfRule>
    <cfRule type="containsText" priority="21406" operator="containsText" dxfId="0" text="SWING">
      <formula>NOT(ISERROR(SEARCH(("SWING"),(AN9))))</formula>
    </cfRule>
    <cfRule type="containsText" priority="21407" operator="containsText" dxfId="0" text="NF">
      <formula>NOT(ISERROR(SEARCH(("NF"),(AN9))))</formula>
    </cfRule>
    <cfRule type="containsText" priority="21376" operator="containsText" dxfId="16" text="ED">
      <formula>NOT(ISERROR(SEARCH(("ED"),(AN9))))</formula>
    </cfRule>
    <cfRule type="containsText" priority="21377" operator="containsText" dxfId="15" text="GERIATRIC">
      <formula>NOT(ISERROR(SEARCH(("GERIATRIC"),(AN9))))</formula>
    </cfRule>
    <cfRule type="containsText" priority="21378" operator="containsText" dxfId="7" text="PATH">
      <formula>NOT(ISERROR(SEARCH(("PATH"),(AN9))))</formula>
    </cfRule>
    <cfRule type="containsText" priority="21379" operator="containsText" dxfId="7" text="NEPHRO">
      <formula>NOT(ISERROR(SEARCH(("NEPHRO"),(AN9))))</formula>
    </cfRule>
    <cfRule type="containsText" priority="21380" operator="containsText" dxfId="7" text="PULM">
      <formula>NOT(ISERROR(SEARCH(("PULM"),(AN9))))</formula>
    </cfRule>
    <cfRule type="containsText" priority="21381" operator="containsText" dxfId="7" text="RADIOLOGY">
      <formula>NOT(ISERROR(SEARCH(("RADIOLOGY"),(AN9))))</formula>
    </cfRule>
    <cfRule type="containsText" priority="21382" operator="containsText" dxfId="7" text="HEM/ONC">
      <formula>NOT(ISERROR(SEARCH(("HEM/ONC"),(AN9))))</formula>
    </cfRule>
    <cfRule type="containsText" priority="21383" operator="containsText" dxfId="7" text="CARDIO">
      <formula>NOT(ISERROR(SEARCH(("CARDIO"),(AN9))))</formula>
    </cfRule>
    <cfRule type="containsText" priority="21384" operator="containsText" dxfId="7" text="ID">
      <formula>NOT(ISERROR(SEARCH(("ID"),(AN9))))</formula>
    </cfRule>
    <cfRule type="containsText" priority="21385" operator="containsText" dxfId="7" text="NEURO">
      <formula>NOT(ISERROR(SEARCH(("NEURO"),(AN9))))</formula>
    </cfRule>
    <cfRule type="containsText" priority="21386" operator="containsText" dxfId="6" text="NEURO">
      <formula>NOT(ISERROR(SEARCH(("NEURO"),(AN9))))</formula>
    </cfRule>
    <cfRule type="containsText" priority="21387" operator="containsText" dxfId="5" text="NEURO">
      <formula>NOT(ISERROR(SEARCH(("NEURO"),(AN9))))</formula>
    </cfRule>
    <cfRule type="containsText" priority="21388" operator="containsText" dxfId="0" text="ICU N">
      <formula>NOT(ISERROR(SEARCH(("ICU N"),(AN9))))</formula>
    </cfRule>
    <cfRule type="containsText" priority="21389" operator="containsText" dxfId="3" text="ICU">
      <formula>NOT(ISERROR(SEARCH(("ICU"),(AN9))))</formula>
    </cfRule>
    <cfRule type="containsText" priority="21390" operator="containsText" dxfId="0" text="SWING">
      <formula>NOT(ISERROR(SEARCH(("SWING"),(AN9))))</formula>
    </cfRule>
    <cfRule type="containsText" priority="21391" operator="containsText" dxfId="0" text="NF">
      <formula>NOT(ISERROR(SEARCH(("NF"),(AN9))))</formula>
    </cfRule>
  </conditionalFormatting>
  <conditionalFormatting sqref="M9">
    <cfRule type="containsText" priority="21350" operator="containsText" dxfId="17" text="VACATION">
      <formula>NOT(ISERROR(SEARCH(("VACATION"),(M9))))</formula>
    </cfRule>
    <cfRule type="containsText" priority="21351" operator="containsText" dxfId="0" text="ICU N">
      <formula>NOT(ISERROR(SEARCH(("ICU N"),(M9))))</formula>
    </cfRule>
  </conditionalFormatting>
  <conditionalFormatting sqref="BC10">
    <cfRule type="containsText" priority="21314" operator="containsText" dxfId="0" text="ICU N">
      <formula>NOT(ISERROR(SEARCH(("ICU N"),(BC10))))</formula>
    </cfRule>
    <cfRule type="containsText" priority="21213" operator="containsText" dxfId="0" text="ICU N">
      <formula>NOT(ISERROR(SEARCH(("ICU N"),(BC10))))</formula>
    </cfRule>
    <cfRule type="containsText" priority="12164" operator="containsText" dxfId="7" text="PATH">
      <formula>NOT(ISERROR(SEARCH(("PATH"),(BC10))))</formula>
    </cfRule>
    <cfRule type="containsText" priority="12165" operator="containsText" dxfId="7" text="NEPHRO">
      <formula>NOT(ISERROR(SEARCH(("NEPHRO"),(BC10))))</formula>
    </cfRule>
    <cfRule type="containsText" priority="12166" operator="containsText" dxfId="7" text="PULM">
      <formula>NOT(ISERROR(SEARCH(("PULM"),(BC10))))</formula>
    </cfRule>
    <cfRule type="containsText" priority="12167" operator="containsText" dxfId="7" text="RADIOLOGY">
      <formula>NOT(ISERROR(SEARCH(("RADIOLOGY"),(BC10))))</formula>
    </cfRule>
    <cfRule type="containsText" priority="12168" operator="containsText" dxfId="7" text="HEM/ONC">
      <formula>NOT(ISERROR(SEARCH(("HEM/ONC"),(BC10))))</formula>
    </cfRule>
    <cfRule type="containsText" priority="12169" operator="containsText" dxfId="7" text="CARDIO">
      <formula>NOT(ISERROR(SEARCH(("CARDIO"),(BC10))))</formula>
    </cfRule>
    <cfRule type="containsText" priority="12170" operator="containsText" dxfId="7" text="ID">
      <formula>NOT(ISERROR(SEARCH(("ID"),(BC10))))</formula>
    </cfRule>
    <cfRule type="containsText" priority="12171" operator="containsText" dxfId="7" text="NEURO">
      <formula>NOT(ISERROR(SEARCH(("NEURO"),(BC10))))</formula>
    </cfRule>
    <cfRule type="containsText" priority="12172" operator="containsText" dxfId="6" text="NEURO">
      <formula>NOT(ISERROR(SEARCH(("NEURO"),(BC10))))</formula>
    </cfRule>
    <cfRule type="containsText" priority="12173" operator="containsText" dxfId="5" text="NEURO">
      <formula>NOT(ISERROR(SEARCH(("NEURO"),(BC10))))</formula>
    </cfRule>
    <cfRule type="containsText" priority="12174" operator="containsText" dxfId="0" text="ICU N">
      <formula>NOT(ISERROR(SEARCH(("ICU N"),(BC10))))</formula>
    </cfRule>
    <cfRule type="containsText" priority="12175" operator="containsText" dxfId="3" text="ICU">
      <formula>NOT(ISERROR(SEARCH(("ICU"),(BC10))))</formula>
    </cfRule>
    <cfRule type="containsText" priority="12176" operator="containsText" dxfId="0" text="SWING">
      <formula>NOT(ISERROR(SEARCH(("SWING"),(BC10))))</formula>
    </cfRule>
    <cfRule type="containsText" priority="12177" operator="containsText" dxfId="0" text="NF">
      <formula>NOT(ISERROR(SEARCH(("NF"),(BC10))))</formula>
    </cfRule>
    <cfRule type="containsText" priority="12178" operator="containsText" dxfId="0" text="ICU N">
      <formula>NOT(ISERROR(SEARCH(("ICU N"),(BC10))))</formula>
    </cfRule>
    <cfRule type="containsText" priority="12150" operator="containsText" dxfId="7" text="PATH">
      <formula>NOT(ISERROR(SEARCH(("PATH"),(BC10))))</formula>
    </cfRule>
    <cfRule type="containsText" priority="12151" operator="containsText" dxfId="7" text="NEPHRO">
      <formula>NOT(ISERROR(SEARCH(("NEPHRO"),(BC10))))</formula>
    </cfRule>
    <cfRule type="containsText" priority="12152" operator="containsText" dxfId="7" text="PULM">
      <formula>NOT(ISERROR(SEARCH(("PULM"),(BC10))))</formula>
    </cfRule>
    <cfRule type="containsText" priority="12153" operator="containsText" dxfId="7" text="RADIOLOGY">
      <formula>NOT(ISERROR(SEARCH(("RADIOLOGY"),(BC10))))</formula>
    </cfRule>
    <cfRule type="containsText" priority="12154" operator="containsText" dxfId="7" text="HEM/ONC">
      <formula>NOT(ISERROR(SEARCH(("HEM/ONC"),(BC10))))</formula>
    </cfRule>
    <cfRule type="containsText" priority="12155" operator="containsText" dxfId="7" text="CARDIO">
      <formula>NOT(ISERROR(SEARCH(("CARDIO"),(BC10))))</formula>
    </cfRule>
    <cfRule type="containsText" priority="12156" operator="containsText" dxfId="7" text="ID">
      <formula>NOT(ISERROR(SEARCH(("ID"),(BC10))))</formula>
    </cfRule>
    <cfRule type="containsText" priority="12157" operator="containsText" dxfId="7" text="NEURO">
      <formula>NOT(ISERROR(SEARCH(("NEURO"),(BC10))))</formula>
    </cfRule>
    <cfRule type="containsText" priority="12158" operator="containsText" dxfId="6" text="NEURO">
      <formula>NOT(ISERROR(SEARCH(("NEURO"),(BC10))))</formula>
    </cfRule>
    <cfRule type="containsText" priority="12159" operator="containsText" dxfId="5" text="NEURO">
      <formula>NOT(ISERROR(SEARCH(("NEURO"),(BC10))))</formula>
    </cfRule>
    <cfRule type="containsText" priority="12160" operator="containsText" dxfId="0" text="ICU N">
      <formula>NOT(ISERROR(SEARCH(("ICU N"),(BC10))))</formula>
    </cfRule>
    <cfRule type="containsText" priority="12161" operator="containsText" dxfId="3" text="ICU">
      <formula>NOT(ISERROR(SEARCH(("ICU"),(BC10))))</formula>
    </cfRule>
    <cfRule type="containsText" priority="12162" operator="containsText" dxfId="0" text="SWING">
      <formula>NOT(ISERROR(SEARCH(("SWING"),(BC10))))</formula>
    </cfRule>
    <cfRule type="containsText" priority="12163" operator="containsText" dxfId="0" text="NF">
      <formula>NOT(ISERROR(SEARCH(("NF"),(BC10))))</formula>
    </cfRule>
  </conditionalFormatting>
  <conditionalFormatting sqref="M10">
    <cfRule type="containsText" priority="21311" operator="containsText" dxfId="17" text="VACATION">
      <formula>NOT(ISERROR(SEARCH(("VACATION"),(M10))))</formula>
    </cfRule>
    <cfRule type="containsText" priority="21312" operator="containsText" dxfId="0" text="ICU N">
      <formula>NOT(ISERROR(SEARCH(("ICU N"),(M10))))</formula>
    </cfRule>
  </conditionalFormatting>
  <conditionalFormatting sqref="AJ10">
    <cfRule type="containsText" priority="21295" operator="containsText" dxfId="16" text="ED">
      <formula>NOT(ISERROR(SEARCH(("ED"),(AJ10))))</formula>
    </cfRule>
    <cfRule type="containsText" priority="21296" operator="containsText" dxfId="15" text="GERIATRIC">
      <formula>NOT(ISERROR(SEARCH(("GERIATRIC"),(AJ10))))</formula>
    </cfRule>
    <cfRule type="containsText" priority="21297" operator="containsText" dxfId="7" text="PATH">
      <formula>NOT(ISERROR(SEARCH(("PATH"),(AJ10))))</formula>
    </cfRule>
    <cfRule type="containsText" priority="21298" operator="containsText" dxfId="7" text="NEPHRO">
      <formula>NOT(ISERROR(SEARCH(("NEPHRO"),(AJ10))))</formula>
    </cfRule>
    <cfRule type="containsText" priority="21299" operator="containsText" dxfId="7" text="PULM">
      <formula>NOT(ISERROR(SEARCH(("PULM"),(AJ10))))</formula>
    </cfRule>
    <cfRule type="containsText" priority="21300" operator="containsText" dxfId="7" text="RADIOLOGY">
      <formula>NOT(ISERROR(SEARCH(("RADIOLOGY"),(AJ10))))</formula>
    </cfRule>
    <cfRule type="containsText" priority="21301" operator="containsText" dxfId="7" text="HEM/ONC">
      <formula>NOT(ISERROR(SEARCH(("HEM/ONC"),(AJ10))))</formula>
    </cfRule>
    <cfRule type="containsText" priority="21302" operator="containsText" dxfId="7" text="CARDIO">
      <formula>NOT(ISERROR(SEARCH(("CARDIO"),(AJ10))))</formula>
    </cfRule>
    <cfRule type="containsText" priority="21303" operator="containsText" dxfId="7" text="ID">
      <formula>NOT(ISERROR(SEARCH(("ID"),(AJ10))))</formula>
    </cfRule>
    <cfRule type="containsText" priority="21304" operator="containsText" dxfId="7" text="NEURO">
      <formula>NOT(ISERROR(SEARCH(("NEURO"),(AJ10))))</formula>
    </cfRule>
    <cfRule type="containsText" priority="21305" operator="containsText" dxfId="6" text="NEURO">
      <formula>NOT(ISERROR(SEARCH(("NEURO"),(AJ10))))</formula>
    </cfRule>
    <cfRule type="containsText" priority="21306" operator="containsText" dxfId="5" text="NEURO">
      <formula>NOT(ISERROR(SEARCH(("NEURO"),(AJ10))))</formula>
    </cfRule>
    <cfRule type="containsText" priority="21307" operator="containsText" dxfId="0" text="ICU N">
      <formula>NOT(ISERROR(SEARCH(("ICU N"),(AJ10))))</formula>
    </cfRule>
    <cfRule type="containsText" priority="21308" operator="containsText" dxfId="3" text="ICU">
      <formula>NOT(ISERROR(SEARCH(("ICU"),(AJ10))))</formula>
    </cfRule>
    <cfRule type="containsText" priority="21309" operator="containsText" dxfId="0" text="SWING">
      <formula>NOT(ISERROR(SEARCH(("SWING"),(AJ10))))</formula>
    </cfRule>
    <cfRule type="containsText" priority="21310" operator="containsText" dxfId="0" text="NF">
      <formula>NOT(ISERROR(SEARCH(("NF"),(AJ10))))</formula>
    </cfRule>
    <cfRule type="containsText" priority="21250" operator="containsText" dxfId="0" text="ICU N">
      <formula>NOT(ISERROR(SEARCH(("ICU N"),(AJ10))))</formula>
    </cfRule>
    <cfRule type="containsText" priority="21249" operator="containsText" dxfId="0" text="ICU N">
      <formula>NOT(ISERROR(SEARCH(("ICU N"),(AJ10))))</formula>
    </cfRule>
    <cfRule type="containsText" priority="21248" operator="containsText" dxfId="0" text="ICU N">
      <formula>NOT(ISERROR(SEARCH(("ICU N"),(AJ10))))</formula>
    </cfRule>
  </conditionalFormatting>
  <conditionalFormatting sqref="D10">
    <cfRule type="containsText" priority="21294" operator="containsText" dxfId="17" text="VACATION">
      <formula>NOT(ISERROR(SEARCH(("VACATION"),(D10))))</formula>
    </cfRule>
    <cfRule type="containsText" priority="21293" operator="containsText" dxfId="17" text="VACATION">
      <formula>NOT(ISERROR(SEARCH(("VACATION"),(D10))))</formula>
    </cfRule>
  </conditionalFormatting>
  <conditionalFormatting sqref="AT10">
    <cfRule type="containsText" priority="21292" operator="containsText" dxfId="0" text="ICU N">
      <formula>NOT(ISERROR(SEARCH(("ICU N"),(AT10))))</formula>
    </cfRule>
    <cfRule type="containsText" priority="21212" operator="containsText" dxfId="0" text="ICU N">
      <formula>NOT(ISERROR(SEARCH(("ICU N"),(AT10))))</formula>
    </cfRule>
  </conditionalFormatting>
  <conditionalFormatting sqref="T10:U10">
    <cfRule type="containsText" priority="21259" operator="containsText" dxfId="17" text="VACATION">
      <formula>NOT(ISERROR(SEARCH(("VACATION"),(T10))))</formula>
    </cfRule>
    <cfRule type="containsText" priority="21260" operator="containsText" dxfId="16" text="ED">
      <formula>NOT(ISERROR(SEARCH(("ED"),(T10))))</formula>
    </cfRule>
    <cfRule type="containsText" priority="21261" operator="containsText" dxfId="15" text="GERIATRIC">
      <formula>NOT(ISERROR(SEARCH(("GERIATRIC"),(T10))))</formula>
    </cfRule>
    <cfRule type="containsText" priority="21262" operator="containsText" dxfId="7" text="PATH">
      <formula>NOT(ISERROR(SEARCH(("PATH"),(T10))))</formula>
    </cfRule>
    <cfRule type="containsText" priority="21263" operator="containsText" dxfId="7" text="NEPHRO">
      <formula>NOT(ISERROR(SEARCH(("NEPHRO"),(T10))))</formula>
    </cfRule>
    <cfRule type="containsText" priority="21264" operator="containsText" dxfId="7" text="PULM">
      <formula>NOT(ISERROR(SEARCH(("PULM"),(T10))))</formula>
    </cfRule>
    <cfRule type="containsText" priority="21265" operator="containsText" dxfId="7" text="RADIOLOGY">
      <formula>NOT(ISERROR(SEARCH(("RADIOLOGY"),(T10))))</formula>
    </cfRule>
    <cfRule type="containsText" priority="21266" operator="containsText" dxfId="7" text="HEM/ONC">
      <formula>NOT(ISERROR(SEARCH(("HEM/ONC"),(T10))))</formula>
    </cfRule>
    <cfRule type="containsText" priority="21267" operator="containsText" dxfId="7" text="CARDIO">
      <formula>NOT(ISERROR(SEARCH(("CARDIO"),(T10))))</formula>
    </cfRule>
    <cfRule type="containsText" priority="21268" operator="containsText" dxfId="7" text="ID">
      <formula>NOT(ISERROR(SEARCH(("ID"),(T10))))</formula>
    </cfRule>
    <cfRule type="containsText" priority="21269" operator="containsText" dxfId="7" text="NEURO">
      <formula>NOT(ISERROR(SEARCH(("NEURO"),(T10))))</formula>
    </cfRule>
    <cfRule type="containsText" priority="21270" operator="containsText" dxfId="6" text="NEURO">
      <formula>NOT(ISERROR(SEARCH(("NEURO"),(T10))))</formula>
    </cfRule>
    <cfRule type="containsText" priority="21271" operator="containsText" dxfId="5" text="NEURO">
      <formula>NOT(ISERROR(SEARCH(("NEURO"),(T10))))</formula>
    </cfRule>
    <cfRule type="containsText" priority="21272" operator="containsText" dxfId="0" text="ICU N">
      <formula>NOT(ISERROR(SEARCH(("ICU N"),(T10))))</formula>
    </cfRule>
    <cfRule type="containsText" priority="21273" operator="containsText" dxfId="3" text="ICU">
      <formula>NOT(ISERROR(SEARCH(("ICU"),(T10))))</formula>
    </cfRule>
    <cfRule type="containsText" priority="21274" operator="containsText" dxfId="0" text="SWING">
      <formula>NOT(ISERROR(SEARCH(("SWING"),(T10))))</formula>
    </cfRule>
    <cfRule type="containsText" priority="21275" operator="containsText" dxfId="0" text="NF">
      <formula>NOT(ISERROR(SEARCH(("NF"),(T10))))</formula>
    </cfRule>
  </conditionalFormatting>
  <conditionalFormatting sqref="S10">
    <cfRule type="containsText" priority="21257" operator="containsText" dxfId="17" text="VACATION">
      <formula>NOT(ISERROR(SEARCH(("VACATION"),(S10))))</formula>
    </cfRule>
    <cfRule type="containsText" priority="21258" operator="containsText" dxfId="0" text="ICU N">
      <formula>NOT(ISERROR(SEARCH(("ICU N"),(S10))))</formula>
    </cfRule>
  </conditionalFormatting>
  <conditionalFormatting sqref="BB10">
    <cfRule type="containsText" priority="21232" operator="containsText" dxfId="16" text="ED">
      <formula>NOT(ISERROR(SEARCH(("ED"),(BB10))))</formula>
    </cfRule>
    <cfRule type="containsText" priority="21233" operator="containsText" dxfId="15" text="GERIATRIC">
      <formula>NOT(ISERROR(SEARCH(("GERIATRIC"),(BB10))))</formula>
    </cfRule>
    <cfRule type="containsText" priority="21234" operator="containsText" dxfId="7" text="PATH">
      <formula>NOT(ISERROR(SEARCH(("PATH"),(BB10))))</formula>
    </cfRule>
    <cfRule type="containsText" priority="21235" operator="containsText" dxfId="7" text="NEPHRO">
      <formula>NOT(ISERROR(SEARCH(("NEPHRO"),(BB10))))</formula>
    </cfRule>
    <cfRule type="containsText" priority="21236" operator="containsText" dxfId="7" text="PULM">
      <formula>NOT(ISERROR(SEARCH(("PULM"),(BB10))))</formula>
    </cfRule>
    <cfRule type="containsText" priority="21237" operator="containsText" dxfId="7" text="RADIOLOGY">
      <formula>NOT(ISERROR(SEARCH(("RADIOLOGY"),(BB10))))</formula>
    </cfRule>
    <cfRule type="containsText" priority="21238" operator="containsText" dxfId="7" text="HEM/ONC">
      <formula>NOT(ISERROR(SEARCH(("HEM/ONC"),(BB10))))</formula>
    </cfRule>
    <cfRule type="containsText" priority="21239" operator="containsText" dxfId="7" text="CARDIO">
      <formula>NOT(ISERROR(SEARCH(("CARDIO"),(BB10))))</formula>
    </cfRule>
    <cfRule type="containsText" priority="21240" operator="containsText" dxfId="7" text="ID">
      <formula>NOT(ISERROR(SEARCH(("ID"),(BB10))))</formula>
    </cfRule>
    <cfRule type="containsText" priority="21241" operator="containsText" dxfId="7" text="NEURO">
      <formula>NOT(ISERROR(SEARCH(("NEURO"),(BB10))))</formula>
    </cfRule>
    <cfRule type="containsText" priority="21242" operator="containsText" dxfId="6" text="NEURO">
      <formula>NOT(ISERROR(SEARCH(("NEURO"),(BB10))))</formula>
    </cfRule>
    <cfRule type="containsText" priority="21243" operator="containsText" dxfId="5" text="NEURO">
      <formula>NOT(ISERROR(SEARCH(("NEURO"),(BB10))))</formula>
    </cfRule>
    <cfRule type="containsText" priority="21244" operator="containsText" dxfId="0" text="ICU N">
      <formula>NOT(ISERROR(SEARCH(("ICU N"),(BB10))))</formula>
    </cfRule>
    <cfRule type="containsText" priority="21245" operator="containsText" dxfId="3" text="ICU">
      <formula>NOT(ISERROR(SEARCH(("ICU"),(BB10))))</formula>
    </cfRule>
    <cfRule type="containsText" priority="21246" operator="containsText" dxfId="0" text="SWING">
      <formula>NOT(ISERROR(SEARCH(("SWING"),(BB10))))</formula>
    </cfRule>
    <cfRule type="containsText" priority="21247" operator="containsText" dxfId="0" text="NF">
      <formula>NOT(ISERROR(SEARCH(("NF"),(BB10))))</formula>
    </cfRule>
    <cfRule type="containsText" priority="12193" operator="containsText" dxfId="7" text="PATH">
      <formula>NOT(ISERROR(SEARCH(("PATH"),(BB10))))</formula>
    </cfRule>
    <cfRule type="containsText" priority="12194" operator="containsText" dxfId="7" text="NEPHRO">
      <formula>NOT(ISERROR(SEARCH(("NEPHRO"),(BB10))))</formula>
    </cfRule>
    <cfRule type="containsText" priority="12195" operator="containsText" dxfId="7" text="PULM">
      <formula>NOT(ISERROR(SEARCH(("PULM"),(BB10))))</formula>
    </cfRule>
    <cfRule type="containsText" priority="12196" operator="containsText" dxfId="7" text="RADIOLOGY">
      <formula>NOT(ISERROR(SEARCH(("RADIOLOGY"),(BB10))))</formula>
    </cfRule>
    <cfRule type="containsText" priority="12197" operator="containsText" dxfId="7" text="HEM/ONC">
      <formula>NOT(ISERROR(SEARCH(("HEM/ONC"),(BB10))))</formula>
    </cfRule>
    <cfRule type="containsText" priority="12198" operator="containsText" dxfId="7" text="CARDIO">
      <formula>NOT(ISERROR(SEARCH(("CARDIO"),(BB10))))</formula>
    </cfRule>
    <cfRule type="containsText" priority="12199" operator="containsText" dxfId="7" text="ID">
      <formula>NOT(ISERROR(SEARCH(("ID"),(BB10))))</formula>
    </cfRule>
    <cfRule type="containsText" priority="12200" operator="containsText" dxfId="7" text="NEURO">
      <formula>NOT(ISERROR(SEARCH(("NEURO"),(BB10))))</formula>
    </cfRule>
    <cfRule type="containsText" priority="12201" operator="containsText" dxfId="6" text="NEURO">
      <formula>NOT(ISERROR(SEARCH(("NEURO"),(BB10))))</formula>
    </cfRule>
    <cfRule type="containsText" priority="12202" operator="containsText" dxfId="5" text="NEURO">
      <formula>NOT(ISERROR(SEARCH(("NEURO"),(BB10))))</formula>
    </cfRule>
    <cfRule type="containsText" priority="12203" operator="containsText" dxfId="0" text="ICU N">
      <formula>NOT(ISERROR(SEARCH(("ICU N"),(BB10))))</formula>
    </cfRule>
    <cfRule type="containsText" priority="12204" operator="containsText" dxfId="3" text="ICU">
      <formula>NOT(ISERROR(SEARCH(("ICU"),(BB10))))</formula>
    </cfRule>
    <cfRule type="containsText" priority="12205" operator="containsText" dxfId="0" text="SWING">
      <formula>NOT(ISERROR(SEARCH(("SWING"),(BB10))))</formula>
    </cfRule>
    <cfRule type="containsText" priority="12206" operator="containsText" dxfId="0" text="NF">
      <formula>NOT(ISERROR(SEARCH(("NF"),(BB10))))</formula>
    </cfRule>
    <cfRule type="containsText" priority="12207" operator="containsText" dxfId="0" text="ICU N">
      <formula>NOT(ISERROR(SEARCH(("ICU N"),(BB10))))</formula>
    </cfRule>
    <cfRule type="containsText" priority="12179" operator="containsText" dxfId="7" text="PATH">
      <formula>NOT(ISERROR(SEARCH(("PATH"),(BB10))))</formula>
    </cfRule>
    <cfRule type="containsText" priority="12180" operator="containsText" dxfId="7" text="NEPHRO">
      <formula>NOT(ISERROR(SEARCH(("NEPHRO"),(BB10))))</formula>
    </cfRule>
    <cfRule type="containsText" priority="12181" operator="containsText" dxfId="7" text="PULM">
      <formula>NOT(ISERROR(SEARCH(("PULM"),(BB10))))</formula>
    </cfRule>
    <cfRule type="containsText" priority="12182" operator="containsText" dxfId="7" text="RADIOLOGY">
      <formula>NOT(ISERROR(SEARCH(("RADIOLOGY"),(BB10))))</formula>
    </cfRule>
    <cfRule type="containsText" priority="12183" operator="containsText" dxfId="7" text="HEM/ONC">
      <formula>NOT(ISERROR(SEARCH(("HEM/ONC"),(BB10))))</formula>
    </cfRule>
    <cfRule type="containsText" priority="12184" operator="containsText" dxfId="7" text="CARDIO">
      <formula>NOT(ISERROR(SEARCH(("CARDIO"),(BB10))))</formula>
    </cfRule>
    <cfRule type="containsText" priority="12185" operator="containsText" dxfId="7" text="ID">
      <formula>NOT(ISERROR(SEARCH(("ID"),(BB10))))</formula>
    </cfRule>
    <cfRule type="containsText" priority="12186" operator="containsText" dxfId="7" text="NEURO">
      <formula>NOT(ISERROR(SEARCH(("NEURO"),(BB10))))</formula>
    </cfRule>
    <cfRule type="containsText" priority="12187" operator="containsText" dxfId="6" text="NEURO">
      <formula>NOT(ISERROR(SEARCH(("NEURO"),(BB10))))</formula>
    </cfRule>
    <cfRule type="containsText" priority="12188" operator="containsText" dxfId="5" text="NEURO">
      <formula>NOT(ISERROR(SEARCH(("NEURO"),(BB10))))</formula>
    </cfRule>
    <cfRule type="containsText" priority="12189" operator="containsText" dxfId="0" text="ICU N">
      <formula>NOT(ISERROR(SEARCH(("ICU N"),(BB10))))</formula>
    </cfRule>
    <cfRule type="containsText" priority="12190" operator="containsText" dxfId="3" text="ICU">
      <formula>NOT(ISERROR(SEARCH(("ICU"),(BB10))))</formula>
    </cfRule>
    <cfRule type="containsText" priority="12191" operator="containsText" dxfId="0" text="SWING">
      <formula>NOT(ISERROR(SEARCH(("SWING"),(BB10))))</formula>
    </cfRule>
    <cfRule type="containsText" priority="12192" operator="containsText" dxfId="0" text="NF">
      <formula>NOT(ISERROR(SEARCH(("NF"),(BB10))))</formula>
    </cfRule>
  </conditionalFormatting>
  <conditionalFormatting sqref="B6">
    <cfRule type="containsText" priority="21195" operator="containsText" dxfId="17" text="VACATION">
      <formula>NOT(ISERROR(SEARCH(("VACATION"),(B6))))</formula>
    </cfRule>
    <cfRule type="containsText" priority="21196" operator="containsText" dxfId="16" text="ED">
      <formula>NOT(ISERROR(SEARCH(("ED"),(B6))))</formula>
    </cfRule>
    <cfRule type="containsText" priority="21197" operator="containsText" dxfId="15" text="GERIATRIC">
      <formula>NOT(ISERROR(SEARCH(("GERIATRIC"),(B6))))</formula>
    </cfRule>
    <cfRule type="containsText" priority="21198" operator="containsText" dxfId="7" text="PATH">
      <formula>NOT(ISERROR(SEARCH(("PATH"),(B6))))</formula>
    </cfRule>
    <cfRule type="containsText" priority="21199" operator="containsText" dxfId="7" text="NEPHRO">
      <formula>NOT(ISERROR(SEARCH(("NEPHRO"),(B6))))</formula>
    </cfRule>
    <cfRule type="containsText" priority="21200" operator="containsText" dxfId="7" text="PULM">
      <formula>NOT(ISERROR(SEARCH(("PULM"),(B6))))</formula>
    </cfRule>
    <cfRule type="containsText" priority="21201" operator="containsText" dxfId="7" text="RADIOLOGY">
      <formula>NOT(ISERROR(SEARCH(("RADIOLOGY"),(B6))))</formula>
    </cfRule>
    <cfRule type="containsText" priority="21202" operator="containsText" dxfId="7" text="HEM/ONC">
      <formula>NOT(ISERROR(SEARCH(("HEM/ONC"),(B6))))</formula>
    </cfRule>
    <cfRule type="containsText" priority="21203" operator="containsText" dxfId="7" text="CARDIO">
      <formula>NOT(ISERROR(SEARCH(("CARDIO"),(B6))))</formula>
    </cfRule>
    <cfRule type="containsText" priority="21204" operator="containsText" dxfId="7" text="ID">
      <formula>NOT(ISERROR(SEARCH(("ID"),(B6))))</formula>
    </cfRule>
    <cfRule type="containsText" priority="21205" operator="containsText" dxfId="7" text="NEURO">
      <formula>NOT(ISERROR(SEARCH(("NEURO"),(B6))))</formula>
    </cfRule>
    <cfRule type="containsText" priority="21206" operator="containsText" dxfId="6" text="NEURO">
      <formula>NOT(ISERROR(SEARCH(("NEURO"),(B6))))</formula>
    </cfRule>
    <cfRule type="containsText" priority="21207" operator="containsText" dxfId="5" text="NEURO">
      <formula>NOT(ISERROR(SEARCH(("NEURO"),(B6))))</formula>
    </cfRule>
    <cfRule type="containsText" priority="21208" operator="containsText" dxfId="0" text="ICU N">
      <formula>NOT(ISERROR(SEARCH(("ICU N"),(B6))))</formula>
    </cfRule>
    <cfRule type="containsText" priority="21209" operator="containsText" dxfId="3" text="ICU">
      <formula>NOT(ISERROR(SEARCH(("ICU"),(B6))))</formula>
    </cfRule>
    <cfRule type="containsText" priority="21210" operator="containsText" dxfId="0" text="SWING">
      <formula>NOT(ISERROR(SEARCH(("SWING"),(B6))))</formula>
    </cfRule>
    <cfRule type="containsText" priority="21211" operator="containsText" dxfId="0" text="NF">
      <formula>NOT(ISERROR(SEARCH(("NF"),(B6))))</formula>
    </cfRule>
  </conditionalFormatting>
  <conditionalFormatting sqref="J14:K14 N14 X14:Y14 AJ14:AL14">
    <cfRule type="containsText" priority="21193" operator="containsText" dxfId="17" text="VACATION">
      <formula>NOT(ISERROR(SEARCH(("VACATION"),(J14))))</formula>
    </cfRule>
    <cfRule type="containsText" priority="21194" operator="containsText" dxfId="0" text="ICU N">
      <formula>NOT(ISERROR(SEARCH(("ICU N"),(J14))))</formula>
    </cfRule>
  </conditionalFormatting>
  <conditionalFormatting sqref="AS14">
    <cfRule type="containsText" priority="21178" operator="containsText" dxfId="7" text="PATH">
      <formula>NOT(ISERROR(SEARCH(("PATH"),(AS14))))</formula>
    </cfRule>
    <cfRule type="containsText" priority="21179" operator="containsText" dxfId="7" text="NEPHRO">
      <formula>NOT(ISERROR(SEARCH(("NEPHRO"),(AS14))))</formula>
    </cfRule>
    <cfRule type="containsText" priority="21180" operator="containsText" dxfId="7" text="PULM">
      <formula>NOT(ISERROR(SEARCH(("PULM"),(AS14))))</formula>
    </cfRule>
    <cfRule type="containsText" priority="21181" operator="containsText" dxfId="7" text="RADIOLOGY">
      <formula>NOT(ISERROR(SEARCH(("RADIOLOGY"),(AS14))))</formula>
    </cfRule>
    <cfRule type="containsText" priority="21182" operator="containsText" dxfId="7" text="HEM/ONC">
      <formula>NOT(ISERROR(SEARCH(("HEM/ONC"),(AS14))))</formula>
    </cfRule>
    <cfRule type="containsText" priority="21183" operator="containsText" dxfId="7" text="CARDIO">
      <formula>NOT(ISERROR(SEARCH(("CARDIO"),(AS14))))</formula>
    </cfRule>
    <cfRule type="containsText" priority="21184" operator="containsText" dxfId="7" text="ID">
      <formula>NOT(ISERROR(SEARCH(("ID"),(AS14))))</formula>
    </cfRule>
    <cfRule type="containsText" priority="21185" operator="containsText" dxfId="7" text="NEURO">
      <formula>NOT(ISERROR(SEARCH(("NEURO"),(AS14))))</formula>
    </cfRule>
    <cfRule type="containsText" priority="21186" operator="containsText" dxfId="6" text="NEURO">
      <formula>NOT(ISERROR(SEARCH(("NEURO"),(AS14))))</formula>
    </cfRule>
    <cfRule type="containsText" priority="21187" operator="containsText" dxfId="5" text="NEURO">
      <formula>NOT(ISERROR(SEARCH(("NEURO"),(AS14))))</formula>
    </cfRule>
    <cfRule type="containsText" priority="21188" operator="containsText" dxfId="0" text="ICU N">
      <formula>NOT(ISERROR(SEARCH(("ICU N"),(AS14))))</formula>
    </cfRule>
    <cfRule type="containsText" priority="21189" operator="containsText" dxfId="3" text="ICU">
      <formula>NOT(ISERROR(SEARCH(("ICU"),(AS14))))</formula>
    </cfRule>
    <cfRule type="containsText" priority="21190" operator="containsText" dxfId="0" text="SWING">
      <formula>NOT(ISERROR(SEARCH(("SWING"),(AS14))))</formula>
    </cfRule>
    <cfRule type="containsText" priority="21191" operator="containsText" dxfId="0" text="NF">
      <formula>NOT(ISERROR(SEARCH(("NF"),(AS14))))</formula>
    </cfRule>
    <cfRule type="containsText" priority="21192" operator="containsText" dxfId="0" text="ICU N">
      <formula>NOT(ISERROR(SEARCH(("ICU N"),(AS14))))</formula>
    </cfRule>
  </conditionalFormatting>
  <conditionalFormatting sqref="AY14:AZ14">
    <cfRule type="containsText" priority="21177" operator="containsText" dxfId="0" text="ICU N">
      <formula>NOT(ISERROR(SEARCH(("ICU N"),(AY14))))</formula>
    </cfRule>
  </conditionalFormatting>
  <conditionalFormatting sqref="H14">
    <cfRule type="containsText" priority="21137" operator="containsText" dxfId="16" text="ED">
      <formula>NOT(ISERROR(SEARCH(("ED"),(H14))))</formula>
    </cfRule>
    <cfRule type="containsText" priority="21138" operator="containsText" dxfId="15" text="GERIATRIC">
      <formula>NOT(ISERROR(SEARCH(("GERIATRIC"),(H14))))</formula>
    </cfRule>
    <cfRule type="containsText" priority="21139" operator="containsText" dxfId="17" text="VACATION">
      <formula>NOT(ISERROR(SEARCH(("VACATION"),(H14))))</formula>
    </cfRule>
    <cfRule type="containsText" priority="21140" operator="containsText" dxfId="7" text="PATH">
      <formula>NOT(ISERROR(SEARCH(("PATH"),(H14))))</formula>
    </cfRule>
    <cfRule type="containsText" priority="21141" operator="containsText" dxfId="7" text="NEPHRO">
      <formula>NOT(ISERROR(SEARCH(("NEPHRO"),(H14))))</formula>
    </cfRule>
    <cfRule type="containsText" priority="21142" operator="containsText" dxfId="7" text="PULM">
      <formula>NOT(ISERROR(SEARCH(("PULM"),(H14))))</formula>
    </cfRule>
    <cfRule type="containsText" priority="21143" operator="containsText" dxfId="7" text="RADIOLOGY">
      <formula>NOT(ISERROR(SEARCH(("RADIOLOGY"),(H14))))</formula>
    </cfRule>
    <cfRule type="containsText" priority="21144" operator="containsText" dxfId="7" text="HEM/ONC">
      <formula>NOT(ISERROR(SEARCH(("HEM/ONC"),(H14))))</formula>
    </cfRule>
    <cfRule type="containsText" priority="21145" operator="containsText" dxfId="7" text="CARDIO">
      <formula>NOT(ISERROR(SEARCH(("CARDIO"),(H14))))</formula>
    </cfRule>
    <cfRule type="containsText" priority="21146" operator="containsText" dxfId="7" text="ID">
      <formula>NOT(ISERROR(SEARCH(("ID"),(H14))))</formula>
    </cfRule>
    <cfRule type="containsText" priority="21147" operator="containsText" dxfId="7" text="NEURO">
      <formula>NOT(ISERROR(SEARCH(("NEURO"),(H14))))</formula>
    </cfRule>
    <cfRule type="containsText" priority="21148" operator="containsText" dxfId="6" text="NEURO">
      <formula>NOT(ISERROR(SEARCH(("NEURO"),(H14))))</formula>
    </cfRule>
    <cfRule type="containsText" priority="21149" operator="containsText" dxfId="5" text="NEURO">
      <formula>NOT(ISERROR(SEARCH(("NEURO"),(H14))))</formula>
    </cfRule>
    <cfRule type="containsText" priority="21150" operator="containsText" dxfId="0" text="ICU N">
      <formula>NOT(ISERROR(SEARCH(("ICU N"),(H14))))</formula>
    </cfRule>
    <cfRule type="containsText" priority="21151" operator="containsText" dxfId="3" text="ICU">
      <formula>NOT(ISERROR(SEARCH(("ICU"),(H14))))</formula>
    </cfRule>
    <cfRule type="containsText" priority="21152" operator="containsText" dxfId="0" text="SWING">
      <formula>NOT(ISERROR(SEARCH(("SWING"),(H14))))</formula>
    </cfRule>
    <cfRule type="containsText" priority="21153" operator="containsText" dxfId="0" text="NF">
      <formula>NOT(ISERROR(SEARCH(("NF"),(H14))))</formula>
    </cfRule>
    <cfRule type="containsText" priority="21154" operator="containsText" dxfId="0" text="ICU N">
      <formula>NOT(ISERROR(SEARCH(("ICU N"),(H14))))</formula>
    </cfRule>
  </conditionalFormatting>
  <conditionalFormatting sqref="Y14">
    <cfRule type="containsText" priority="21116" operator="containsText" dxfId="17" text="VACATION">
      <formula>NOT(ISERROR(SEARCH(("VACATION"),(Y14))))</formula>
    </cfRule>
  </conditionalFormatting>
  <conditionalFormatting sqref="AO14">
    <cfRule type="containsText" priority="21115" operator="containsText" dxfId="17" text="VACATION">
      <formula>NOT(ISERROR(SEARCH(("VACATION"),(AO14))))</formula>
    </cfRule>
    <cfRule type="containsText" priority="21103" operator="containsText" dxfId="17" text="VACATION">
      <formula>NOT(ISERROR(SEARCH(("VACATION"),(AO14))))</formula>
    </cfRule>
    <cfRule type="containsText" priority="21104" operator="containsText" dxfId="0" text="ICU N">
      <formula>NOT(ISERROR(SEARCH(("ICU N"),(AO14))))</formula>
    </cfRule>
  </conditionalFormatting>
  <conditionalFormatting sqref="D14:E14">
    <cfRule type="containsText" priority="21113" operator="containsText" dxfId="17" text="VACATION">
      <formula>NOT(ISERROR(SEARCH(("VACATION"),(D14))))</formula>
    </cfRule>
    <cfRule type="containsText" priority="21114" operator="containsText" dxfId="0" text="ICU N">
      <formula>NOT(ISERROR(SEARCH(("ICU N"),(D14))))</formula>
    </cfRule>
    <cfRule type="containsText" priority="21108" operator="containsText" dxfId="17" text="VACATION">
      <formula>NOT(ISERROR(SEARCH(("VACATION"),(D14))))</formula>
    </cfRule>
    <cfRule type="containsText" priority="21109" operator="containsText" dxfId="0" text="ICU N">
      <formula>NOT(ISERROR(SEARCH(("ICU N"),(D14))))</formula>
    </cfRule>
    <cfRule type="containsText" priority="21107" operator="containsText" dxfId="17" text="VACATION">
      <formula>NOT(ISERROR(SEARCH(("VACATION"),(D14))))</formula>
    </cfRule>
  </conditionalFormatting>
  <conditionalFormatting sqref="AP14:AQ14">
    <cfRule type="containsText" priority="21110" operator="containsText" dxfId="16" text="ED">
      <formula>NOT(ISERROR(SEARCH(("ED"),(AP14))))</formula>
    </cfRule>
    <cfRule type="containsText" priority="21111" operator="containsText" dxfId="17" text="VACATION">
      <formula>NOT(ISERROR(SEARCH(("VACATION"),(AP14))))</formula>
    </cfRule>
    <cfRule type="containsText" priority="21112" operator="containsText" dxfId="0" text="ICU N">
      <formula>NOT(ISERROR(SEARCH(("ICU N"),(AP14))))</formula>
    </cfRule>
  </conditionalFormatting>
  <conditionalFormatting sqref="AM13:AM14">
    <cfRule type="containsText" priority="21105" operator="containsText" dxfId="17" text="VACATION">
      <formula>NOT(ISERROR(SEARCH(("VACATION"),(AM13))))</formula>
    </cfRule>
    <cfRule type="containsText" priority="21106" operator="containsText" dxfId="0" text="ICU N">
      <formula>NOT(ISERROR(SEARCH(("ICU N"),(AM13))))</formula>
    </cfRule>
  </conditionalFormatting>
  <conditionalFormatting sqref="O32 T32:U32 Y32">
    <cfRule type="containsText" priority="21101" operator="containsText" dxfId="17" text="VACATION">
      <formula>NOT(ISERROR(SEARCH(("VACATION"),(O32))))</formula>
    </cfRule>
    <cfRule type="containsText" priority="21102" operator="containsText" dxfId="0" text="ICU N">
      <formula>NOT(ISERROR(SEARCH(("ICU N"),(O32))))</formula>
    </cfRule>
  </conditionalFormatting>
  <conditionalFormatting sqref="J32">
    <cfRule type="containsText" priority="21083" operator="containsText" dxfId="16" text="ED">
      <formula>NOT(ISERROR(SEARCH(("ED"),(J32))))</formula>
    </cfRule>
    <cfRule type="containsText" priority="21084" operator="containsText" dxfId="15" text="GERIATRIC">
      <formula>NOT(ISERROR(SEARCH(("GERIATRIC"),(J32))))</formula>
    </cfRule>
    <cfRule type="containsText" priority="21085" operator="containsText" dxfId="17" text="VACATION">
      <formula>NOT(ISERROR(SEARCH(("VACATION"),(J32))))</formula>
    </cfRule>
    <cfRule type="containsText" priority="21086" operator="containsText" dxfId="7" text="PATH">
      <formula>NOT(ISERROR(SEARCH(("PATH"),(J32))))</formula>
    </cfRule>
    <cfRule type="containsText" priority="21087" operator="containsText" dxfId="7" text="NEPHRO">
      <formula>NOT(ISERROR(SEARCH(("NEPHRO"),(J32))))</formula>
    </cfRule>
    <cfRule type="containsText" priority="21088" operator="containsText" dxfId="7" text="PULM">
      <formula>NOT(ISERROR(SEARCH(("PULM"),(J32))))</formula>
    </cfRule>
    <cfRule type="containsText" priority="21089" operator="containsText" dxfId="7" text="RADIOLOGY">
      <formula>NOT(ISERROR(SEARCH(("RADIOLOGY"),(J32))))</formula>
    </cfRule>
    <cfRule type="containsText" priority="21090" operator="containsText" dxfId="7" text="HEM/ONC">
      <formula>NOT(ISERROR(SEARCH(("HEM/ONC"),(J32))))</formula>
    </cfRule>
    <cfRule type="containsText" priority="21091" operator="containsText" dxfId="7" text="CARDIO">
      <formula>NOT(ISERROR(SEARCH(("CARDIO"),(J32))))</formula>
    </cfRule>
    <cfRule type="containsText" priority="21092" operator="containsText" dxfId="7" text="ID">
      <formula>NOT(ISERROR(SEARCH(("ID"),(J32))))</formula>
    </cfRule>
    <cfRule type="containsText" priority="21093" operator="containsText" dxfId="7" text="NEURO">
      <formula>NOT(ISERROR(SEARCH(("NEURO"),(J32))))</formula>
    </cfRule>
    <cfRule type="containsText" priority="21094" operator="containsText" dxfId="6" text="NEURO">
      <formula>NOT(ISERROR(SEARCH(("NEURO"),(J32))))</formula>
    </cfRule>
    <cfRule type="containsText" priority="21095" operator="containsText" dxfId="5" text="NEURO">
      <formula>NOT(ISERROR(SEARCH(("NEURO"),(J32))))</formula>
    </cfRule>
    <cfRule type="containsText" priority="21096" operator="containsText" dxfId="0" text="ICU N">
      <formula>NOT(ISERROR(SEARCH(("ICU N"),(J32))))</formula>
    </cfRule>
    <cfRule type="containsText" priority="21097" operator="containsText" dxfId="3" text="ICU">
      <formula>NOT(ISERROR(SEARCH(("ICU"),(J32))))</formula>
    </cfRule>
    <cfRule type="containsText" priority="21098" operator="containsText" dxfId="0" text="SWING">
      <formula>NOT(ISERROR(SEARCH(("SWING"),(J32))))</formula>
    </cfRule>
    <cfRule type="containsText" priority="21099" operator="containsText" dxfId="0" text="NF">
      <formula>NOT(ISERROR(SEARCH(("NF"),(J32))))</formula>
    </cfRule>
    <cfRule type="containsText" priority="21100" operator="containsText" dxfId="0" text="ICU N">
      <formula>NOT(ISERROR(SEARCH(("ICU N"),(J32))))</formula>
    </cfRule>
  </conditionalFormatting>
  <conditionalFormatting sqref="P32">
    <cfRule type="containsText" priority="21082" operator="containsText" dxfId="17" text="VACATION">
      <formula>NOT(ISERROR(SEARCH(("VACATION"),(P32))))</formula>
    </cfRule>
  </conditionalFormatting>
  <conditionalFormatting sqref="I32">
    <cfRule type="containsText" priority="21081" operator="containsText" dxfId="17" text="VACATION">
      <formula>NOT(ISERROR(SEARCH(("VACATION"),(I32))))</formula>
    </cfRule>
  </conditionalFormatting>
  <conditionalFormatting sqref="AM32">
    <cfRule type="containsText" priority="21079" operator="containsText" dxfId="17" text="VACATION">
      <formula>NOT(ISERROR(SEARCH(("VACATION"),(AM32))))</formula>
    </cfRule>
    <cfRule type="containsText" priority="21078" operator="containsText" dxfId="17" text="VACATION">
      <formula>NOT(ISERROR(SEARCH(("VACATION"),(AM32))))</formula>
    </cfRule>
    <cfRule type="containsText" priority="21077" operator="containsText" dxfId="17" text="VACATION">
      <formula>NOT(ISERROR(SEARCH(("VACATION"),(AM32))))</formula>
    </cfRule>
  </conditionalFormatting>
  <conditionalFormatting sqref="F26">
    <cfRule type="containsText" priority="21076" operator="containsText" dxfId="17" text="VACATION">
      <formula>NOT(ISERROR(SEARCH(("VACATION"),(F26))))</formula>
    </cfRule>
  </conditionalFormatting>
  <conditionalFormatting sqref="O14">
    <cfRule type="containsText" priority="21068" operator="containsText" dxfId="17" text="VACATION">
      <formula>NOT(ISERROR(SEARCH(("VACATION"),(O14))))</formula>
    </cfRule>
    <cfRule type="containsText" priority="21069" operator="containsText" dxfId="16" text="ED">
      <formula>NOT(ISERROR(SEARCH(("ED"),(O14))))</formula>
    </cfRule>
    <cfRule type="containsText" priority="21070" operator="containsText" dxfId="15" text="GERIATRIC">
      <formula>NOT(ISERROR(SEARCH(("GERIATRIC"),(O14))))</formula>
    </cfRule>
    <cfRule type="containsText" priority="21071" operator="containsText" dxfId="0" text="ICU N">
      <formula>NOT(ISERROR(SEARCH(("ICU N"),(O14))))</formula>
    </cfRule>
  </conditionalFormatting>
  <conditionalFormatting sqref="T14">
    <cfRule type="containsText" priority="21066" operator="containsText" dxfId="17" text="VACATION">
      <formula>NOT(ISERROR(SEARCH(("VACATION"),(T14))))</formula>
    </cfRule>
    <cfRule type="containsText" priority="21067" operator="containsText" dxfId="0" text="ICU N">
      <formula>NOT(ISERROR(SEARCH(("ICU N"),(T14))))</formula>
    </cfRule>
  </conditionalFormatting>
  <conditionalFormatting sqref="E4">
    <cfRule type="containsText" priority="21046" operator="containsText" dxfId="16" text="ED">
      <formula>NOT(ISERROR(SEARCH(("ED"),(E4))))</formula>
    </cfRule>
    <cfRule type="containsText" priority="21047" operator="containsText" dxfId="15" text="GERIATRIC">
      <formula>NOT(ISERROR(SEARCH(("GERIATRIC"),(E4))))</formula>
    </cfRule>
    <cfRule type="containsText" priority="21048" operator="containsText" dxfId="17" text="VACATION">
      <formula>NOT(ISERROR(SEARCH(("VACATION"),(E4))))</formula>
    </cfRule>
    <cfRule type="containsText" priority="21049" operator="containsText" dxfId="7" text="PATH">
      <formula>NOT(ISERROR(SEARCH(("PATH"),(E4))))</formula>
    </cfRule>
    <cfRule type="containsText" priority="21050" operator="containsText" dxfId="7" text="NEPHRO">
      <formula>NOT(ISERROR(SEARCH(("NEPHRO"),(E4))))</formula>
    </cfRule>
    <cfRule type="containsText" priority="21051" operator="containsText" dxfId="7" text="PULM">
      <formula>NOT(ISERROR(SEARCH(("PULM"),(E4))))</formula>
    </cfRule>
    <cfRule type="containsText" priority="21052" operator="containsText" dxfId="7" text="RADIOLOGY">
      <formula>NOT(ISERROR(SEARCH(("RADIOLOGY"),(E4))))</formula>
    </cfRule>
    <cfRule type="containsText" priority="21053" operator="containsText" dxfId="7" text="HEM/ONC">
      <formula>NOT(ISERROR(SEARCH(("HEM/ONC"),(E4))))</formula>
    </cfRule>
    <cfRule type="containsText" priority="21054" operator="containsText" dxfId="7" text="CARDIO">
      <formula>NOT(ISERROR(SEARCH(("CARDIO"),(E4))))</formula>
    </cfRule>
    <cfRule type="containsText" priority="21055" operator="containsText" dxfId="7" text="ID">
      <formula>NOT(ISERROR(SEARCH(("ID"),(E4))))</formula>
    </cfRule>
    <cfRule type="containsText" priority="21056" operator="containsText" dxfId="7" text="NEURO">
      <formula>NOT(ISERROR(SEARCH(("NEURO"),(E4))))</formula>
    </cfRule>
    <cfRule type="containsText" priority="21057" operator="containsText" dxfId="6" text="NEURO">
      <formula>NOT(ISERROR(SEARCH(("NEURO"),(E4))))</formula>
    </cfRule>
    <cfRule type="containsText" priority="21058" operator="containsText" dxfId="5" text="NEURO">
      <formula>NOT(ISERROR(SEARCH(("NEURO"),(E4))))</formula>
    </cfRule>
    <cfRule type="containsText" priority="21059" operator="containsText" dxfId="0" text="ICU N">
      <formula>NOT(ISERROR(SEARCH(("ICU N"),(E4))))</formula>
    </cfRule>
    <cfRule type="containsText" priority="21060" operator="containsText" dxfId="3" text="ICU">
      <formula>NOT(ISERROR(SEARCH(("ICU"),(E4))))</formula>
    </cfRule>
    <cfRule type="containsText" priority="21061" operator="containsText" dxfId="0" text="SWING">
      <formula>NOT(ISERROR(SEARCH(("SWING"),(E4))))</formula>
    </cfRule>
    <cfRule type="containsText" priority="21062" operator="containsText" dxfId="0" text="NF">
      <formula>NOT(ISERROR(SEARCH(("NF"),(E4))))</formula>
    </cfRule>
    <cfRule type="containsText" priority="21063" operator="containsText" dxfId="0" text="ICU N">
      <formula>NOT(ISERROR(SEARCH(("ICU N"),(E4))))</formula>
    </cfRule>
  </conditionalFormatting>
  <conditionalFormatting sqref="D13">
    <cfRule type="containsText" priority="20974" operator="containsText" dxfId="16" text="ED">
      <formula>NOT(ISERROR(SEARCH(("ED"),(D13))))</formula>
    </cfRule>
    <cfRule type="containsText" priority="20975" operator="containsText" dxfId="15" text="GERIATRIC">
      <formula>NOT(ISERROR(SEARCH(("GERIATRIC"),(D13))))</formula>
    </cfRule>
    <cfRule type="containsText" priority="20976" operator="containsText" dxfId="17" text="VACATION">
      <formula>NOT(ISERROR(SEARCH(("VACATION"),(D13))))</formula>
    </cfRule>
    <cfRule type="containsText" priority="20977" operator="containsText" dxfId="7" text="PATH">
      <formula>NOT(ISERROR(SEARCH(("PATH"),(D13))))</formula>
    </cfRule>
    <cfRule type="containsText" priority="20978" operator="containsText" dxfId="7" text="NEPHRO">
      <formula>NOT(ISERROR(SEARCH(("NEPHRO"),(D13))))</formula>
    </cfRule>
    <cfRule type="containsText" priority="20979" operator="containsText" dxfId="7" text="PULM">
      <formula>NOT(ISERROR(SEARCH(("PULM"),(D13))))</formula>
    </cfRule>
    <cfRule type="containsText" priority="20980" operator="containsText" dxfId="7" text="RADIOLOGY">
      <formula>NOT(ISERROR(SEARCH(("RADIOLOGY"),(D13))))</formula>
    </cfRule>
    <cfRule type="containsText" priority="20981" operator="containsText" dxfId="7" text="HEM/ONC">
      <formula>NOT(ISERROR(SEARCH(("HEM/ONC"),(D13))))</formula>
    </cfRule>
    <cfRule type="containsText" priority="20982" operator="containsText" dxfId="7" text="CARDIO">
      <formula>NOT(ISERROR(SEARCH(("CARDIO"),(D13))))</formula>
    </cfRule>
    <cfRule type="containsText" priority="20983" operator="containsText" dxfId="7" text="ID">
      <formula>NOT(ISERROR(SEARCH(("ID"),(D13))))</formula>
    </cfRule>
    <cfRule type="containsText" priority="20984" operator="containsText" dxfId="7" text="NEURO">
      <formula>NOT(ISERROR(SEARCH(("NEURO"),(D13))))</formula>
    </cfRule>
    <cfRule type="containsText" priority="20985" operator="containsText" dxfId="6" text="NEURO">
      <formula>NOT(ISERROR(SEARCH(("NEURO"),(D13))))</formula>
    </cfRule>
    <cfRule type="containsText" priority="20986" operator="containsText" dxfId="5" text="NEURO">
      <formula>NOT(ISERROR(SEARCH(("NEURO"),(D13))))</formula>
    </cfRule>
    <cfRule type="containsText" priority="20987" operator="containsText" dxfId="0" text="ICU N">
      <formula>NOT(ISERROR(SEARCH(("ICU N"),(D13))))</formula>
    </cfRule>
    <cfRule type="containsText" priority="20988" operator="containsText" dxfId="3" text="ICU">
      <formula>NOT(ISERROR(SEARCH(("ICU"),(D13))))</formula>
    </cfRule>
    <cfRule type="containsText" priority="20989" operator="containsText" dxfId="0" text="SWING">
      <formula>NOT(ISERROR(SEARCH(("SWING"),(D13))))</formula>
    </cfRule>
    <cfRule type="containsText" priority="20990" operator="containsText" dxfId="0" text="NF">
      <formula>NOT(ISERROR(SEARCH(("NF"),(D13))))</formula>
    </cfRule>
    <cfRule type="containsText" priority="20991" operator="containsText" dxfId="0" text="ICU N">
      <formula>NOT(ISERROR(SEARCH(("ICU N"),(D13))))</formula>
    </cfRule>
  </conditionalFormatting>
  <conditionalFormatting sqref="F29:F33 F36:F42 F44:F46">
    <cfRule type="containsText" priority="20848" operator="containsText" dxfId="16" text="ED">
      <formula>NOT(ISERROR(SEARCH(("ED"),(F29))))</formula>
    </cfRule>
    <cfRule type="containsText" priority="20849" operator="containsText" dxfId="15" text="GERIATRIC">
      <formula>NOT(ISERROR(SEARCH(("GERIATRIC"),(F29))))</formula>
    </cfRule>
    <cfRule type="containsText" priority="20850" operator="containsText" dxfId="17" text="VACATION">
      <formula>NOT(ISERROR(SEARCH(("VACATION"),(F29))))</formula>
    </cfRule>
    <cfRule type="containsText" priority="20851" operator="containsText" dxfId="7" text="PATH">
      <formula>NOT(ISERROR(SEARCH(("PATH"),(F29))))</formula>
    </cfRule>
    <cfRule type="containsText" priority="20852" operator="containsText" dxfId="7" text="NEPHRO">
      <formula>NOT(ISERROR(SEARCH(("NEPHRO"),(F29))))</formula>
    </cfRule>
    <cfRule type="containsText" priority="20853" operator="containsText" dxfId="7" text="PULM">
      <formula>NOT(ISERROR(SEARCH(("PULM"),(F29))))</formula>
    </cfRule>
    <cfRule type="containsText" priority="20854" operator="containsText" dxfId="7" text="RADIOLOGY">
      <formula>NOT(ISERROR(SEARCH(("RADIOLOGY"),(F29))))</formula>
    </cfRule>
    <cfRule type="containsText" priority="20855" operator="containsText" dxfId="7" text="HEM/ONC">
      <formula>NOT(ISERROR(SEARCH(("HEM/ONC"),(F29))))</formula>
    </cfRule>
    <cfRule type="containsText" priority="20856" operator="containsText" dxfId="7" text="CARDIO">
      <formula>NOT(ISERROR(SEARCH(("CARDIO"),(F29))))</formula>
    </cfRule>
    <cfRule type="containsText" priority="20857" operator="containsText" dxfId="7" text="ID">
      <formula>NOT(ISERROR(SEARCH(("ID"),(F29))))</formula>
    </cfRule>
    <cfRule type="containsText" priority="20858" operator="containsText" dxfId="7" text="NEURO">
      <formula>NOT(ISERROR(SEARCH(("NEURO"),(F29))))</formula>
    </cfRule>
    <cfRule type="containsText" priority="20859" operator="containsText" dxfId="6" text="NEURO">
      <formula>NOT(ISERROR(SEARCH(("NEURO"),(F29))))</formula>
    </cfRule>
    <cfRule type="containsText" priority="20860" operator="containsText" dxfId="5" text="NEURO">
      <formula>NOT(ISERROR(SEARCH(("NEURO"),(F29))))</formula>
    </cfRule>
    <cfRule type="containsText" priority="20861" operator="containsText" dxfId="0" text="ICU N">
      <formula>NOT(ISERROR(SEARCH(("ICU N"),(F29))))</formula>
    </cfRule>
    <cfRule type="containsText" priority="20862" operator="containsText" dxfId="3" text="ICU">
      <formula>NOT(ISERROR(SEARCH(("ICU"),(F29))))</formula>
    </cfRule>
    <cfRule type="containsText" priority="20863" operator="containsText" dxfId="0" text="SWING">
      <formula>NOT(ISERROR(SEARCH(("SWING"),(F29))))</formula>
    </cfRule>
    <cfRule type="containsText" priority="20864" operator="containsText" dxfId="0" text="NF">
      <formula>NOT(ISERROR(SEARCH(("NF"),(F29))))</formula>
    </cfRule>
    <cfRule type="containsText" priority="20865" operator="containsText" dxfId="0" text="ICU N">
      <formula>NOT(ISERROR(SEARCH(("ICU N"),(F29))))</formula>
    </cfRule>
  </conditionalFormatting>
  <conditionalFormatting sqref="F45">
    <cfRule type="containsText" priority="20794" operator="containsText" dxfId="16" text="ED">
      <formula>NOT(ISERROR(SEARCH(("ED"),(F45))))</formula>
    </cfRule>
    <cfRule type="containsText" priority="20795" operator="containsText" dxfId="15" text="GERIATRIC">
      <formula>NOT(ISERROR(SEARCH(("GERIATRIC"),(F45))))</formula>
    </cfRule>
    <cfRule type="containsText" priority="20796" operator="containsText" dxfId="17" text="VACATION">
      <formula>NOT(ISERROR(SEARCH(("VACATION"),(F45))))</formula>
    </cfRule>
    <cfRule type="containsText" priority="20797" operator="containsText" dxfId="7" text="PATH">
      <formula>NOT(ISERROR(SEARCH(("PATH"),(F45))))</formula>
    </cfRule>
    <cfRule type="containsText" priority="20798" operator="containsText" dxfId="7" text="NEPHRO">
      <formula>NOT(ISERROR(SEARCH(("NEPHRO"),(F45))))</formula>
    </cfRule>
    <cfRule type="containsText" priority="20799" operator="containsText" dxfId="7" text="PULM">
      <formula>NOT(ISERROR(SEARCH(("PULM"),(F45))))</formula>
    </cfRule>
    <cfRule type="containsText" priority="20800" operator="containsText" dxfId="7" text="RADIOLOGY">
      <formula>NOT(ISERROR(SEARCH(("RADIOLOGY"),(F45))))</formula>
    </cfRule>
    <cfRule type="containsText" priority="20801" operator="containsText" dxfId="7" text="HEM/ONC">
      <formula>NOT(ISERROR(SEARCH(("HEM/ONC"),(F45))))</formula>
    </cfRule>
    <cfRule type="containsText" priority="20802" operator="containsText" dxfId="7" text="CARDIO">
      <formula>NOT(ISERROR(SEARCH(("CARDIO"),(F45))))</formula>
    </cfRule>
    <cfRule type="containsText" priority="20803" operator="containsText" dxfId="7" text="ID">
      <formula>NOT(ISERROR(SEARCH(("ID"),(F45))))</formula>
    </cfRule>
    <cfRule type="containsText" priority="20804" operator="containsText" dxfId="7" text="NEURO">
      <formula>NOT(ISERROR(SEARCH(("NEURO"),(F45))))</formula>
    </cfRule>
    <cfRule type="containsText" priority="20805" operator="containsText" dxfId="6" text="NEURO">
      <formula>NOT(ISERROR(SEARCH(("NEURO"),(F45))))</formula>
    </cfRule>
    <cfRule type="containsText" priority="20806" operator="containsText" dxfId="5" text="NEURO">
      <formula>NOT(ISERROR(SEARCH(("NEURO"),(F45))))</formula>
    </cfRule>
    <cfRule type="containsText" priority="20807" operator="containsText" dxfId="0" text="ICU N">
      <formula>NOT(ISERROR(SEARCH(("ICU N"),(F45))))</formula>
    </cfRule>
    <cfRule type="containsText" priority="20808" operator="containsText" dxfId="3" text="ICU">
      <formula>NOT(ISERROR(SEARCH(("ICU"),(F45))))</formula>
    </cfRule>
    <cfRule type="containsText" priority="20809" operator="containsText" dxfId="0" text="SWING">
      <formula>NOT(ISERROR(SEARCH(("SWING"),(F45))))</formula>
    </cfRule>
    <cfRule type="containsText" priority="20810" operator="containsText" dxfId="0" text="NF">
      <formula>NOT(ISERROR(SEARCH(("NF"),(F45))))</formula>
    </cfRule>
    <cfRule type="containsText" priority="20811" operator="containsText" dxfId="0" text="ICU N">
      <formula>NOT(ISERROR(SEARCH(("ICU N"),(F45))))</formula>
    </cfRule>
  </conditionalFormatting>
  <conditionalFormatting sqref="D40">
    <cfRule type="containsText" priority="20776" operator="containsText" dxfId="16" text="ED">
      <formula>NOT(ISERROR(SEARCH(("ED"),(D40))))</formula>
    </cfRule>
    <cfRule type="containsText" priority="20777" operator="containsText" dxfId="15" text="GERIATRIC">
      <formula>NOT(ISERROR(SEARCH(("GERIATRIC"),(D40))))</formula>
    </cfRule>
    <cfRule type="containsText" priority="20778" operator="containsText" dxfId="17" text="VACATION">
      <formula>NOT(ISERROR(SEARCH(("VACATION"),(D40))))</formula>
    </cfRule>
    <cfRule type="containsText" priority="20779" operator="containsText" dxfId="7" text="PATH">
      <formula>NOT(ISERROR(SEARCH(("PATH"),(D40))))</formula>
    </cfRule>
    <cfRule type="containsText" priority="20780" operator="containsText" dxfId="7" text="NEPHRO">
      <formula>NOT(ISERROR(SEARCH(("NEPHRO"),(D40))))</formula>
    </cfRule>
    <cfRule type="containsText" priority="20781" operator="containsText" dxfId="7" text="PULM">
      <formula>NOT(ISERROR(SEARCH(("PULM"),(D40))))</formula>
    </cfRule>
    <cfRule type="containsText" priority="20782" operator="containsText" dxfId="7" text="RADIOLOGY">
      <formula>NOT(ISERROR(SEARCH(("RADIOLOGY"),(D40))))</formula>
    </cfRule>
    <cfRule type="containsText" priority="20783" operator="containsText" dxfId="7" text="HEM/ONC">
      <formula>NOT(ISERROR(SEARCH(("HEM/ONC"),(D40))))</formula>
    </cfRule>
    <cfRule type="containsText" priority="20784" operator="containsText" dxfId="7" text="CARDIO">
      <formula>NOT(ISERROR(SEARCH(("CARDIO"),(D40))))</formula>
    </cfRule>
    <cfRule type="containsText" priority="20785" operator="containsText" dxfId="7" text="ID">
      <formula>NOT(ISERROR(SEARCH(("ID"),(D40))))</formula>
    </cfRule>
    <cfRule type="containsText" priority="20786" operator="containsText" dxfId="7" text="NEURO">
      <formula>NOT(ISERROR(SEARCH(("NEURO"),(D40))))</formula>
    </cfRule>
    <cfRule type="containsText" priority="20787" operator="containsText" dxfId="6" text="NEURO">
      <formula>NOT(ISERROR(SEARCH(("NEURO"),(D40))))</formula>
    </cfRule>
    <cfRule type="containsText" priority="20788" operator="containsText" dxfId="5" text="NEURO">
      <formula>NOT(ISERROR(SEARCH(("NEURO"),(D40))))</formula>
    </cfRule>
    <cfRule type="containsText" priority="20789" operator="containsText" dxfId="0" text="ICU N">
      <formula>NOT(ISERROR(SEARCH(("ICU N"),(D40))))</formula>
    </cfRule>
    <cfRule type="containsText" priority="20790" operator="containsText" dxfId="3" text="ICU">
      <formula>NOT(ISERROR(SEARCH(("ICU"),(D40))))</formula>
    </cfRule>
    <cfRule type="containsText" priority="20791" operator="containsText" dxfId="0" text="SWING">
      <formula>NOT(ISERROR(SEARCH(("SWING"),(D40))))</formula>
    </cfRule>
    <cfRule type="containsText" priority="20792" operator="containsText" dxfId="0" text="NF">
      <formula>NOT(ISERROR(SEARCH(("NF"),(D40))))</formula>
    </cfRule>
    <cfRule type="containsText" priority="20793" operator="containsText" dxfId="0" text="ICU N">
      <formula>NOT(ISERROR(SEARCH(("ICU N"),(D40))))</formula>
    </cfRule>
  </conditionalFormatting>
  <conditionalFormatting sqref="D12:D17 D19:D23 D25:D30 D32:D36 D38:D41 D43 D45:D46">
    <cfRule type="containsText" priority="20740" operator="containsText" dxfId="16" text="ED">
      <formula>NOT(ISERROR(SEARCH(("ED"),(D12))))</formula>
    </cfRule>
    <cfRule type="containsText" priority="20741" operator="containsText" dxfId="15" text="GERIATRIC">
      <formula>NOT(ISERROR(SEARCH(("GERIATRIC"),(D12))))</formula>
    </cfRule>
    <cfRule type="containsText" priority="20742" operator="containsText" dxfId="17" text="VACATION">
      <formula>NOT(ISERROR(SEARCH(("VACATION"),(D12))))</formula>
    </cfRule>
    <cfRule type="containsText" priority="20743" operator="containsText" dxfId="7" text="PATH">
      <formula>NOT(ISERROR(SEARCH(("PATH"),(D12))))</formula>
    </cfRule>
    <cfRule type="containsText" priority="20744" operator="containsText" dxfId="7" text="NEPHRO">
      <formula>NOT(ISERROR(SEARCH(("NEPHRO"),(D12))))</formula>
    </cfRule>
    <cfRule type="containsText" priority="20745" operator="containsText" dxfId="7" text="PULM">
      <formula>NOT(ISERROR(SEARCH(("PULM"),(D12))))</formula>
    </cfRule>
    <cfRule type="containsText" priority="20746" operator="containsText" dxfId="7" text="RADIOLOGY">
      <formula>NOT(ISERROR(SEARCH(("RADIOLOGY"),(D12))))</formula>
    </cfRule>
    <cfRule type="containsText" priority="20747" operator="containsText" dxfId="7" text="HEM/ONC">
      <formula>NOT(ISERROR(SEARCH(("HEM/ONC"),(D12))))</formula>
    </cfRule>
    <cfRule type="containsText" priority="20748" operator="containsText" dxfId="7" text="CARDIO">
      <formula>NOT(ISERROR(SEARCH(("CARDIO"),(D12))))</formula>
    </cfRule>
    <cfRule type="containsText" priority="20749" operator="containsText" dxfId="7" text="ID">
      <formula>NOT(ISERROR(SEARCH(("ID"),(D12))))</formula>
    </cfRule>
    <cfRule type="containsText" priority="20750" operator="containsText" dxfId="7" text="NEURO">
      <formula>NOT(ISERROR(SEARCH(("NEURO"),(D12))))</formula>
    </cfRule>
    <cfRule type="containsText" priority="20751" operator="containsText" dxfId="6" text="NEURO">
      <formula>NOT(ISERROR(SEARCH(("NEURO"),(D12))))</formula>
    </cfRule>
    <cfRule type="containsText" priority="20752" operator="containsText" dxfId="5" text="NEURO">
      <formula>NOT(ISERROR(SEARCH(("NEURO"),(D12))))</formula>
    </cfRule>
    <cfRule type="containsText" priority="20753" operator="containsText" dxfId="0" text="ICU N">
      <formula>NOT(ISERROR(SEARCH(("ICU N"),(D12))))</formula>
    </cfRule>
    <cfRule type="containsText" priority="20754" operator="containsText" dxfId="3" text="ICU">
      <formula>NOT(ISERROR(SEARCH(("ICU"),(D12))))</formula>
    </cfRule>
    <cfRule type="containsText" priority="20755" operator="containsText" dxfId="0" text="SWING">
      <formula>NOT(ISERROR(SEARCH(("SWING"),(D12))))</formula>
    </cfRule>
    <cfRule type="containsText" priority="20756" operator="containsText" dxfId="0" text="NF">
      <formula>NOT(ISERROR(SEARCH(("NF"),(D12))))</formula>
    </cfRule>
    <cfRule type="containsText" priority="20757" operator="containsText" dxfId="0" text="ICU N">
      <formula>NOT(ISERROR(SEARCH(("ICU N"),(D12))))</formula>
    </cfRule>
  </conditionalFormatting>
  <conditionalFormatting sqref="H32">
    <cfRule type="containsText" priority="20704" operator="containsText" dxfId="16" text="ED">
      <formula>NOT(ISERROR(SEARCH(("ED"),(H32))))</formula>
    </cfRule>
    <cfRule type="containsText" priority="20705" operator="containsText" dxfId="15" text="GERIATRIC">
      <formula>NOT(ISERROR(SEARCH(("GERIATRIC"),(H32))))</formula>
    </cfRule>
    <cfRule type="containsText" priority="20706" operator="containsText" dxfId="17" text="VACATION">
      <formula>NOT(ISERROR(SEARCH(("VACATION"),(H32))))</formula>
    </cfRule>
    <cfRule type="containsText" priority="20707" operator="containsText" dxfId="7" text="PATH">
      <formula>NOT(ISERROR(SEARCH(("PATH"),(H32))))</formula>
    </cfRule>
    <cfRule type="containsText" priority="20708" operator="containsText" dxfId="7" text="NEPHRO">
      <formula>NOT(ISERROR(SEARCH(("NEPHRO"),(H32))))</formula>
    </cfRule>
    <cfRule type="containsText" priority="20709" operator="containsText" dxfId="7" text="PULM">
      <formula>NOT(ISERROR(SEARCH(("PULM"),(H32))))</formula>
    </cfRule>
    <cfRule type="containsText" priority="20710" operator="containsText" dxfId="7" text="RADIOLOGY">
      <formula>NOT(ISERROR(SEARCH(("RADIOLOGY"),(H32))))</formula>
    </cfRule>
    <cfRule type="containsText" priority="20711" operator="containsText" dxfId="7" text="HEM/ONC">
      <formula>NOT(ISERROR(SEARCH(("HEM/ONC"),(H32))))</formula>
    </cfRule>
    <cfRule type="containsText" priority="20712" operator="containsText" dxfId="7" text="CARDIO">
      <formula>NOT(ISERROR(SEARCH(("CARDIO"),(H32))))</formula>
    </cfRule>
    <cfRule type="containsText" priority="20713" operator="containsText" dxfId="7" text="ID">
      <formula>NOT(ISERROR(SEARCH(("ID"),(H32))))</formula>
    </cfRule>
    <cfRule type="containsText" priority="20714" operator="containsText" dxfId="7" text="NEURO">
      <formula>NOT(ISERROR(SEARCH(("NEURO"),(H32))))</formula>
    </cfRule>
    <cfRule type="containsText" priority="20715" operator="containsText" dxfId="6" text="NEURO">
      <formula>NOT(ISERROR(SEARCH(("NEURO"),(H32))))</formula>
    </cfRule>
    <cfRule type="containsText" priority="20716" operator="containsText" dxfId="5" text="NEURO">
      <formula>NOT(ISERROR(SEARCH(("NEURO"),(H32))))</formula>
    </cfRule>
    <cfRule type="containsText" priority="20717" operator="containsText" dxfId="0" text="ICU N">
      <formula>NOT(ISERROR(SEARCH(("ICU N"),(H32))))</formula>
    </cfRule>
    <cfRule type="containsText" priority="20718" operator="containsText" dxfId="3" text="ICU">
      <formula>NOT(ISERROR(SEARCH(("ICU"),(H32))))</formula>
    </cfRule>
    <cfRule type="containsText" priority="20719" operator="containsText" dxfId="0" text="SWING">
      <formula>NOT(ISERROR(SEARCH(("SWING"),(H32))))</formula>
    </cfRule>
    <cfRule type="containsText" priority="20720" operator="containsText" dxfId="0" text="NF">
      <formula>NOT(ISERROR(SEARCH(("NF"),(H32))))</formula>
    </cfRule>
    <cfRule type="containsText" priority="20721" operator="containsText" dxfId="0" text="ICU N">
      <formula>NOT(ISERROR(SEARCH(("ICU N"),(H32))))</formula>
    </cfRule>
  </conditionalFormatting>
  <conditionalFormatting sqref="I27">
    <cfRule type="containsText" priority="20668" operator="containsText" dxfId="16" text="ED">
      <formula>NOT(ISERROR(SEARCH(("ED"),(I27))))</formula>
    </cfRule>
    <cfRule type="containsText" priority="20669" operator="containsText" dxfId="15" text="GERIATRIC">
      <formula>NOT(ISERROR(SEARCH(("GERIATRIC"),(I27))))</formula>
    </cfRule>
    <cfRule type="containsText" priority="20670" operator="containsText" dxfId="17" text="VACATION">
      <formula>NOT(ISERROR(SEARCH(("VACATION"),(I27))))</formula>
    </cfRule>
    <cfRule type="containsText" priority="20671" operator="containsText" dxfId="7" text="PATH">
      <formula>NOT(ISERROR(SEARCH(("PATH"),(I27))))</formula>
    </cfRule>
    <cfRule type="containsText" priority="20672" operator="containsText" dxfId="7" text="NEPHRO">
      <formula>NOT(ISERROR(SEARCH(("NEPHRO"),(I27))))</formula>
    </cfRule>
    <cfRule type="containsText" priority="20673" operator="containsText" dxfId="7" text="PULM">
      <formula>NOT(ISERROR(SEARCH(("PULM"),(I27))))</formula>
    </cfRule>
    <cfRule type="containsText" priority="20674" operator="containsText" dxfId="7" text="RADIOLOGY">
      <formula>NOT(ISERROR(SEARCH(("RADIOLOGY"),(I27))))</formula>
    </cfRule>
    <cfRule type="containsText" priority="20675" operator="containsText" dxfId="7" text="HEM/ONC">
      <formula>NOT(ISERROR(SEARCH(("HEM/ONC"),(I27))))</formula>
    </cfRule>
    <cfRule type="containsText" priority="20676" operator="containsText" dxfId="7" text="CARDIO">
      <formula>NOT(ISERROR(SEARCH(("CARDIO"),(I27))))</formula>
    </cfRule>
    <cfRule type="containsText" priority="20677" operator="containsText" dxfId="7" text="ID">
      <formula>NOT(ISERROR(SEARCH(("ID"),(I27))))</formula>
    </cfRule>
    <cfRule type="containsText" priority="20678" operator="containsText" dxfId="7" text="NEURO">
      <formula>NOT(ISERROR(SEARCH(("NEURO"),(I27))))</formula>
    </cfRule>
    <cfRule type="containsText" priority="20679" operator="containsText" dxfId="6" text="NEURO">
      <formula>NOT(ISERROR(SEARCH(("NEURO"),(I27))))</formula>
    </cfRule>
    <cfRule type="containsText" priority="20680" operator="containsText" dxfId="5" text="NEURO">
      <formula>NOT(ISERROR(SEARCH(("NEURO"),(I27))))</formula>
    </cfRule>
    <cfRule type="containsText" priority="20681" operator="containsText" dxfId="0" text="ICU N">
      <formula>NOT(ISERROR(SEARCH(("ICU N"),(I27))))</formula>
    </cfRule>
    <cfRule type="containsText" priority="20682" operator="containsText" dxfId="3" text="ICU">
      <formula>NOT(ISERROR(SEARCH(("ICU"),(I27))))</formula>
    </cfRule>
    <cfRule type="containsText" priority="20683" operator="containsText" dxfId="0" text="SWING">
      <formula>NOT(ISERROR(SEARCH(("SWING"),(I27))))</formula>
    </cfRule>
    <cfRule type="containsText" priority="20684" operator="containsText" dxfId="0" text="NF">
      <formula>NOT(ISERROR(SEARCH(("NF"),(I27))))</formula>
    </cfRule>
    <cfRule type="containsText" priority="20685" operator="containsText" dxfId="0" text="ICU N">
      <formula>NOT(ISERROR(SEARCH(("ICU N"),(I27))))</formula>
    </cfRule>
  </conditionalFormatting>
  <conditionalFormatting sqref="H25:I25">
    <cfRule type="containsText" priority="20650" operator="containsText" dxfId="16" text="ED">
      <formula>NOT(ISERROR(SEARCH(("ED"),(H25))))</formula>
    </cfRule>
    <cfRule type="containsText" priority="20651" operator="containsText" dxfId="15" text="GERIATRIC">
      <formula>NOT(ISERROR(SEARCH(("GERIATRIC"),(H25))))</formula>
    </cfRule>
    <cfRule type="containsText" priority="20652" operator="containsText" dxfId="17" text="VACATION">
      <formula>NOT(ISERROR(SEARCH(("VACATION"),(H25))))</formula>
    </cfRule>
    <cfRule type="containsText" priority="20653" operator="containsText" dxfId="7" text="PATH">
      <formula>NOT(ISERROR(SEARCH(("PATH"),(H25))))</formula>
    </cfRule>
    <cfRule type="containsText" priority="20654" operator="containsText" dxfId="7" text="NEPHRO">
      <formula>NOT(ISERROR(SEARCH(("NEPHRO"),(H25))))</formula>
    </cfRule>
    <cfRule type="containsText" priority="20655" operator="containsText" dxfId="7" text="PULM">
      <formula>NOT(ISERROR(SEARCH(("PULM"),(H25))))</formula>
    </cfRule>
    <cfRule type="containsText" priority="20656" operator="containsText" dxfId="7" text="RADIOLOGY">
      <formula>NOT(ISERROR(SEARCH(("RADIOLOGY"),(H25))))</formula>
    </cfRule>
    <cfRule type="containsText" priority="20657" operator="containsText" dxfId="7" text="HEM/ONC">
      <formula>NOT(ISERROR(SEARCH(("HEM/ONC"),(H25))))</formula>
    </cfRule>
    <cfRule type="containsText" priority="20658" operator="containsText" dxfId="7" text="CARDIO">
      <formula>NOT(ISERROR(SEARCH(("CARDIO"),(H25))))</formula>
    </cfRule>
    <cfRule type="containsText" priority="20659" operator="containsText" dxfId="7" text="ID">
      <formula>NOT(ISERROR(SEARCH(("ID"),(H25))))</formula>
    </cfRule>
    <cfRule type="containsText" priority="20660" operator="containsText" dxfId="7" text="NEURO">
      <formula>NOT(ISERROR(SEARCH(("NEURO"),(H25))))</formula>
    </cfRule>
    <cfRule type="containsText" priority="20661" operator="containsText" dxfId="6" text="NEURO">
      <formula>NOT(ISERROR(SEARCH(("NEURO"),(H25))))</formula>
    </cfRule>
    <cfRule type="containsText" priority="20662" operator="containsText" dxfId="5" text="NEURO">
      <formula>NOT(ISERROR(SEARCH(("NEURO"),(H25))))</formula>
    </cfRule>
    <cfRule type="containsText" priority="20663" operator="containsText" dxfId="0" text="ICU N">
      <formula>NOT(ISERROR(SEARCH(("ICU N"),(H25))))</formula>
    </cfRule>
    <cfRule type="containsText" priority="20664" operator="containsText" dxfId="3" text="ICU">
      <formula>NOT(ISERROR(SEARCH(("ICU"),(H25))))</formula>
    </cfRule>
    <cfRule type="containsText" priority="20665" operator="containsText" dxfId="0" text="SWING">
      <formula>NOT(ISERROR(SEARCH(("SWING"),(H25))))</formula>
    </cfRule>
    <cfRule type="containsText" priority="20666" operator="containsText" dxfId="0" text="NF">
      <formula>NOT(ISERROR(SEARCH(("NF"),(H25))))</formula>
    </cfRule>
    <cfRule type="containsText" priority="20667" operator="containsText" dxfId="0" text="ICU N">
      <formula>NOT(ISERROR(SEARCH(("ICU N"),(H25))))</formula>
    </cfRule>
  </conditionalFormatting>
  <conditionalFormatting sqref="I17">
    <cfRule type="containsText" priority="20614" operator="containsText" dxfId="16" text="ED">
      <formula>NOT(ISERROR(SEARCH(("ED"),(I17))))</formula>
    </cfRule>
    <cfRule type="containsText" priority="20615" operator="containsText" dxfId="15" text="GERIATRIC">
      <formula>NOT(ISERROR(SEARCH(("GERIATRIC"),(I17))))</formula>
    </cfRule>
    <cfRule type="containsText" priority="20616" operator="containsText" dxfId="17" text="VACATION">
      <formula>NOT(ISERROR(SEARCH(("VACATION"),(I17))))</formula>
    </cfRule>
    <cfRule type="containsText" priority="20617" operator="containsText" dxfId="7" text="PATH">
      <formula>NOT(ISERROR(SEARCH(("PATH"),(I17))))</formula>
    </cfRule>
    <cfRule type="containsText" priority="20618" operator="containsText" dxfId="7" text="NEPHRO">
      <formula>NOT(ISERROR(SEARCH(("NEPHRO"),(I17))))</formula>
    </cfRule>
    <cfRule type="containsText" priority="20619" operator="containsText" dxfId="7" text="PULM">
      <formula>NOT(ISERROR(SEARCH(("PULM"),(I17))))</formula>
    </cfRule>
    <cfRule type="containsText" priority="20620" operator="containsText" dxfId="7" text="RADIOLOGY">
      <formula>NOT(ISERROR(SEARCH(("RADIOLOGY"),(I17))))</formula>
    </cfRule>
    <cfRule type="containsText" priority="20621" operator="containsText" dxfId="7" text="HEM/ONC">
      <formula>NOT(ISERROR(SEARCH(("HEM/ONC"),(I17))))</formula>
    </cfRule>
    <cfRule type="containsText" priority="20622" operator="containsText" dxfId="7" text="CARDIO">
      <formula>NOT(ISERROR(SEARCH(("CARDIO"),(I17))))</formula>
    </cfRule>
    <cfRule type="containsText" priority="20623" operator="containsText" dxfId="7" text="ID">
      <formula>NOT(ISERROR(SEARCH(("ID"),(I17))))</formula>
    </cfRule>
    <cfRule type="containsText" priority="20624" operator="containsText" dxfId="7" text="NEURO">
      <formula>NOT(ISERROR(SEARCH(("NEURO"),(I17))))</formula>
    </cfRule>
    <cfRule type="containsText" priority="20625" operator="containsText" dxfId="6" text="NEURO">
      <formula>NOT(ISERROR(SEARCH(("NEURO"),(I17))))</formula>
    </cfRule>
    <cfRule type="containsText" priority="20626" operator="containsText" dxfId="5" text="NEURO">
      <formula>NOT(ISERROR(SEARCH(("NEURO"),(I17))))</formula>
    </cfRule>
    <cfRule type="containsText" priority="20627" operator="containsText" dxfId="0" text="ICU N">
      <formula>NOT(ISERROR(SEARCH(("ICU N"),(I17))))</formula>
    </cfRule>
    <cfRule type="containsText" priority="20628" operator="containsText" dxfId="3" text="ICU">
      <formula>NOT(ISERROR(SEARCH(("ICU"),(I17))))</formula>
    </cfRule>
    <cfRule type="containsText" priority="20629" operator="containsText" dxfId="0" text="SWING">
      <formula>NOT(ISERROR(SEARCH(("SWING"),(I17))))</formula>
    </cfRule>
    <cfRule type="containsText" priority="20630" operator="containsText" dxfId="0" text="NF">
      <formula>NOT(ISERROR(SEARCH(("NF"),(I17))))</formula>
    </cfRule>
    <cfRule type="containsText" priority="20631" operator="containsText" dxfId="0" text="ICU N">
      <formula>NOT(ISERROR(SEARCH(("ICU N"),(I17))))</formula>
    </cfRule>
  </conditionalFormatting>
  <conditionalFormatting sqref="H4">
    <cfRule type="containsText" priority="20596" operator="containsText" dxfId="16" text="ED">
      <formula>NOT(ISERROR(SEARCH(("ED"),(H4))))</formula>
    </cfRule>
    <cfRule type="containsText" priority="20597" operator="containsText" dxfId="15" text="GERIATRIC">
      <formula>NOT(ISERROR(SEARCH(("GERIATRIC"),(H4))))</formula>
    </cfRule>
    <cfRule type="containsText" priority="20598" operator="containsText" dxfId="17" text="VACATION">
      <formula>NOT(ISERROR(SEARCH(("VACATION"),(H4))))</formula>
    </cfRule>
    <cfRule type="containsText" priority="20599" operator="containsText" dxfId="7" text="PATH">
      <formula>NOT(ISERROR(SEARCH(("PATH"),(H4))))</formula>
    </cfRule>
    <cfRule type="containsText" priority="20600" operator="containsText" dxfId="7" text="NEPHRO">
      <formula>NOT(ISERROR(SEARCH(("NEPHRO"),(H4))))</formula>
    </cfRule>
    <cfRule type="containsText" priority="20601" operator="containsText" dxfId="7" text="PULM">
      <formula>NOT(ISERROR(SEARCH(("PULM"),(H4))))</formula>
    </cfRule>
    <cfRule type="containsText" priority="20602" operator="containsText" dxfId="7" text="RADIOLOGY">
      <formula>NOT(ISERROR(SEARCH(("RADIOLOGY"),(H4))))</formula>
    </cfRule>
    <cfRule type="containsText" priority="20603" operator="containsText" dxfId="7" text="HEM/ONC">
      <formula>NOT(ISERROR(SEARCH(("HEM/ONC"),(H4))))</formula>
    </cfRule>
    <cfRule type="containsText" priority="20604" operator="containsText" dxfId="7" text="CARDIO">
      <formula>NOT(ISERROR(SEARCH(("CARDIO"),(H4))))</formula>
    </cfRule>
    <cfRule type="containsText" priority="20605" operator="containsText" dxfId="7" text="ID">
      <formula>NOT(ISERROR(SEARCH(("ID"),(H4))))</formula>
    </cfRule>
    <cfRule type="containsText" priority="20606" operator="containsText" dxfId="7" text="NEURO">
      <formula>NOT(ISERROR(SEARCH(("NEURO"),(H4))))</formula>
    </cfRule>
    <cfRule type="containsText" priority="20607" operator="containsText" dxfId="6" text="NEURO">
      <formula>NOT(ISERROR(SEARCH(("NEURO"),(H4))))</formula>
    </cfRule>
    <cfRule type="containsText" priority="20608" operator="containsText" dxfId="5" text="NEURO">
      <formula>NOT(ISERROR(SEARCH(("NEURO"),(H4))))</formula>
    </cfRule>
    <cfRule type="containsText" priority="20609" operator="containsText" dxfId="0" text="ICU N">
      <formula>NOT(ISERROR(SEARCH(("ICU N"),(H4))))</formula>
    </cfRule>
    <cfRule type="containsText" priority="20610" operator="containsText" dxfId="3" text="ICU">
      <formula>NOT(ISERROR(SEARCH(("ICU"),(H4))))</formula>
    </cfRule>
    <cfRule type="containsText" priority="20611" operator="containsText" dxfId="0" text="SWING">
      <formula>NOT(ISERROR(SEARCH(("SWING"),(H4))))</formula>
    </cfRule>
    <cfRule type="containsText" priority="20612" operator="containsText" dxfId="0" text="NF">
      <formula>NOT(ISERROR(SEARCH(("NF"),(H4))))</formula>
    </cfRule>
    <cfRule type="containsText" priority="20613" operator="containsText" dxfId="0" text="ICU N">
      <formula>NOT(ISERROR(SEARCH(("ICU N"),(H4))))</formula>
    </cfRule>
  </conditionalFormatting>
  <conditionalFormatting sqref="H5">
    <cfRule type="containsText" priority="20578" operator="containsText" dxfId="16" text="ED">
      <formula>NOT(ISERROR(SEARCH(("ED"),(H5))))</formula>
    </cfRule>
    <cfRule type="containsText" priority="20579" operator="containsText" dxfId="15" text="GERIATRIC">
      <formula>NOT(ISERROR(SEARCH(("GERIATRIC"),(H5))))</formula>
    </cfRule>
    <cfRule type="containsText" priority="20580" operator="containsText" dxfId="17" text="VACATION">
      <formula>NOT(ISERROR(SEARCH(("VACATION"),(H5))))</formula>
    </cfRule>
    <cfRule type="containsText" priority="20581" operator="containsText" dxfId="7" text="PATH">
      <formula>NOT(ISERROR(SEARCH(("PATH"),(H5))))</formula>
    </cfRule>
    <cfRule type="containsText" priority="20582" operator="containsText" dxfId="7" text="NEPHRO">
      <formula>NOT(ISERROR(SEARCH(("NEPHRO"),(H5))))</formula>
    </cfRule>
    <cfRule type="containsText" priority="20583" operator="containsText" dxfId="7" text="PULM">
      <formula>NOT(ISERROR(SEARCH(("PULM"),(H5))))</formula>
    </cfRule>
    <cfRule type="containsText" priority="20584" operator="containsText" dxfId="7" text="RADIOLOGY">
      <formula>NOT(ISERROR(SEARCH(("RADIOLOGY"),(H5))))</formula>
    </cfRule>
    <cfRule type="containsText" priority="20585" operator="containsText" dxfId="7" text="HEM/ONC">
      <formula>NOT(ISERROR(SEARCH(("HEM/ONC"),(H5))))</formula>
    </cfRule>
    <cfRule type="containsText" priority="20586" operator="containsText" dxfId="7" text="CARDIO">
      <formula>NOT(ISERROR(SEARCH(("CARDIO"),(H5))))</formula>
    </cfRule>
    <cfRule type="containsText" priority="20587" operator="containsText" dxfId="7" text="ID">
      <formula>NOT(ISERROR(SEARCH(("ID"),(H5))))</formula>
    </cfRule>
    <cfRule type="containsText" priority="20588" operator="containsText" dxfId="7" text="NEURO">
      <formula>NOT(ISERROR(SEARCH(("NEURO"),(H5))))</formula>
    </cfRule>
    <cfRule type="containsText" priority="20589" operator="containsText" dxfId="6" text="NEURO">
      <formula>NOT(ISERROR(SEARCH(("NEURO"),(H5))))</formula>
    </cfRule>
    <cfRule type="containsText" priority="20590" operator="containsText" dxfId="5" text="NEURO">
      <formula>NOT(ISERROR(SEARCH(("NEURO"),(H5))))</formula>
    </cfRule>
    <cfRule type="containsText" priority="20591" operator="containsText" dxfId="0" text="ICU N">
      <formula>NOT(ISERROR(SEARCH(("ICU N"),(H5))))</formula>
    </cfRule>
    <cfRule type="containsText" priority="20592" operator="containsText" dxfId="3" text="ICU">
      <formula>NOT(ISERROR(SEARCH(("ICU"),(H5))))</formula>
    </cfRule>
    <cfRule type="containsText" priority="20593" operator="containsText" dxfId="0" text="SWING">
      <formula>NOT(ISERROR(SEARCH(("SWING"),(H5))))</formula>
    </cfRule>
    <cfRule type="containsText" priority="20594" operator="containsText" dxfId="0" text="NF">
      <formula>NOT(ISERROR(SEARCH(("NF"),(H5))))</formula>
    </cfRule>
    <cfRule type="containsText" priority="20595" operator="containsText" dxfId="0" text="ICU N">
      <formula>NOT(ISERROR(SEARCH(("ICU N"),(H5))))</formula>
    </cfRule>
  </conditionalFormatting>
  <conditionalFormatting sqref="J23">
    <cfRule type="containsText" priority="20542" operator="containsText" dxfId="16" text="ED">
      <formula>NOT(ISERROR(SEARCH(("ED"),(J23))))</formula>
    </cfRule>
    <cfRule type="containsText" priority="20543" operator="containsText" dxfId="15" text="GERIATRIC">
      <formula>NOT(ISERROR(SEARCH(("GERIATRIC"),(J23))))</formula>
    </cfRule>
    <cfRule type="containsText" priority="20544" operator="containsText" dxfId="17" text="VACATION">
      <formula>NOT(ISERROR(SEARCH(("VACATION"),(J23))))</formula>
    </cfRule>
    <cfRule type="containsText" priority="20545" operator="containsText" dxfId="7" text="PATH">
      <formula>NOT(ISERROR(SEARCH(("PATH"),(J23))))</formula>
    </cfRule>
    <cfRule type="containsText" priority="20546" operator="containsText" dxfId="7" text="NEPHRO">
      <formula>NOT(ISERROR(SEARCH(("NEPHRO"),(J23))))</formula>
    </cfRule>
    <cfRule type="containsText" priority="20547" operator="containsText" dxfId="7" text="PULM">
      <formula>NOT(ISERROR(SEARCH(("PULM"),(J23))))</formula>
    </cfRule>
    <cfRule type="containsText" priority="20548" operator="containsText" dxfId="7" text="RADIOLOGY">
      <formula>NOT(ISERROR(SEARCH(("RADIOLOGY"),(J23))))</formula>
    </cfRule>
    <cfRule type="containsText" priority="20549" operator="containsText" dxfId="7" text="HEM/ONC">
      <formula>NOT(ISERROR(SEARCH(("HEM/ONC"),(J23))))</formula>
    </cfRule>
    <cfRule type="containsText" priority="20550" operator="containsText" dxfId="7" text="CARDIO">
      <formula>NOT(ISERROR(SEARCH(("CARDIO"),(J23))))</formula>
    </cfRule>
    <cfRule type="containsText" priority="20551" operator="containsText" dxfId="7" text="ID">
      <formula>NOT(ISERROR(SEARCH(("ID"),(J23))))</formula>
    </cfRule>
    <cfRule type="containsText" priority="20552" operator="containsText" dxfId="7" text="NEURO">
      <formula>NOT(ISERROR(SEARCH(("NEURO"),(J23))))</formula>
    </cfRule>
    <cfRule type="containsText" priority="20553" operator="containsText" dxfId="6" text="NEURO">
      <formula>NOT(ISERROR(SEARCH(("NEURO"),(J23))))</formula>
    </cfRule>
    <cfRule type="containsText" priority="20554" operator="containsText" dxfId="5" text="NEURO">
      <formula>NOT(ISERROR(SEARCH(("NEURO"),(J23))))</formula>
    </cfRule>
    <cfRule type="containsText" priority="20555" operator="containsText" dxfId="0" text="ICU N">
      <formula>NOT(ISERROR(SEARCH(("ICU N"),(J23))))</formula>
    </cfRule>
    <cfRule type="containsText" priority="20556" operator="containsText" dxfId="3" text="ICU">
      <formula>NOT(ISERROR(SEARCH(("ICU"),(J23))))</formula>
    </cfRule>
    <cfRule type="containsText" priority="20557" operator="containsText" dxfId="0" text="SWING">
      <formula>NOT(ISERROR(SEARCH(("SWING"),(J23))))</formula>
    </cfRule>
    <cfRule type="containsText" priority="20558" operator="containsText" dxfId="0" text="NF">
      <formula>NOT(ISERROR(SEARCH(("NF"),(J23))))</formula>
    </cfRule>
    <cfRule type="containsText" priority="20559" operator="containsText" dxfId="0" text="ICU N">
      <formula>NOT(ISERROR(SEARCH(("ICU N"),(J23))))</formula>
    </cfRule>
  </conditionalFormatting>
  <conditionalFormatting sqref="J21">
    <cfRule type="containsText" priority="20524" operator="containsText" dxfId="16" text="ED">
      <formula>NOT(ISERROR(SEARCH(("ED"),(J21))))</formula>
    </cfRule>
    <cfRule type="containsText" priority="20525" operator="containsText" dxfId="15" text="GERIATRIC">
      <formula>NOT(ISERROR(SEARCH(("GERIATRIC"),(J21))))</formula>
    </cfRule>
    <cfRule type="containsText" priority="20526" operator="containsText" dxfId="17" text="VACATION">
      <formula>NOT(ISERROR(SEARCH(("VACATION"),(J21))))</formula>
    </cfRule>
    <cfRule type="containsText" priority="20527" operator="containsText" dxfId="7" text="PATH">
      <formula>NOT(ISERROR(SEARCH(("PATH"),(J21))))</formula>
    </cfRule>
    <cfRule type="containsText" priority="20528" operator="containsText" dxfId="7" text="NEPHRO">
      <formula>NOT(ISERROR(SEARCH(("NEPHRO"),(J21))))</formula>
    </cfRule>
    <cfRule type="containsText" priority="20529" operator="containsText" dxfId="7" text="PULM">
      <formula>NOT(ISERROR(SEARCH(("PULM"),(J21))))</formula>
    </cfRule>
    <cfRule type="containsText" priority="20530" operator="containsText" dxfId="7" text="RADIOLOGY">
      <formula>NOT(ISERROR(SEARCH(("RADIOLOGY"),(J21))))</formula>
    </cfRule>
    <cfRule type="containsText" priority="20531" operator="containsText" dxfId="7" text="HEM/ONC">
      <formula>NOT(ISERROR(SEARCH(("HEM/ONC"),(J21))))</formula>
    </cfRule>
    <cfRule type="containsText" priority="20532" operator="containsText" dxfId="7" text="CARDIO">
      <formula>NOT(ISERROR(SEARCH(("CARDIO"),(J21))))</formula>
    </cfRule>
    <cfRule type="containsText" priority="20533" operator="containsText" dxfId="7" text="ID">
      <formula>NOT(ISERROR(SEARCH(("ID"),(J21))))</formula>
    </cfRule>
    <cfRule type="containsText" priority="20534" operator="containsText" dxfId="7" text="NEURO">
      <formula>NOT(ISERROR(SEARCH(("NEURO"),(J21))))</formula>
    </cfRule>
    <cfRule type="containsText" priority="20535" operator="containsText" dxfId="6" text="NEURO">
      <formula>NOT(ISERROR(SEARCH(("NEURO"),(J21))))</formula>
    </cfRule>
    <cfRule type="containsText" priority="20536" operator="containsText" dxfId="5" text="NEURO">
      <formula>NOT(ISERROR(SEARCH(("NEURO"),(J21))))</formula>
    </cfRule>
    <cfRule type="containsText" priority="20537" operator="containsText" dxfId="0" text="ICU N">
      <formula>NOT(ISERROR(SEARCH(("ICU N"),(J21))))</formula>
    </cfRule>
    <cfRule type="containsText" priority="20538" operator="containsText" dxfId="3" text="ICU">
      <formula>NOT(ISERROR(SEARCH(("ICU"),(J21))))</formula>
    </cfRule>
    <cfRule type="containsText" priority="20539" operator="containsText" dxfId="0" text="SWING">
      <formula>NOT(ISERROR(SEARCH(("SWING"),(J21))))</formula>
    </cfRule>
    <cfRule type="containsText" priority="20540" operator="containsText" dxfId="0" text="NF">
      <formula>NOT(ISERROR(SEARCH(("NF"),(J21))))</formula>
    </cfRule>
    <cfRule type="containsText" priority="20541" operator="containsText" dxfId="0" text="ICU N">
      <formula>NOT(ISERROR(SEARCH(("ICU N"),(J21))))</formula>
    </cfRule>
  </conditionalFormatting>
  <conditionalFormatting sqref="J29">
    <cfRule type="containsText" priority="20488" operator="containsText" dxfId="16" text="ED">
      <formula>NOT(ISERROR(SEARCH(("ED"),(J29))))</formula>
    </cfRule>
    <cfRule type="containsText" priority="20489" operator="containsText" dxfId="15" text="GERIATRIC">
      <formula>NOT(ISERROR(SEARCH(("GERIATRIC"),(J29))))</formula>
    </cfRule>
    <cfRule type="containsText" priority="20490" operator="containsText" dxfId="17" text="VACATION">
      <formula>NOT(ISERROR(SEARCH(("VACATION"),(J29))))</formula>
    </cfRule>
    <cfRule type="containsText" priority="20491" operator="containsText" dxfId="7" text="PATH">
      <formula>NOT(ISERROR(SEARCH(("PATH"),(J29))))</formula>
    </cfRule>
    <cfRule type="containsText" priority="20492" operator="containsText" dxfId="7" text="NEPHRO">
      <formula>NOT(ISERROR(SEARCH(("NEPHRO"),(J29))))</formula>
    </cfRule>
    <cfRule type="containsText" priority="20493" operator="containsText" dxfId="7" text="PULM">
      <formula>NOT(ISERROR(SEARCH(("PULM"),(J29))))</formula>
    </cfRule>
    <cfRule type="containsText" priority="20494" operator="containsText" dxfId="7" text="RADIOLOGY">
      <formula>NOT(ISERROR(SEARCH(("RADIOLOGY"),(J29))))</formula>
    </cfRule>
    <cfRule type="containsText" priority="20495" operator="containsText" dxfId="7" text="HEM/ONC">
      <formula>NOT(ISERROR(SEARCH(("HEM/ONC"),(J29))))</formula>
    </cfRule>
    <cfRule type="containsText" priority="20496" operator="containsText" dxfId="7" text="CARDIO">
      <formula>NOT(ISERROR(SEARCH(("CARDIO"),(J29))))</formula>
    </cfRule>
    <cfRule type="containsText" priority="20497" operator="containsText" dxfId="7" text="ID">
      <formula>NOT(ISERROR(SEARCH(("ID"),(J29))))</formula>
    </cfRule>
    <cfRule type="containsText" priority="20498" operator="containsText" dxfId="7" text="NEURO">
      <formula>NOT(ISERROR(SEARCH(("NEURO"),(J29))))</formula>
    </cfRule>
    <cfRule type="containsText" priority="20499" operator="containsText" dxfId="6" text="NEURO">
      <formula>NOT(ISERROR(SEARCH(("NEURO"),(J29))))</formula>
    </cfRule>
    <cfRule type="containsText" priority="20500" operator="containsText" dxfId="5" text="NEURO">
      <formula>NOT(ISERROR(SEARCH(("NEURO"),(J29))))</formula>
    </cfRule>
    <cfRule type="containsText" priority="20501" operator="containsText" dxfId="0" text="ICU N">
      <formula>NOT(ISERROR(SEARCH(("ICU N"),(J29))))</formula>
    </cfRule>
    <cfRule type="containsText" priority="20502" operator="containsText" dxfId="3" text="ICU">
      <formula>NOT(ISERROR(SEARCH(("ICU"),(J29))))</formula>
    </cfRule>
    <cfRule type="containsText" priority="20503" operator="containsText" dxfId="0" text="SWING">
      <formula>NOT(ISERROR(SEARCH(("SWING"),(J29))))</formula>
    </cfRule>
    <cfRule type="containsText" priority="20504" operator="containsText" dxfId="0" text="NF">
      <formula>NOT(ISERROR(SEARCH(("NF"),(J29))))</formula>
    </cfRule>
    <cfRule type="containsText" priority="20505" operator="containsText" dxfId="0" text="ICU N">
      <formula>NOT(ISERROR(SEARCH(("ICU N"),(J29))))</formula>
    </cfRule>
  </conditionalFormatting>
  <conditionalFormatting sqref="K34">
    <cfRule type="containsText" priority="20470" operator="containsText" dxfId="16" text="ED">
      <formula>NOT(ISERROR(SEARCH(("ED"),(K34))))</formula>
    </cfRule>
    <cfRule type="containsText" priority="20471" operator="containsText" dxfId="15" text="GERIATRIC">
      <formula>NOT(ISERROR(SEARCH(("GERIATRIC"),(K34))))</formula>
    </cfRule>
    <cfRule type="containsText" priority="20472" operator="containsText" dxfId="17" text="VACATION">
      <formula>NOT(ISERROR(SEARCH(("VACATION"),(K34))))</formula>
    </cfRule>
    <cfRule type="containsText" priority="20473" operator="containsText" dxfId="7" text="PATH">
      <formula>NOT(ISERROR(SEARCH(("PATH"),(K34))))</formula>
    </cfRule>
    <cfRule type="containsText" priority="20474" operator="containsText" dxfId="7" text="NEPHRO">
      <formula>NOT(ISERROR(SEARCH(("NEPHRO"),(K34))))</formula>
    </cfRule>
    <cfRule type="containsText" priority="20475" operator="containsText" dxfId="7" text="PULM">
      <formula>NOT(ISERROR(SEARCH(("PULM"),(K34))))</formula>
    </cfRule>
    <cfRule type="containsText" priority="20476" operator="containsText" dxfId="7" text="RADIOLOGY">
      <formula>NOT(ISERROR(SEARCH(("RADIOLOGY"),(K34))))</formula>
    </cfRule>
    <cfRule type="containsText" priority="20477" operator="containsText" dxfId="7" text="HEM/ONC">
      <formula>NOT(ISERROR(SEARCH(("HEM/ONC"),(K34))))</formula>
    </cfRule>
    <cfRule type="containsText" priority="20478" operator="containsText" dxfId="7" text="CARDIO">
      <formula>NOT(ISERROR(SEARCH(("CARDIO"),(K34))))</formula>
    </cfRule>
    <cfRule type="containsText" priority="20479" operator="containsText" dxfId="7" text="ID">
      <formula>NOT(ISERROR(SEARCH(("ID"),(K34))))</formula>
    </cfRule>
    <cfRule type="containsText" priority="20480" operator="containsText" dxfId="7" text="NEURO">
      <formula>NOT(ISERROR(SEARCH(("NEURO"),(K34))))</formula>
    </cfRule>
    <cfRule type="containsText" priority="20481" operator="containsText" dxfId="6" text="NEURO">
      <formula>NOT(ISERROR(SEARCH(("NEURO"),(K34))))</formula>
    </cfRule>
    <cfRule type="containsText" priority="20482" operator="containsText" dxfId="5" text="NEURO">
      <formula>NOT(ISERROR(SEARCH(("NEURO"),(K34))))</formula>
    </cfRule>
    <cfRule type="containsText" priority="20483" operator="containsText" dxfId="0" text="ICU N">
      <formula>NOT(ISERROR(SEARCH(("ICU N"),(K34))))</formula>
    </cfRule>
    <cfRule type="containsText" priority="20484" operator="containsText" dxfId="3" text="ICU">
      <formula>NOT(ISERROR(SEARCH(("ICU"),(K34))))</formula>
    </cfRule>
    <cfRule type="containsText" priority="20485" operator="containsText" dxfId="0" text="SWING">
      <formula>NOT(ISERROR(SEARCH(("SWING"),(K34))))</formula>
    </cfRule>
    <cfRule type="containsText" priority="20486" operator="containsText" dxfId="0" text="NF">
      <formula>NOT(ISERROR(SEARCH(("NF"),(K34))))</formula>
    </cfRule>
    <cfRule type="containsText" priority="20487" operator="containsText" dxfId="0" text="ICU N">
      <formula>NOT(ISERROR(SEARCH(("ICU N"),(K34))))</formula>
    </cfRule>
  </conditionalFormatting>
  <conditionalFormatting sqref="K39:L39">
    <cfRule type="containsText" priority="20416" operator="containsText" dxfId="16" text="ED">
      <formula>NOT(ISERROR(SEARCH(("ED"),(K39))))</formula>
    </cfRule>
    <cfRule type="containsText" priority="20417" operator="containsText" dxfId="15" text="GERIATRIC">
      <formula>NOT(ISERROR(SEARCH(("GERIATRIC"),(K39))))</formula>
    </cfRule>
    <cfRule type="containsText" priority="20418" operator="containsText" dxfId="17" text="VACATION">
      <formula>NOT(ISERROR(SEARCH(("VACATION"),(K39))))</formula>
    </cfRule>
    <cfRule type="containsText" priority="20419" operator="containsText" dxfId="7" text="PATH">
      <formula>NOT(ISERROR(SEARCH(("PATH"),(K39))))</formula>
    </cfRule>
    <cfRule type="containsText" priority="20420" operator="containsText" dxfId="7" text="NEPHRO">
      <formula>NOT(ISERROR(SEARCH(("NEPHRO"),(K39))))</formula>
    </cfRule>
    <cfRule type="containsText" priority="20421" operator="containsText" dxfId="7" text="PULM">
      <formula>NOT(ISERROR(SEARCH(("PULM"),(K39))))</formula>
    </cfRule>
    <cfRule type="containsText" priority="20422" operator="containsText" dxfId="7" text="RADIOLOGY">
      <formula>NOT(ISERROR(SEARCH(("RADIOLOGY"),(K39))))</formula>
    </cfRule>
    <cfRule type="containsText" priority="20423" operator="containsText" dxfId="7" text="HEM/ONC">
      <formula>NOT(ISERROR(SEARCH(("HEM/ONC"),(K39))))</formula>
    </cfRule>
    <cfRule type="containsText" priority="20424" operator="containsText" dxfId="7" text="CARDIO">
      <formula>NOT(ISERROR(SEARCH(("CARDIO"),(K39))))</formula>
    </cfRule>
    <cfRule type="containsText" priority="20425" operator="containsText" dxfId="7" text="ID">
      <formula>NOT(ISERROR(SEARCH(("ID"),(K39))))</formula>
    </cfRule>
    <cfRule type="containsText" priority="20426" operator="containsText" dxfId="7" text="NEURO">
      <formula>NOT(ISERROR(SEARCH(("NEURO"),(K39))))</formula>
    </cfRule>
    <cfRule type="containsText" priority="20427" operator="containsText" dxfId="6" text="NEURO">
      <formula>NOT(ISERROR(SEARCH(("NEURO"),(K39))))</formula>
    </cfRule>
    <cfRule type="containsText" priority="20428" operator="containsText" dxfId="5" text="NEURO">
      <formula>NOT(ISERROR(SEARCH(("NEURO"),(K39))))</formula>
    </cfRule>
    <cfRule type="containsText" priority="20429" operator="containsText" dxfId="0" text="ICU N">
      <formula>NOT(ISERROR(SEARCH(("ICU N"),(K39))))</formula>
    </cfRule>
    <cfRule type="containsText" priority="20430" operator="containsText" dxfId="3" text="ICU">
      <formula>NOT(ISERROR(SEARCH(("ICU"),(K39))))</formula>
    </cfRule>
    <cfRule type="containsText" priority="20431" operator="containsText" dxfId="0" text="SWING">
      <formula>NOT(ISERROR(SEARCH(("SWING"),(K39))))</formula>
    </cfRule>
    <cfRule type="containsText" priority="20432" operator="containsText" dxfId="0" text="NF">
      <formula>NOT(ISERROR(SEARCH(("NF"),(K39))))</formula>
    </cfRule>
    <cfRule type="containsText" priority="20433" operator="containsText" dxfId="0" text="ICU N">
      <formula>NOT(ISERROR(SEARCH(("ICU N"),(K39))))</formula>
    </cfRule>
  </conditionalFormatting>
  <conditionalFormatting sqref="K40">
    <cfRule type="containsText" priority="20398" operator="containsText" dxfId="16" text="ED">
      <formula>NOT(ISERROR(SEARCH(("ED"),(K40))))</formula>
    </cfRule>
    <cfRule type="containsText" priority="20399" operator="containsText" dxfId="15" text="GERIATRIC">
      <formula>NOT(ISERROR(SEARCH(("GERIATRIC"),(K40))))</formula>
    </cfRule>
    <cfRule type="containsText" priority="20400" operator="containsText" dxfId="17" text="VACATION">
      <formula>NOT(ISERROR(SEARCH(("VACATION"),(K40))))</formula>
    </cfRule>
    <cfRule type="containsText" priority="20401" operator="containsText" dxfId="7" text="PATH">
      <formula>NOT(ISERROR(SEARCH(("PATH"),(K40))))</formula>
    </cfRule>
    <cfRule type="containsText" priority="20402" operator="containsText" dxfId="7" text="NEPHRO">
      <formula>NOT(ISERROR(SEARCH(("NEPHRO"),(K40))))</formula>
    </cfRule>
    <cfRule type="containsText" priority="20403" operator="containsText" dxfId="7" text="PULM">
      <formula>NOT(ISERROR(SEARCH(("PULM"),(K40))))</formula>
    </cfRule>
    <cfRule type="containsText" priority="20404" operator="containsText" dxfId="7" text="RADIOLOGY">
      <formula>NOT(ISERROR(SEARCH(("RADIOLOGY"),(K40))))</formula>
    </cfRule>
    <cfRule type="containsText" priority="20405" operator="containsText" dxfId="7" text="HEM/ONC">
      <formula>NOT(ISERROR(SEARCH(("HEM/ONC"),(K40))))</formula>
    </cfRule>
    <cfRule type="containsText" priority="20406" operator="containsText" dxfId="7" text="CARDIO">
      <formula>NOT(ISERROR(SEARCH(("CARDIO"),(K40))))</formula>
    </cfRule>
    <cfRule type="containsText" priority="20407" operator="containsText" dxfId="7" text="ID">
      <formula>NOT(ISERROR(SEARCH(("ID"),(K40))))</formula>
    </cfRule>
    <cfRule type="containsText" priority="20408" operator="containsText" dxfId="7" text="NEURO">
      <formula>NOT(ISERROR(SEARCH(("NEURO"),(K40))))</formula>
    </cfRule>
    <cfRule type="containsText" priority="20409" operator="containsText" dxfId="6" text="NEURO">
      <formula>NOT(ISERROR(SEARCH(("NEURO"),(K40))))</formula>
    </cfRule>
    <cfRule type="containsText" priority="20410" operator="containsText" dxfId="5" text="NEURO">
      <formula>NOT(ISERROR(SEARCH(("NEURO"),(K40))))</formula>
    </cfRule>
    <cfRule type="containsText" priority="20411" operator="containsText" dxfId="0" text="ICU N">
      <formula>NOT(ISERROR(SEARCH(("ICU N"),(K40))))</formula>
    </cfRule>
    <cfRule type="containsText" priority="20412" operator="containsText" dxfId="3" text="ICU">
      <formula>NOT(ISERROR(SEARCH(("ICU"),(K40))))</formula>
    </cfRule>
    <cfRule type="containsText" priority="20413" operator="containsText" dxfId="0" text="SWING">
      <formula>NOT(ISERROR(SEARCH(("SWING"),(K40))))</formula>
    </cfRule>
    <cfRule type="containsText" priority="20414" operator="containsText" dxfId="0" text="NF">
      <formula>NOT(ISERROR(SEARCH(("NF"),(K40))))</formula>
    </cfRule>
    <cfRule type="containsText" priority="20415" operator="containsText" dxfId="0" text="ICU N">
      <formula>NOT(ISERROR(SEARCH(("ICU N"),(K40))))</formula>
    </cfRule>
  </conditionalFormatting>
  <conditionalFormatting sqref="J43:K43">
    <cfRule type="containsText" priority="20380" operator="containsText" dxfId="16" text="ED">
      <formula>NOT(ISERROR(SEARCH(("ED"),(J43))))</formula>
    </cfRule>
    <cfRule type="containsText" priority="20381" operator="containsText" dxfId="15" text="GERIATRIC">
      <formula>NOT(ISERROR(SEARCH(("GERIATRIC"),(J43))))</formula>
    </cfRule>
    <cfRule type="containsText" priority="20382" operator="containsText" dxfId="17" text="VACATION">
      <formula>NOT(ISERROR(SEARCH(("VACATION"),(J43))))</formula>
    </cfRule>
    <cfRule type="containsText" priority="20383" operator="containsText" dxfId="7" text="PATH">
      <formula>NOT(ISERROR(SEARCH(("PATH"),(J43))))</formula>
    </cfRule>
    <cfRule type="containsText" priority="20384" operator="containsText" dxfId="7" text="NEPHRO">
      <formula>NOT(ISERROR(SEARCH(("NEPHRO"),(J43))))</formula>
    </cfRule>
    <cfRule type="containsText" priority="20385" operator="containsText" dxfId="7" text="PULM">
      <formula>NOT(ISERROR(SEARCH(("PULM"),(J43))))</formula>
    </cfRule>
    <cfRule type="containsText" priority="20386" operator="containsText" dxfId="7" text="RADIOLOGY">
      <formula>NOT(ISERROR(SEARCH(("RADIOLOGY"),(J43))))</formula>
    </cfRule>
    <cfRule type="containsText" priority="20387" operator="containsText" dxfId="7" text="HEM/ONC">
      <formula>NOT(ISERROR(SEARCH(("HEM/ONC"),(J43))))</formula>
    </cfRule>
    <cfRule type="containsText" priority="20388" operator="containsText" dxfId="7" text="CARDIO">
      <formula>NOT(ISERROR(SEARCH(("CARDIO"),(J43))))</formula>
    </cfRule>
    <cfRule type="containsText" priority="20389" operator="containsText" dxfId="7" text="ID">
      <formula>NOT(ISERROR(SEARCH(("ID"),(J43))))</formula>
    </cfRule>
    <cfRule type="containsText" priority="20390" operator="containsText" dxfId="7" text="NEURO">
      <formula>NOT(ISERROR(SEARCH(("NEURO"),(J43))))</formula>
    </cfRule>
    <cfRule type="containsText" priority="20391" operator="containsText" dxfId="6" text="NEURO">
      <formula>NOT(ISERROR(SEARCH(("NEURO"),(J43))))</formula>
    </cfRule>
    <cfRule type="containsText" priority="20392" operator="containsText" dxfId="5" text="NEURO">
      <formula>NOT(ISERROR(SEARCH(("NEURO"),(J43))))</formula>
    </cfRule>
    <cfRule type="containsText" priority="20393" operator="containsText" dxfId="0" text="ICU N">
      <formula>NOT(ISERROR(SEARCH(("ICU N"),(J43))))</formula>
    </cfRule>
    <cfRule type="containsText" priority="20394" operator="containsText" dxfId="3" text="ICU">
      <formula>NOT(ISERROR(SEARCH(("ICU"),(J43))))</formula>
    </cfRule>
    <cfRule type="containsText" priority="20395" operator="containsText" dxfId="0" text="SWING">
      <formula>NOT(ISERROR(SEARCH(("SWING"),(J43))))</formula>
    </cfRule>
    <cfRule type="containsText" priority="20396" operator="containsText" dxfId="0" text="NF">
      <formula>NOT(ISERROR(SEARCH(("NF"),(J43))))</formula>
    </cfRule>
    <cfRule type="containsText" priority="20397" operator="containsText" dxfId="0" text="ICU N">
      <formula>NOT(ISERROR(SEARCH(("ICU N"),(J43))))</formula>
    </cfRule>
  </conditionalFormatting>
  <conditionalFormatting sqref="M32">
    <cfRule type="containsText" priority="20326" operator="containsText" dxfId="16" text="ED">
      <formula>NOT(ISERROR(SEARCH(("ED"),(M32))))</formula>
    </cfRule>
    <cfRule type="containsText" priority="20327" operator="containsText" dxfId="15" text="GERIATRIC">
      <formula>NOT(ISERROR(SEARCH(("GERIATRIC"),(M32))))</formula>
    </cfRule>
    <cfRule type="containsText" priority="20328" operator="containsText" dxfId="17" text="VACATION">
      <formula>NOT(ISERROR(SEARCH(("VACATION"),(M32))))</formula>
    </cfRule>
    <cfRule type="containsText" priority="20329" operator="containsText" dxfId="7" text="PATH">
      <formula>NOT(ISERROR(SEARCH(("PATH"),(M32))))</formula>
    </cfRule>
    <cfRule type="containsText" priority="20330" operator="containsText" dxfId="7" text="NEPHRO">
      <formula>NOT(ISERROR(SEARCH(("NEPHRO"),(M32))))</formula>
    </cfRule>
    <cfRule type="containsText" priority="20331" operator="containsText" dxfId="7" text="PULM">
      <formula>NOT(ISERROR(SEARCH(("PULM"),(M32))))</formula>
    </cfRule>
    <cfRule type="containsText" priority="20332" operator="containsText" dxfId="7" text="RADIOLOGY">
      <formula>NOT(ISERROR(SEARCH(("RADIOLOGY"),(M32))))</formula>
    </cfRule>
    <cfRule type="containsText" priority="20333" operator="containsText" dxfId="7" text="HEM/ONC">
      <formula>NOT(ISERROR(SEARCH(("HEM/ONC"),(M32))))</formula>
    </cfRule>
    <cfRule type="containsText" priority="20334" operator="containsText" dxfId="7" text="CARDIO">
      <formula>NOT(ISERROR(SEARCH(("CARDIO"),(M32))))</formula>
    </cfRule>
    <cfRule type="containsText" priority="20335" operator="containsText" dxfId="7" text="ID">
      <formula>NOT(ISERROR(SEARCH(("ID"),(M32))))</formula>
    </cfRule>
    <cfRule type="containsText" priority="20336" operator="containsText" dxfId="7" text="NEURO">
      <formula>NOT(ISERROR(SEARCH(("NEURO"),(M32))))</formula>
    </cfRule>
    <cfRule type="containsText" priority="20337" operator="containsText" dxfId="6" text="NEURO">
      <formula>NOT(ISERROR(SEARCH(("NEURO"),(M32))))</formula>
    </cfRule>
    <cfRule type="containsText" priority="20338" operator="containsText" dxfId="5" text="NEURO">
      <formula>NOT(ISERROR(SEARCH(("NEURO"),(M32))))</formula>
    </cfRule>
    <cfRule type="containsText" priority="20339" operator="containsText" dxfId="0" text="ICU N">
      <formula>NOT(ISERROR(SEARCH(("ICU N"),(M32))))</formula>
    </cfRule>
    <cfRule type="containsText" priority="20340" operator="containsText" dxfId="3" text="ICU">
      <formula>NOT(ISERROR(SEARCH(("ICU"),(M32))))</formula>
    </cfRule>
    <cfRule type="containsText" priority="20341" operator="containsText" dxfId="0" text="SWING">
      <formula>NOT(ISERROR(SEARCH(("SWING"),(M32))))</formula>
    </cfRule>
    <cfRule type="containsText" priority="20342" operator="containsText" dxfId="0" text="NF">
      <formula>NOT(ISERROR(SEARCH(("NF"),(M32))))</formula>
    </cfRule>
    <cfRule type="containsText" priority="20343" operator="containsText" dxfId="0" text="ICU N">
      <formula>NOT(ISERROR(SEARCH(("ICU N"),(M32))))</formula>
    </cfRule>
  </conditionalFormatting>
  <conditionalFormatting sqref="M34">
    <cfRule type="containsText" priority="20308" operator="containsText" dxfId="16" text="ED">
      <formula>NOT(ISERROR(SEARCH(("ED"),(M34))))</formula>
    </cfRule>
    <cfRule type="containsText" priority="20309" operator="containsText" dxfId="15" text="GERIATRIC">
      <formula>NOT(ISERROR(SEARCH(("GERIATRIC"),(M34))))</formula>
    </cfRule>
    <cfRule type="containsText" priority="20310" operator="containsText" dxfId="17" text="VACATION">
      <formula>NOT(ISERROR(SEARCH(("VACATION"),(M34))))</formula>
    </cfRule>
    <cfRule type="containsText" priority="20311" operator="containsText" dxfId="7" text="PATH">
      <formula>NOT(ISERROR(SEARCH(("PATH"),(M34))))</formula>
    </cfRule>
    <cfRule type="containsText" priority="20312" operator="containsText" dxfId="7" text="NEPHRO">
      <formula>NOT(ISERROR(SEARCH(("NEPHRO"),(M34))))</formula>
    </cfRule>
    <cfRule type="containsText" priority="20313" operator="containsText" dxfId="7" text="PULM">
      <formula>NOT(ISERROR(SEARCH(("PULM"),(M34))))</formula>
    </cfRule>
    <cfRule type="containsText" priority="20314" operator="containsText" dxfId="7" text="RADIOLOGY">
      <formula>NOT(ISERROR(SEARCH(("RADIOLOGY"),(M34))))</formula>
    </cfRule>
    <cfRule type="containsText" priority="20315" operator="containsText" dxfId="7" text="HEM/ONC">
      <formula>NOT(ISERROR(SEARCH(("HEM/ONC"),(M34))))</formula>
    </cfRule>
    <cfRule type="containsText" priority="20316" operator="containsText" dxfId="7" text="CARDIO">
      <formula>NOT(ISERROR(SEARCH(("CARDIO"),(M34))))</formula>
    </cfRule>
    <cfRule type="containsText" priority="20317" operator="containsText" dxfId="7" text="ID">
      <formula>NOT(ISERROR(SEARCH(("ID"),(M34))))</formula>
    </cfRule>
    <cfRule type="containsText" priority="20318" operator="containsText" dxfId="7" text="NEURO">
      <formula>NOT(ISERROR(SEARCH(("NEURO"),(M34))))</formula>
    </cfRule>
    <cfRule type="containsText" priority="20319" operator="containsText" dxfId="6" text="NEURO">
      <formula>NOT(ISERROR(SEARCH(("NEURO"),(M34))))</formula>
    </cfRule>
    <cfRule type="containsText" priority="20320" operator="containsText" dxfId="5" text="NEURO">
      <formula>NOT(ISERROR(SEARCH(("NEURO"),(M34))))</formula>
    </cfRule>
    <cfRule type="containsText" priority="20321" operator="containsText" dxfId="0" text="ICU N">
      <formula>NOT(ISERROR(SEARCH(("ICU N"),(M34))))</formula>
    </cfRule>
    <cfRule type="containsText" priority="20322" operator="containsText" dxfId="3" text="ICU">
      <formula>NOT(ISERROR(SEARCH(("ICU"),(M34))))</formula>
    </cfRule>
    <cfRule type="containsText" priority="20323" operator="containsText" dxfId="0" text="SWING">
      <formula>NOT(ISERROR(SEARCH(("SWING"),(M34))))</formula>
    </cfRule>
    <cfRule type="containsText" priority="20324" operator="containsText" dxfId="0" text="NF">
      <formula>NOT(ISERROR(SEARCH(("NF"),(M34))))</formula>
    </cfRule>
    <cfRule type="containsText" priority="20325" operator="containsText" dxfId="0" text="ICU N">
      <formula>NOT(ISERROR(SEARCH(("ICU N"),(M34))))</formula>
    </cfRule>
  </conditionalFormatting>
  <conditionalFormatting sqref="O26">
    <cfRule type="containsText" priority="20236" operator="containsText" dxfId="16" text="ED">
      <formula>NOT(ISERROR(SEARCH(("ED"),(O26))))</formula>
    </cfRule>
    <cfRule type="containsText" priority="20237" operator="containsText" dxfId="15" text="GERIATRIC">
      <formula>NOT(ISERROR(SEARCH(("GERIATRIC"),(O26))))</formula>
    </cfRule>
    <cfRule type="containsText" priority="20238" operator="containsText" dxfId="17" text="VACATION">
      <formula>NOT(ISERROR(SEARCH(("VACATION"),(O26))))</formula>
    </cfRule>
    <cfRule type="containsText" priority="20239" operator="containsText" dxfId="7" text="PATH">
      <formula>NOT(ISERROR(SEARCH(("PATH"),(O26))))</formula>
    </cfRule>
    <cfRule type="containsText" priority="20240" operator="containsText" dxfId="7" text="NEPHRO">
      <formula>NOT(ISERROR(SEARCH(("NEPHRO"),(O26))))</formula>
    </cfRule>
    <cfRule type="containsText" priority="20241" operator="containsText" dxfId="7" text="PULM">
      <formula>NOT(ISERROR(SEARCH(("PULM"),(O26))))</formula>
    </cfRule>
    <cfRule type="containsText" priority="20242" operator="containsText" dxfId="7" text="RADIOLOGY">
      <formula>NOT(ISERROR(SEARCH(("RADIOLOGY"),(O26))))</formula>
    </cfRule>
    <cfRule type="containsText" priority="20243" operator="containsText" dxfId="7" text="HEM/ONC">
      <formula>NOT(ISERROR(SEARCH(("HEM/ONC"),(O26))))</formula>
    </cfRule>
    <cfRule type="containsText" priority="20244" operator="containsText" dxfId="7" text="CARDIO">
      <formula>NOT(ISERROR(SEARCH(("CARDIO"),(O26))))</formula>
    </cfRule>
    <cfRule type="containsText" priority="20245" operator="containsText" dxfId="7" text="ID">
      <formula>NOT(ISERROR(SEARCH(("ID"),(O26))))</formula>
    </cfRule>
    <cfRule type="containsText" priority="20246" operator="containsText" dxfId="7" text="NEURO">
      <formula>NOT(ISERROR(SEARCH(("NEURO"),(O26))))</formula>
    </cfRule>
    <cfRule type="containsText" priority="20247" operator="containsText" dxfId="6" text="NEURO">
      <formula>NOT(ISERROR(SEARCH(("NEURO"),(O26))))</formula>
    </cfRule>
    <cfRule type="containsText" priority="20248" operator="containsText" dxfId="5" text="NEURO">
      <formula>NOT(ISERROR(SEARCH(("NEURO"),(O26))))</formula>
    </cfRule>
    <cfRule type="containsText" priority="20249" operator="containsText" dxfId="0" text="ICU N">
      <formula>NOT(ISERROR(SEARCH(("ICU N"),(O26))))</formula>
    </cfRule>
    <cfRule type="containsText" priority="20250" operator="containsText" dxfId="3" text="ICU">
      <formula>NOT(ISERROR(SEARCH(("ICU"),(O26))))</formula>
    </cfRule>
    <cfRule type="containsText" priority="20251" operator="containsText" dxfId="0" text="SWING">
      <formula>NOT(ISERROR(SEARCH(("SWING"),(O26))))</formula>
    </cfRule>
    <cfRule type="containsText" priority="20252" operator="containsText" dxfId="0" text="NF">
      <formula>NOT(ISERROR(SEARCH(("NF"),(O26))))</formula>
    </cfRule>
    <cfRule type="containsText" priority="20253" operator="containsText" dxfId="0" text="ICU N">
      <formula>NOT(ISERROR(SEARCH(("ICU N"),(O26))))</formula>
    </cfRule>
  </conditionalFormatting>
  <conditionalFormatting sqref="P42:Q42">
    <cfRule type="containsText" priority="20110" operator="containsText" dxfId="16" text="ED">
      <formula>NOT(ISERROR(SEARCH(("ED"),(P42))))</formula>
    </cfRule>
    <cfRule type="containsText" priority="20111" operator="containsText" dxfId="15" text="GERIATRIC">
      <formula>NOT(ISERROR(SEARCH(("GERIATRIC"),(P42))))</formula>
    </cfRule>
    <cfRule type="containsText" priority="20112" operator="containsText" dxfId="17" text="VACATION">
      <formula>NOT(ISERROR(SEARCH(("VACATION"),(P42))))</formula>
    </cfRule>
    <cfRule type="containsText" priority="20113" operator="containsText" dxfId="7" text="PATH">
      <formula>NOT(ISERROR(SEARCH(("PATH"),(P42))))</formula>
    </cfRule>
    <cfRule type="containsText" priority="20114" operator="containsText" dxfId="7" text="NEPHRO">
      <formula>NOT(ISERROR(SEARCH(("NEPHRO"),(P42))))</formula>
    </cfRule>
    <cfRule type="containsText" priority="20115" operator="containsText" dxfId="7" text="PULM">
      <formula>NOT(ISERROR(SEARCH(("PULM"),(P42))))</formula>
    </cfRule>
    <cfRule type="containsText" priority="20116" operator="containsText" dxfId="7" text="RADIOLOGY">
      <formula>NOT(ISERROR(SEARCH(("RADIOLOGY"),(P42))))</formula>
    </cfRule>
    <cfRule type="containsText" priority="20117" operator="containsText" dxfId="7" text="HEM/ONC">
      <formula>NOT(ISERROR(SEARCH(("HEM/ONC"),(P42))))</formula>
    </cfRule>
    <cfRule type="containsText" priority="20118" operator="containsText" dxfId="7" text="CARDIO">
      <formula>NOT(ISERROR(SEARCH(("CARDIO"),(P42))))</formula>
    </cfRule>
    <cfRule type="containsText" priority="20119" operator="containsText" dxfId="7" text="ID">
      <formula>NOT(ISERROR(SEARCH(("ID"),(P42))))</formula>
    </cfRule>
    <cfRule type="containsText" priority="20120" operator="containsText" dxfId="7" text="NEURO">
      <formula>NOT(ISERROR(SEARCH(("NEURO"),(P42))))</formula>
    </cfRule>
    <cfRule type="containsText" priority="20121" operator="containsText" dxfId="6" text="NEURO">
      <formula>NOT(ISERROR(SEARCH(("NEURO"),(P42))))</formula>
    </cfRule>
    <cfRule type="containsText" priority="20122" operator="containsText" dxfId="5" text="NEURO">
      <formula>NOT(ISERROR(SEARCH(("NEURO"),(P42))))</formula>
    </cfRule>
    <cfRule type="containsText" priority="20123" operator="containsText" dxfId="0" text="ICU N">
      <formula>NOT(ISERROR(SEARCH(("ICU N"),(P42))))</formula>
    </cfRule>
    <cfRule type="containsText" priority="20124" operator="containsText" dxfId="3" text="ICU">
      <formula>NOT(ISERROR(SEARCH(("ICU"),(P42))))</formula>
    </cfRule>
    <cfRule type="containsText" priority="20125" operator="containsText" dxfId="0" text="SWING">
      <formula>NOT(ISERROR(SEARCH(("SWING"),(P42))))</formula>
    </cfRule>
    <cfRule type="containsText" priority="20126" operator="containsText" dxfId="0" text="NF">
      <formula>NOT(ISERROR(SEARCH(("NF"),(P42))))</formula>
    </cfRule>
    <cfRule type="containsText" priority="20127" operator="containsText" dxfId="0" text="ICU N">
      <formula>NOT(ISERROR(SEARCH(("ICU N"),(P42))))</formula>
    </cfRule>
  </conditionalFormatting>
  <conditionalFormatting sqref="T15">
    <cfRule type="containsText" priority="20018" operator="containsText" dxfId="17" text="VACATION">
      <formula>NOT(ISERROR(SEARCH(("VACATION"),(T15))))</formula>
    </cfRule>
  </conditionalFormatting>
  <conditionalFormatting sqref="T15 AS15:AT15">
    <cfRule type="containsText" priority="20019" operator="containsText" dxfId="0" text="ICU N">
      <formula>NOT(ISERROR(SEARCH(("ICU N"),(T15))))</formula>
    </cfRule>
  </conditionalFormatting>
  <conditionalFormatting sqref="S46:T46">
    <cfRule type="containsText" priority="20001" operator="containsText" dxfId="17" text="VACATION">
      <formula>NOT(ISERROR(SEARCH(("VACATION"),(S46))))</formula>
    </cfRule>
    <cfRule type="containsText" priority="20002" operator="containsText" dxfId="16" text="ED">
      <formula>NOT(ISERROR(SEARCH(("ED"),(S46))))</formula>
    </cfRule>
    <cfRule type="containsText" priority="20003" operator="containsText" dxfId="15" text="GERIATRIC">
      <formula>NOT(ISERROR(SEARCH(("GERIATRIC"),(S46))))</formula>
    </cfRule>
    <cfRule type="containsText" priority="20004" operator="containsText" dxfId="7" text="PATH">
      <formula>NOT(ISERROR(SEARCH(("PATH"),(S46))))</formula>
    </cfRule>
    <cfRule type="containsText" priority="20005" operator="containsText" dxfId="7" text="NEPHRO">
      <formula>NOT(ISERROR(SEARCH(("NEPHRO"),(S46))))</formula>
    </cfRule>
    <cfRule type="containsText" priority="20006" operator="containsText" dxfId="7" text="PULM">
      <formula>NOT(ISERROR(SEARCH(("PULM"),(S46))))</formula>
    </cfRule>
    <cfRule type="containsText" priority="20007" operator="containsText" dxfId="7" text="RADIOLOGY">
      <formula>NOT(ISERROR(SEARCH(("RADIOLOGY"),(S46))))</formula>
    </cfRule>
    <cfRule type="containsText" priority="20008" operator="containsText" dxfId="7" text="HEM/ONC">
      <formula>NOT(ISERROR(SEARCH(("HEM/ONC"),(S46))))</formula>
    </cfRule>
    <cfRule type="containsText" priority="20009" operator="containsText" dxfId="7" text="CARDIO">
      <formula>NOT(ISERROR(SEARCH(("CARDIO"),(S46))))</formula>
    </cfRule>
    <cfRule type="containsText" priority="20010" operator="containsText" dxfId="7" text="ID">
      <formula>NOT(ISERROR(SEARCH(("ID"),(S46))))</formula>
    </cfRule>
    <cfRule type="containsText" priority="20011" operator="containsText" dxfId="7" text="NEURO">
      <formula>NOT(ISERROR(SEARCH(("NEURO"),(S46))))</formula>
    </cfRule>
    <cfRule type="containsText" priority="20012" operator="containsText" dxfId="6" text="NEURO">
      <formula>NOT(ISERROR(SEARCH(("NEURO"),(S46))))</formula>
    </cfRule>
    <cfRule type="containsText" priority="20013" operator="containsText" dxfId="5" text="NEURO">
      <formula>NOT(ISERROR(SEARCH(("NEURO"),(S46))))</formula>
    </cfRule>
    <cfRule type="containsText" priority="20014" operator="containsText" dxfId="0" text="ICU N">
      <formula>NOT(ISERROR(SEARCH(("ICU N"),(S46))))</formula>
    </cfRule>
    <cfRule type="containsText" priority="20015" operator="containsText" dxfId="3" text="ICU">
      <formula>NOT(ISERROR(SEARCH(("ICU"),(S46))))</formula>
    </cfRule>
    <cfRule type="containsText" priority="20016" operator="containsText" dxfId="0" text="SWING">
      <formula>NOT(ISERROR(SEARCH(("SWING"),(S46))))</formula>
    </cfRule>
    <cfRule type="containsText" priority="20017" operator="containsText" dxfId="0" text="NF">
      <formula>NOT(ISERROR(SEARCH(("NF"),(S46))))</formula>
    </cfRule>
  </conditionalFormatting>
  <conditionalFormatting sqref="AU10">
    <cfRule type="containsText" priority="19797" operator="containsText" dxfId="17" text="VACATION">
      <formula>NOT(ISERROR(SEARCH(("VACATION"),(AU10))))</formula>
    </cfRule>
    <cfRule type="containsText" priority="19798" operator="containsText" dxfId="16" text="ED">
      <formula>NOT(ISERROR(SEARCH(("ED"),(AU10))))</formula>
    </cfRule>
    <cfRule type="containsText" priority="19799" operator="containsText" dxfId="15" text="GERIATRIC">
      <formula>NOT(ISERROR(SEARCH(("GERIATRIC"),(AU10))))</formula>
    </cfRule>
    <cfRule type="containsText" priority="19800" operator="containsText" dxfId="7" text="PATH">
      <formula>NOT(ISERROR(SEARCH(("PATH"),(AU10))))</formula>
    </cfRule>
    <cfRule type="containsText" priority="19801" operator="containsText" dxfId="7" text="NEPHRO">
      <formula>NOT(ISERROR(SEARCH(("NEPHRO"),(AU10))))</formula>
    </cfRule>
    <cfRule type="containsText" priority="19802" operator="containsText" dxfId="7" text="PULM">
      <formula>NOT(ISERROR(SEARCH(("PULM"),(AU10))))</formula>
    </cfRule>
    <cfRule type="containsText" priority="19803" operator="containsText" dxfId="7" text="RADIOLOGY">
      <formula>NOT(ISERROR(SEARCH(("RADIOLOGY"),(AU10))))</formula>
    </cfRule>
    <cfRule type="containsText" priority="19804" operator="containsText" dxfId="7" text="HEM/ONC">
      <formula>NOT(ISERROR(SEARCH(("HEM/ONC"),(AU10))))</formula>
    </cfRule>
    <cfRule type="containsText" priority="19805" operator="containsText" dxfId="7" text="CARDIO">
      <formula>NOT(ISERROR(SEARCH(("CARDIO"),(AU10))))</formula>
    </cfRule>
    <cfRule type="containsText" priority="19806" operator="containsText" dxfId="7" text="ID">
      <formula>NOT(ISERROR(SEARCH(("ID"),(AU10))))</formula>
    </cfRule>
    <cfRule type="containsText" priority="19807" operator="containsText" dxfId="7" text="NEURO">
      <formula>NOT(ISERROR(SEARCH(("NEURO"),(AU10))))</formula>
    </cfRule>
    <cfRule type="containsText" priority="19808" operator="containsText" dxfId="6" text="NEURO">
      <formula>NOT(ISERROR(SEARCH(("NEURO"),(AU10))))</formula>
    </cfRule>
    <cfRule type="containsText" priority="19809" operator="containsText" dxfId="5" text="NEURO">
      <formula>NOT(ISERROR(SEARCH(("NEURO"),(AU10))))</formula>
    </cfRule>
    <cfRule type="containsText" priority="19810" operator="containsText" dxfId="0" text="ICU N">
      <formula>NOT(ISERROR(SEARCH(("ICU N"),(AU10))))</formula>
    </cfRule>
    <cfRule type="containsText" priority="19811" operator="containsText" dxfId="3" text="ICU">
      <formula>NOT(ISERROR(SEARCH(("ICU"),(AU10))))</formula>
    </cfRule>
    <cfRule type="containsText" priority="19812" operator="containsText" dxfId="0" text="SWING">
      <formula>NOT(ISERROR(SEARCH(("SWING"),(AU10))))</formula>
    </cfRule>
    <cfRule type="containsText" priority="19813" operator="containsText" dxfId="0" text="NF">
      <formula>NOT(ISERROR(SEARCH(("NF"),(AU10))))</formula>
    </cfRule>
  </conditionalFormatting>
  <conditionalFormatting sqref="AU11">
    <cfRule type="containsText" priority="19780" operator="containsText" dxfId="17" text="VACATION">
      <formula>NOT(ISERROR(SEARCH(("VACATION"),(AU11))))</formula>
    </cfRule>
    <cfRule type="containsText" priority="19781" operator="containsText" dxfId="16" text="ED">
      <formula>NOT(ISERROR(SEARCH(("ED"),(AU11))))</formula>
    </cfRule>
    <cfRule type="containsText" priority="19782" operator="containsText" dxfId="15" text="GERIATRIC">
      <formula>NOT(ISERROR(SEARCH(("GERIATRIC"),(AU11))))</formula>
    </cfRule>
    <cfRule type="containsText" priority="19783" operator="containsText" dxfId="7" text="PATH">
      <formula>NOT(ISERROR(SEARCH(("PATH"),(AU11))))</formula>
    </cfRule>
    <cfRule type="containsText" priority="19784" operator="containsText" dxfId="7" text="NEPHRO">
      <formula>NOT(ISERROR(SEARCH(("NEPHRO"),(AU11))))</formula>
    </cfRule>
    <cfRule type="containsText" priority="19785" operator="containsText" dxfId="7" text="PULM">
      <formula>NOT(ISERROR(SEARCH(("PULM"),(AU11))))</formula>
    </cfRule>
    <cfRule type="containsText" priority="19786" operator="containsText" dxfId="7" text="RADIOLOGY">
      <formula>NOT(ISERROR(SEARCH(("RADIOLOGY"),(AU11))))</formula>
    </cfRule>
    <cfRule type="containsText" priority="19787" operator="containsText" dxfId="7" text="HEM/ONC">
      <formula>NOT(ISERROR(SEARCH(("HEM/ONC"),(AU11))))</formula>
    </cfRule>
    <cfRule type="containsText" priority="19788" operator="containsText" dxfId="7" text="CARDIO">
      <formula>NOT(ISERROR(SEARCH(("CARDIO"),(AU11))))</formula>
    </cfRule>
    <cfRule type="containsText" priority="19789" operator="containsText" dxfId="7" text="ID">
      <formula>NOT(ISERROR(SEARCH(("ID"),(AU11))))</formula>
    </cfRule>
    <cfRule type="containsText" priority="19790" operator="containsText" dxfId="7" text="NEURO">
      <formula>NOT(ISERROR(SEARCH(("NEURO"),(AU11))))</formula>
    </cfRule>
    <cfRule type="containsText" priority="19791" operator="containsText" dxfId="6" text="NEURO">
      <formula>NOT(ISERROR(SEARCH(("NEURO"),(AU11))))</formula>
    </cfRule>
    <cfRule type="containsText" priority="19792" operator="containsText" dxfId="5" text="NEURO">
      <formula>NOT(ISERROR(SEARCH(("NEURO"),(AU11))))</formula>
    </cfRule>
    <cfRule type="containsText" priority="19793" operator="containsText" dxfId="0" text="ICU N">
      <formula>NOT(ISERROR(SEARCH(("ICU N"),(AU11))))</formula>
    </cfRule>
    <cfRule type="containsText" priority="19794" operator="containsText" dxfId="3" text="ICU">
      <formula>NOT(ISERROR(SEARCH(("ICU"),(AU11))))</formula>
    </cfRule>
    <cfRule type="containsText" priority="19795" operator="containsText" dxfId="0" text="SWING">
      <formula>NOT(ISERROR(SEARCH(("SWING"),(AU11))))</formula>
    </cfRule>
    <cfRule type="containsText" priority="19796" operator="containsText" dxfId="0" text="NF">
      <formula>NOT(ISERROR(SEARCH(("NF"),(AU11))))</formula>
    </cfRule>
  </conditionalFormatting>
  <conditionalFormatting sqref="AU7">
    <cfRule type="containsText" priority="19763" operator="containsText" dxfId="17" text="VACATION">
      <formula>NOT(ISERROR(SEARCH(("VACATION"),(AU7))))</formula>
    </cfRule>
    <cfRule type="containsText" priority="19764" operator="containsText" dxfId="16" text="ED">
      <formula>NOT(ISERROR(SEARCH(("ED"),(AU7))))</formula>
    </cfRule>
    <cfRule type="containsText" priority="19765" operator="containsText" dxfId="15" text="GERIATRIC">
      <formula>NOT(ISERROR(SEARCH(("GERIATRIC"),(AU7))))</formula>
    </cfRule>
    <cfRule type="containsText" priority="19766" operator="containsText" dxfId="7" text="PATH">
      <formula>NOT(ISERROR(SEARCH(("PATH"),(AU7))))</formula>
    </cfRule>
    <cfRule type="containsText" priority="19767" operator="containsText" dxfId="7" text="NEPHRO">
      <formula>NOT(ISERROR(SEARCH(("NEPHRO"),(AU7))))</formula>
    </cfRule>
    <cfRule type="containsText" priority="19768" operator="containsText" dxfId="7" text="PULM">
      <formula>NOT(ISERROR(SEARCH(("PULM"),(AU7))))</formula>
    </cfRule>
    <cfRule type="containsText" priority="19769" operator="containsText" dxfId="7" text="RADIOLOGY">
      <formula>NOT(ISERROR(SEARCH(("RADIOLOGY"),(AU7))))</formula>
    </cfRule>
    <cfRule type="containsText" priority="19770" operator="containsText" dxfId="7" text="HEM/ONC">
      <formula>NOT(ISERROR(SEARCH(("HEM/ONC"),(AU7))))</formula>
    </cfRule>
    <cfRule type="containsText" priority="19771" operator="containsText" dxfId="7" text="CARDIO">
      <formula>NOT(ISERROR(SEARCH(("CARDIO"),(AU7))))</formula>
    </cfRule>
    <cfRule type="containsText" priority="19772" operator="containsText" dxfId="7" text="ID">
      <formula>NOT(ISERROR(SEARCH(("ID"),(AU7))))</formula>
    </cfRule>
    <cfRule type="containsText" priority="19773" operator="containsText" dxfId="7" text="NEURO">
      <formula>NOT(ISERROR(SEARCH(("NEURO"),(AU7))))</formula>
    </cfRule>
    <cfRule type="containsText" priority="19774" operator="containsText" dxfId="6" text="NEURO">
      <formula>NOT(ISERROR(SEARCH(("NEURO"),(AU7))))</formula>
    </cfRule>
    <cfRule type="containsText" priority="19775" operator="containsText" dxfId="5" text="NEURO">
      <formula>NOT(ISERROR(SEARCH(("NEURO"),(AU7))))</formula>
    </cfRule>
    <cfRule type="containsText" priority="19776" operator="containsText" dxfId="0" text="ICU N">
      <formula>NOT(ISERROR(SEARCH(("ICU N"),(AU7))))</formula>
    </cfRule>
    <cfRule type="containsText" priority="19777" operator="containsText" dxfId="3" text="ICU">
      <formula>NOT(ISERROR(SEARCH(("ICU"),(AU7))))</formula>
    </cfRule>
    <cfRule type="containsText" priority="19778" operator="containsText" dxfId="0" text="SWING">
      <formula>NOT(ISERROR(SEARCH(("SWING"),(AU7))))</formula>
    </cfRule>
    <cfRule type="containsText" priority="19779" operator="containsText" dxfId="0" text="NF">
      <formula>NOT(ISERROR(SEARCH(("NF"),(AU7))))</formula>
    </cfRule>
  </conditionalFormatting>
  <conditionalFormatting sqref="E5 E7">
    <cfRule type="containsText" priority="19676" operator="containsText" dxfId="16" text="ED">
      <formula>NOT(ISERROR(SEARCH(("ED"),(E5))))</formula>
    </cfRule>
    <cfRule type="containsText" priority="19677" operator="containsText" dxfId="15" text="GERIATRIC">
      <formula>NOT(ISERROR(SEARCH(("GERIATRIC"),(E5))))</formula>
    </cfRule>
    <cfRule type="containsText" priority="19678" operator="containsText" dxfId="17" text="VACATION">
      <formula>NOT(ISERROR(SEARCH(("VACATION"),(E5))))</formula>
    </cfRule>
    <cfRule type="containsText" priority="19679" operator="containsText" dxfId="7" text="PATH">
      <formula>NOT(ISERROR(SEARCH(("PATH"),(E5))))</formula>
    </cfRule>
    <cfRule type="containsText" priority="19680" operator="containsText" dxfId="7" text="NEPHRO">
      <formula>NOT(ISERROR(SEARCH(("NEPHRO"),(E5))))</formula>
    </cfRule>
    <cfRule type="containsText" priority="19681" operator="containsText" dxfId="7" text="PULM">
      <formula>NOT(ISERROR(SEARCH(("PULM"),(E5))))</formula>
    </cfRule>
    <cfRule type="containsText" priority="19682" operator="containsText" dxfId="7" text="RADIOLOGY">
      <formula>NOT(ISERROR(SEARCH(("RADIOLOGY"),(E5))))</formula>
    </cfRule>
    <cfRule type="containsText" priority="19683" operator="containsText" dxfId="7" text="HEM/ONC">
      <formula>NOT(ISERROR(SEARCH(("HEM/ONC"),(E5))))</formula>
    </cfRule>
    <cfRule type="containsText" priority="19684" operator="containsText" dxfId="7" text="CARDIO">
      <formula>NOT(ISERROR(SEARCH(("CARDIO"),(E5))))</formula>
    </cfRule>
    <cfRule type="containsText" priority="19685" operator="containsText" dxfId="7" text="ID">
      <formula>NOT(ISERROR(SEARCH(("ID"),(E5))))</formula>
    </cfRule>
    <cfRule type="containsText" priority="19686" operator="containsText" dxfId="7" text="NEURO">
      <formula>NOT(ISERROR(SEARCH(("NEURO"),(E5))))</formula>
    </cfRule>
    <cfRule type="containsText" priority="19687" operator="containsText" dxfId="6" text="NEURO">
      <formula>NOT(ISERROR(SEARCH(("NEURO"),(E5))))</formula>
    </cfRule>
    <cfRule type="containsText" priority="19688" operator="containsText" dxfId="5" text="NEURO">
      <formula>NOT(ISERROR(SEARCH(("NEURO"),(E5))))</formula>
    </cfRule>
    <cfRule type="containsText" priority="19689" operator="containsText" dxfId="0" text="ICU N">
      <formula>NOT(ISERROR(SEARCH(("ICU N"),(E5))))</formula>
    </cfRule>
    <cfRule type="containsText" priority="19690" operator="containsText" dxfId="3" text="ICU">
      <formula>NOT(ISERROR(SEARCH(("ICU"),(E5))))</formula>
    </cfRule>
    <cfRule type="containsText" priority="19691" operator="containsText" dxfId="0" text="SWING">
      <formula>NOT(ISERROR(SEARCH(("SWING"),(E5))))</formula>
    </cfRule>
    <cfRule type="containsText" priority="19692" operator="containsText" dxfId="0" text="NF">
      <formula>NOT(ISERROR(SEARCH(("NF"),(E5))))</formula>
    </cfRule>
    <cfRule type="containsText" priority="19693" operator="containsText" dxfId="0" text="ICU N">
      <formula>NOT(ISERROR(SEARCH(("ICU N"),(E5))))</formula>
    </cfRule>
  </conditionalFormatting>
  <conditionalFormatting sqref="E4:E7 E10:E11">
    <cfRule type="containsText" priority="19658" operator="containsText" dxfId="16" text="ED">
      <formula>NOT(ISERROR(SEARCH(("ED"),(E4))))</formula>
    </cfRule>
    <cfRule type="containsText" priority="19659" operator="containsText" dxfId="15" text="GERIATRIC">
      <formula>NOT(ISERROR(SEARCH(("GERIATRIC"),(E4))))</formula>
    </cfRule>
    <cfRule type="containsText" priority="19660" operator="containsText" dxfId="17" text="VACATION">
      <formula>NOT(ISERROR(SEARCH(("VACATION"),(E4))))</formula>
    </cfRule>
    <cfRule type="containsText" priority="19661" operator="containsText" dxfId="7" text="PATH">
      <formula>NOT(ISERROR(SEARCH(("PATH"),(E4))))</formula>
    </cfRule>
    <cfRule type="containsText" priority="19662" operator="containsText" dxfId="7" text="NEPHRO">
      <formula>NOT(ISERROR(SEARCH(("NEPHRO"),(E4))))</formula>
    </cfRule>
    <cfRule type="containsText" priority="19663" operator="containsText" dxfId="7" text="PULM">
      <formula>NOT(ISERROR(SEARCH(("PULM"),(E4))))</formula>
    </cfRule>
    <cfRule type="containsText" priority="19664" operator="containsText" dxfId="7" text="RADIOLOGY">
      <formula>NOT(ISERROR(SEARCH(("RADIOLOGY"),(E4))))</formula>
    </cfRule>
    <cfRule type="containsText" priority="19665" operator="containsText" dxfId="7" text="HEM/ONC">
      <formula>NOT(ISERROR(SEARCH(("HEM/ONC"),(E4))))</formula>
    </cfRule>
    <cfRule type="containsText" priority="19666" operator="containsText" dxfId="7" text="CARDIO">
      <formula>NOT(ISERROR(SEARCH(("CARDIO"),(E4))))</formula>
    </cfRule>
    <cfRule type="containsText" priority="19667" operator="containsText" dxfId="7" text="ID">
      <formula>NOT(ISERROR(SEARCH(("ID"),(E4))))</formula>
    </cfRule>
    <cfRule type="containsText" priority="19668" operator="containsText" dxfId="7" text="NEURO">
      <formula>NOT(ISERROR(SEARCH(("NEURO"),(E4))))</formula>
    </cfRule>
    <cfRule type="containsText" priority="19669" operator="containsText" dxfId="6" text="NEURO">
      <formula>NOT(ISERROR(SEARCH(("NEURO"),(E4))))</formula>
    </cfRule>
    <cfRule type="containsText" priority="19670" operator="containsText" dxfId="5" text="NEURO">
      <formula>NOT(ISERROR(SEARCH(("NEURO"),(E4))))</formula>
    </cfRule>
    <cfRule type="containsText" priority="19671" operator="containsText" dxfId="0" text="ICU N">
      <formula>NOT(ISERROR(SEARCH(("ICU N"),(E4))))</formula>
    </cfRule>
    <cfRule type="containsText" priority="19672" operator="containsText" dxfId="3" text="ICU">
      <formula>NOT(ISERROR(SEARCH(("ICU"),(E4))))</formula>
    </cfRule>
    <cfRule type="containsText" priority="19673" operator="containsText" dxfId="0" text="SWING">
      <formula>NOT(ISERROR(SEARCH(("SWING"),(E4))))</formula>
    </cfRule>
    <cfRule type="containsText" priority="19674" operator="containsText" dxfId="0" text="NF">
      <formula>NOT(ISERROR(SEARCH(("NF"),(E4))))</formula>
    </cfRule>
    <cfRule type="containsText" priority="19675" operator="containsText" dxfId="0" text="ICU N">
      <formula>NOT(ISERROR(SEARCH(("ICU N"),(E4))))</formula>
    </cfRule>
  </conditionalFormatting>
  <conditionalFormatting sqref="E6">
    <cfRule type="containsText" priority="19622" operator="containsText" dxfId="16" text="ED">
      <formula>NOT(ISERROR(SEARCH(("ED"),(E6))))</formula>
    </cfRule>
    <cfRule type="containsText" priority="19623" operator="containsText" dxfId="15" text="GERIATRIC">
      <formula>NOT(ISERROR(SEARCH(("GERIATRIC"),(E6))))</formula>
    </cfRule>
    <cfRule type="containsText" priority="19624" operator="containsText" dxfId="17" text="VACATION">
      <formula>NOT(ISERROR(SEARCH(("VACATION"),(E6))))</formula>
    </cfRule>
    <cfRule type="containsText" priority="19625" operator="containsText" dxfId="7" text="PATH">
      <formula>NOT(ISERROR(SEARCH(("PATH"),(E6))))</formula>
    </cfRule>
    <cfRule type="containsText" priority="19626" operator="containsText" dxfId="7" text="NEPHRO">
      <formula>NOT(ISERROR(SEARCH(("NEPHRO"),(E6))))</formula>
    </cfRule>
    <cfRule type="containsText" priority="19627" operator="containsText" dxfId="7" text="PULM">
      <formula>NOT(ISERROR(SEARCH(("PULM"),(E6))))</formula>
    </cfRule>
    <cfRule type="containsText" priority="19628" operator="containsText" dxfId="7" text="RADIOLOGY">
      <formula>NOT(ISERROR(SEARCH(("RADIOLOGY"),(E6))))</formula>
    </cfRule>
    <cfRule type="containsText" priority="19629" operator="containsText" dxfId="7" text="HEM/ONC">
      <formula>NOT(ISERROR(SEARCH(("HEM/ONC"),(E6))))</formula>
    </cfRule>
    <cfRule type="containsText" priority="19630" operator="containsText" dxfId="7" text="CARDIO">
      <formula>NOT(ISERROR(SEARCH(("CARDIO"),(E6))))</formula>
    </cfRule>
    <cfRule type="containsText" priority="19631" operator="containsText" dxfId="7" text="ID">
      <formula>NOT(ISERROR(SEARCH(("ID"),(E6))))</formula>
    </cfRule>
    <cfRule type="containsText" priority="19632" operator="containsText" dxfId="7" text="NEURO">
      <formula>NOT(ISERROR(SEARCH(("NEURO"),(E6))))</formula>
    </cfRule>
    <cfRule type="containsText" priority="19633" operator="containsText" dxfId="6" text="NEURO">
      <formula>NOT(ISERROR(SEARCH(("NEURO"),(E6))))</formula>
    </cfRule>
    <cfRule type="containsText" priority="19634" operator="containsText" dxfId="5" text="NEURO">
      <formula>NOT(ISERROR(SEARCH(("NEURO"),(E6))))</formula>
    </cfRule>
    <cfRule type="containsText" priority="19635" operator="containsText" dxfId="0" text="ICU N">
      <formula>NOT(ISERROR(SEARCH(("ICU N"),(E6))))</formula>
    </cfRule>
    <cfRule type="containsText" priority="19636" operator="containsText" dxfId="3" text="ICU">
      <formula>NOT(ISERROR(SEARCH(("ICU"),(E6))))</formula>
    </cfRule>
    <cfRule type="containsText" priority="19637" operator="containsText" dxfId="0" text="SWING">
      <formula>NOT(ISERROR(SEARCH(("SWING"),(E6))))</formula>
    </cfRule>
    <cfRule type="containsText" priority="19638" operator="containsText" dxfId="0" text="NF">
      <formula>NOT(ISERROR(SEARCH(("NF"),(E6))))</formula>
    </cfRule>
    <cfRule type="containsText" priority="19639" operator="containsText" dxfId="0" text="ICU N">
      <formula>NOT(ISERROR(SEARCH(("ICU N"),(E6))))</formula>
    </cfRule>
    <cfRule type="containsText" priority="19568" operator="containsText" dxfId="16" text="ED">
      <formula>NOT(ISERROR(SEARCH(("ED"),(E6))))</formula>
    </cfRule>
    <cfRule type="containsText" priority="19569" operator="containsText" dxfId="15" text="GERIATRIC">
      <formula>NOT(ISERROR(SEARCH(("GERIATRIC"),(E6))))</formula>
    </cfRule>
    <cfRule type="containsText" priority="19570" operator="containsText" dxfId="17" text="VACATION">
      <formula>NOT(ISERROR(SEARCH(("VACATION"),(E6))))</formula>
    </cfRule>
    <cfRule type="containsText" priority="19571" operator="containsText" dxfId="7" text="PATH">
      <formula>NOT(ISERROR(SEARCH(("PATH"),(E6))))</formula>
    </cfRule>
    <cfRule type="containsText" priority="19572" operator="containsText" dxfId="7" text="NEPHRO">
      <formula>NOT(ISERROR(SEARCH(("NEPHRO"),(E6))))</formula>
    </cfRule>
    <cfRule type="containsText" priority="19573" operator="containsText" dxfId="7" text="PULM">
      <formula>NOT(ISERROR(SEARCH(("PULM"),(E6))))</formula>
    </cfRule>
    <cfRule type="containsText" priority="19574" operator="containsText" dxfId="7" text="RADIOLOGY">
      <formula>NOT(ISERROR(SEARCH(("RADIOLOGY"),(E6))))</formula>
    </cfRule>
    <cfRule type="containsText" priority="19575" operator="containsText" dxfId="7" text="HEM/ONC">
      <formula>NOT(ISERROR(SEARCH(("HEM/ONC"),(E6))))</formula>
    </cfRule>
    <cfRule type="containsText" priority="19576" operator="containsText" dxfId="7" text="CARDIO">
      <formula>NOT(ISERROR(SEARCH(("CARDIO"),(E6))))</formula>
    </cfRule>
    <cfRule type="containsText" priority="19577" operator="containsText" dxfId="7" text="ID">
      <formula>NOT(ISERROR(SEARCH(("ID"),(E6))))</formula>
    </cfRule>
    <cfRule type="containsText" priority="19578" operator="containsText" dxfId="7" text="NEURO">
      <formula>NOT(ISERROR(SEARCH(("NEURO"),(E6))))</formula>
    </cfRule>
    <cfRule type="containsText" priority="19579" operator="containsText" dxfId="6" text="NEURO">
      <formula>NOT(ISERROR(SEARCH(("NEURO"),(E6))))</formula>
    </cfRule>
    <cfRule type="containsText" priority="19580" operator="containsText" dxfId="5" text="NEURO">
      <formula>NOT(ISERROR(SEARCH(("NEURO"),(E6))))</formula>
    </cfRule>
    <cfRule type="containsText" priority="19581" operator="containsText" dxfId="0" text="ICU N">
      <formula>NOT(ISERROR(SEARCH(("ICU N"),(E6))))</formula>
    </cfRule>
    <cfRule type="containsText" priority="19582" operator="containsText" dxfId="3" text="ICU">
      <formula>NOT(ISERROR(SEARCH(("ICU"),(E6))))</formula>
    </cfRule>
    <cfRule type="containsText" priority="19583" operator="containsText" dxfId="0" text="SWING">
      <formula>NOT(ISERROR(SEARCH(("SWING"),(E6))))</formula>
    </cfRule>
    <cfRule type="containsText" priority="19584" operator="containsText" dxfId="0" text="NF">
      <formula>NOT(ISERROR(SEARCH(("NF"),(E6))))</formula>
    </cfRule>
    <cfRule type="containsText" priority="19585" operator="containsText" dxfId="0" text="ICU N">
      <formula>NOT(ISERROR(SEARCH(("ICU N"),(E6))))</formula>
    </cfRule>
    <cfRule type="containsText" priority="19550" operator="containsText" dxfId="16" text="ED">
      <formula>NOT(ISERROR(SEARCH(("ED"),(E6))))</formula>
    </cfRule>
    <cfRule type="containsText" priority="19551" operator="containsText" dxfId="15" text="GERIATRIC">
      <formula>NOT(ISERROR(SEARCH(("GERIATRIC"),(E6))))</formula>
    </cfRule>
    <cfRule type="containsText" priority="19552" operator="containsText" dxfId="17" text="VACATION">
      <formula>NOT(ISERROR(SEARCH(("VACATION"),(E6))))</formula>
    </cfRule>
    <cfRule type="containsText" priority="19553" operator="containsText" dxfId="7" text="PATH">
      <formula>NOT(ISERROR(SEARCH(("PATH"),(E6))))</formula>
    </cfRule>
    <cfRule type="containsText" priority="19554" operator="containsText" dxfId="7" text="NEPHRO">
      <formula>NOT(ISERROR(SEARCH(("NEPHRO"),(E6))))</formula>
    </cfRule>
    <cfRule type="containsText" priority="19555" operator="containsText" dxfId="7" text="PULM">
      <formula>NOT(ISERROR(SEARCH(("PULM"),(E6))))</formula>
    </cfRule>
    <cfRule type="containsText" priority="19556" operator="containsText" dxfId="7" text="RADIOLOGY">
      <formula>NOT(ISERROR(SEARCH(("RADIOLOGY"),(E6))))</formula>
    </cfRule>
    <cfRule type="containsText" priority="19557" operator="containsText" dxfId="7" text="HEM/ONC">
      <formula>NOT(ISERROR(SEARCH(("HEM/ONC"),(E6))))</formula>
    </cfRule>
    <cfRule type="containsText" priority="19558" operator="containsText" dxfId="7" text="CARDIO">
      <formula>NOT(ISERROR(SEARCH(("CARDIO"),(E6))))</formula>
    </cfRule>
    <cfRule type="containsText" priority="19559" operator="containsText" dxfId="7" text="ID">
      <formula>NOT(ISERROR(SEARCH(("ID"),(E6))))</formula>
    </cfRule>
    <cfRule type="containsText" priority="19560" operator="containsText" dxfId="7" text="NEURO">
      <formula>NOT(ISERROR(SEARCH(("NEURO"),(E6))))</formula>
    </cfRule>
    <cfRule type="containsText" priority="19561" operator="containsText" dxfId="6" text="NEURO">
      <formula>NOT(ISERROR(SEARCH(("NEURO"),(E6))))</formula>
    </cfRule>
    <cfRule type="containsText" priority="19562" operator="containsText" dxfId="5" text="NEURO">
      <formula>NOT(ISERROR(SEARCH(("NEURO"),(E6))))</formula>
    </cfRule>
    <cfRule type="containsText" priority="19563" operator="containsText" dxfId="0" text="ICU N">
      <formula>NOT(ISERROR(SEARCH(("ICU N"),(E6))))</formula>
    </cfRule>
    <cfRule type="containsText" priority="19564" operator="containsText" dxfId="3" text="ICU">
      <formula>NOT(ISERROR(SEARCH(("ICU"),(E6))))</formula>
    </cfRule>
    <cfRule type="containsText" priority="19565" operator="containsText" dxfId="0" text="SWING">
      <formula>NOT(ISERROR(SEARCH(("SWING"),(E6))))</formula>
    </cfRule>
    <cfRule type="containsText" priority="19566" operator="containsText" dxfId="0" text="NF">
      <formula>NOT(ISERROR(SEARCH(("NF"),(E6))))</formula>
    </cfRule>
    <cfRule type="containsText" priority="19567" operator="containsText" dxfId="0" text="ICU N">
      <formula>NOT(ISERROR(SEARCH(("ICU N"),(E6))))</formula>
    </cfRule>
  </conditionalFormatting>
  <conditionalFormatting sqref="E20:E22 E25:E28 E31:E33 E38:E41 E44 E46">
    <cfRule type="containsText" priority="19424" operator="containsText" dxfId="16" text="ED">
      <formula>NOT(ISERROR(SEARCH(("ED"),(E20))))</formula>
    </cfRule>
    <cfRule type="containsText" priority="19425" operator="containsText" dxfId="15" text="GERIATRIC">
      <formula>NOT(ISERROR(SEARCH(("GERIATRIC"),(E20))))</formula>
    </cfRule>
    <cfRule type="containsText" priority="19426" operator="containsText" dxfId="17" text="VACATION">
      <formula>NOT(ISERROR(SEARCH(("VACATION"),(E20))))</formula>
    </cfRule>
    <cfRule type="containsText" priority="19427" operator="containsText" dxfId="7" text="PATH">
      <formula>NOT(ISERROR(SEARCH(("PATH"),(E20))))</formula>
    </cfRule>
    <cfRule type="containsText" priority="19428" operator="containsText" dxfId="7" text="NEPHRO">
      <formula>NOT(ISERROR(SEARCH(("NEPHRO"),(E20))))</formula>
    </cfRule>
    <cfRule type="containsText" priority="19429" operator="containsText" dxfId="7" text="PULM">
      <formula>NOT(ISERROR(SEARCH(("PULM"),(E20))))</formula>
    </cfRule>
    <cfRule type="containsText" priority="19430" operator="containsText" dxfId="7" text="RADIOLOGY">
      <formula>NOT(ISERROR(SEARCH(("RADIOLOGY"),(E20))))</formula>
    </cfRule>
    <cfRule type="containsText" priority="19431" operator="containsText" dxfId="7" text="HEM/ONC">
      <formula>NOT(ISERROR(SEARCH(("HEM/ONC"),(E20))))</formula>
    </cfRule>
    <cfRule type="containsText" priority="19432" operator="containsText" dxfId="7" text="CARDIO">
      <formula>NOT(ISERROR(SEARCH(("CARDIO"),(E20))))</formula>
    </cfRule>
    <cfRule type="containsText" priority="19433" operator="containsText" dxfId="7" text="ID">
      <formula>NOT(ISERROR(SEARCH(("ID"),(E20))))</formula>
    </cfRule>
    <cfRule type="containsText" priority="19434" operator="containsText" dxfId="7" text="NEURO">
      <formula>NOT(ISERROR(SEARCH(("NEURO"),(E20))))</formula>
    </cfRule>
    <cfRule type="containsText" priority="19435" operator="containsText" dxfId="6" text="NEURO">
      <formula>NOT(ISERROR(SEARCH(("NEURO"),(E20))))</formula>
    </cfRule>
    <cfRule type="containsText" priority="19436" operator="containsText" dxfId="5" text="NEURO">
      <formula>NOT(ISERROR(SEARCH(("NEURO"),(E20))))</formula>
    </cfRule>
    <cfRule type="containsText" priority="19437" operator="containsText" dxfId="0" text="ICU N">
      <formula>NOT(ISERROR(SEARCH(("ICU N"),(E20))))</formula>
    </cfRule>
    <cfRule type="containsText" priority="19438" operator="containsText" dxfId="3" text="ICU">
      <formula>NOT(ISERROR(SEARCH(("ICU"),(E20))))</formula>
    </cfRule>
    <cfRule type="containsText" priority="19439" operator="containsText" dxfId="0" text="SWING">
      <formula>NOT(ISERROR(SEARCH(("SWING"),(E20))))</formula>
    </cfRule>
    <cfRule type="containsText" priority="19440" operator="containsText" dxfId="0" text="NF">
      <formula>NOT(ISERROR(SEARCH(("NF"),(E20))))</formula>
    </cfRule>
    <cfRule type="containsText" priority="19441" operator="containsText" dxfId="0" text="ICU N">
      <formula>NOT(ISERROR(SEARCH(("ICU N"),(E20))))</formula>
    </cfRule>
    <cfRule type="containsText" priority="19406" operator="containsText" dxfId="16" text="ED">
      <formula>NOT(ISERROR(SEARCH(("ED"),(E20))))</formula>
    </cfRule>
    <cfRule type="containsText" priority="19407" operator="containsText" dxfId="15" text="GERIATRIC">
      <formula>NOT(ISERROR(SEARCH(("GERIATRIC"),(E20))))</formula>
    </cfRule>
    <cfRule type="containsText" priority="19408" operator="containsText" dxfId="17" text="VACATION">
      <formula>NOT(ISERROR(SEARCH(("VACATION"),(E20))))</formula>
    </cfRule>
    <cfRule type="containsText" priority="19409" operator="containsText" dxfId="7" text="PATH">
      <formula>NOT(ISERROR(SEARCH(("PATH"),(E20))))</formula>
    </cfRule>
    <cfRule type="containsText" priority="19410" operator="containsText" dxfId="7" text="NEPHRO">
      <formula>NOT(ISERROR(SEARCH(("NEPHRO"),(E20))))</formula>
    </cfRule>
    <cfRule type="containsText" priority="19411" operator="containsText" dxfId="7" text="PULM">
      <formula>NOT(ISERROR(SEARCH(("PULM"),(E20))))</formula>
    </cfRule>
    <cfRule type="containsText" priority="19412" operator="containsText" dxfId="7" text="RADIOLOGY">
      <formula>NOT(ISERROR(SEARCH(("RADIOLOGY"),(E20))))</formula>
    </cfRule>
    <cfRule type="containsText" priority="19413" operator="containsText" dxfId="7" text="HEM/ONC">
      <formula>NOT(ISERROR(SEARCH(("HEM/ONC"),(E20))))</formula>
    </cfRule>
    <cfRule type="containsText" priority="19414" operator="containsText" dxfId="7" text="CARDIO">
      <formula>NOT(ISERROR(SEARCH(("CARDIO"),(E20))))</formula>
    </cfRule>
    <cfRule type="containsText" priority="19415" operator="containsText" dxfId="7" text="ID">
      <formula>NOT(ISERROR(SEARCH(("ID"),(E20))))</formula>
    </cfRule>
    <cfRule type="containsText" priority="19416" operator="containsText" dxfId="7" text="NEURO">
      <formula>NOT(ISERROR(SEARCH(("NEURO"),(E20))))</formula>
    </cfRule>
    <cfRule type="containsText" priority="19417" operator="containsText" dxfId="6" text="NEURO">
      <formula>NOT(ISERROR(SEARCH(("NEURO"),(E20))))</formula>
    </cfRule>
    <cfRule type="containsText" priority="19418" operator="containsText" dxfId="5" text="NEURO">
      <formula>NOT(ISERROR(SEARCH(("NEURO"),(E20))))</formula>
    </cfRule>
    <cfRule type="containsText" priority="19419" operator="containsText" dxfId="0" text="ICU N">
      <formula>NOT(ISERROR(SEARCH(("ICU N"),(E20))))</formula>
    </cfRule>
    <cfRule type="containsText" priority="19420" operator="containsText" dxfId="3" text="ICU">
      <formula>NOT(ISERROR(SEARCH(("ICU"),(E20))))</formula>
    </cfRule>
    <cfRule type="containsText" priority="19421" operator="containsText" dxfId="0" text="SWING">
      <formula>NOT(ISERROR(SEARCH(("SWING"),(E20))))</formula>
    </cfRule>
    <cfRule type="containsText" priority="19422" operator="containsText" dxfId="0" text="NF">
      <formula>NOT(ISERROR(SEARCH(("NF"),(E20))))</formula>
    </cfRule>
    <cfRule type="containsText" priority="19423" operator="containsText" dxfId="0" text="ICU N">
      <formula>NOT(ISERROR(SEARCH(("ICU N"),(E20))))</formula>
    </cfRule>
  </conditionalFormatting>
  <conditionalFormatting sqref="F12:F15 F17:F18">
    <cfRule type="containsText" priority="19352" operator="containsText" dxfId="16" text="ED">
      <formula>NOT(ISERROR(SEARCH(("ED"),(F12))))</formula>
    </cfRule>
    <cfRule type="containsText" priority="19353" operator="containsText" dxfId="15" text="GERIATRIC">
      <formula>NOT(ISERROR(SEARCH(("GERIATRIC"),(F12))))</formula>
    </cfRule>
    <cfRule type="containsText" priority="19354" operator="containsText" dxfId="17" text="VACATION">
      <formula>NOT(ISERROR(SEARCH(("VACATION"),(F12))))</formula>
    </cfRule>
    <cfRule type="containsText" priority="19355" operator="containsText" dxfId="7" text="PATH">
      <formula>NOT(ISERROR(SEARCH(("PATH"),(F12))))</formula>
    </cfRule>
    <cfRule type="containsText" priority="19356" operator="containsText" dxfId="7" text="NEPHRO">
      <formula>NOT(ISERROR(SEARCH(("NEPHRO"),(F12))))</formula>
    </cfRule>
    <cfRule type="containsText" priority="19357" operator="containsText" dxfId="7" text="PULM">
      <formula>NOT(ISERROR(SEARCH(("PULM"),(F12))))</formula>
    </cfRule>
    <cfRule type="containsText" priority="19358" operator="containsText" dxfId="7" text="RADIOLOGY">
      <formula>NOT(ISERROR(SEARCH(("RADIOLOGY"),(F12))))</formula>
    </cfRule>
    <cfRule type="containsText" priority="19359" operator="containsText" dxfId="7" text="HEM/ONC">
      <formula>NOT(ISERROR(SEARCH(("HEM/ONC"),(F12))))</formula>
    </cfRule>
    <cfRule type="containsText" priority="19360" operator="containsText" dxfId="7" text="CARDIO">
      <formula>NOT(ISERROR(SEARCH(("CARDIO"),(F12))))</formula>
    </cfRule>
    <cfRule type="containsText" priority="19361" operator="containsText" dxfId="7" text="ID">
      <formula>NOT(ISERROR(SEARCH(("ID"),(F12))))</formula>
    </cfRule>
    <cfRule type="containsText" priority="19362" operator="containsText" dxfId="7" text="NEURO">
      <formula>NOT(ISERROR(SEARCH(("NEURO"),(F12))))</formula>
    </cfRule>
    <cfRule type="containsText" priority="19363" operator="containsText" dxfId="6" text="NEURO">
      <formula>NOT(ISERROR(SEARCH(("NEURO"),(F12))))</formula>
    </cfRule>
    <cfRule type="containsText" priority="19364" operator="containsText" dxfId="5" text="NEURO">
      <formula>NOT(ISERROR(SEARCH(("NEURO"),(F12))))</formula>
    </cfRule>
    <cfRule type="containsText" priority="19365" operator="containsText" dxfId="0" text="ICU N">
      <formula>NOT(ISERROR(SEARCH(("ICU N"),(F12))))</formula>
    </cfRule>
    <cfRule type="containsText" priority="19366" operator="containsText" dxfId="3" text="ICU">
      <formula>NOT(ISERROR(SEARCH(("ICU"),(F12))))</formula>
    </cfRule>
    <cfRule type="containsText" priority="19367" operator="containsText" dxfId="0" text="SWING">
      <formula>NOT(ISERROR(SEARCH(("SWING"),(F12))))</formula>
    </cfRule>
    <cfRule type="containsText" priority="19368" operator="containsText" dxfId="0" text="NF">
      <formula>NOT(ISERROR(SEARCH(("NF"),(F12))))</formula>
    </cfRule>
    <cfRule type="containsText" priority="19369" operator="containsText" dxfId="0" text="ICU N">
      <formula>NOT(ISERROR(SEARCH(("ICU N"),(F12))))</formula>
    </cfRule>
    <cfRule type="containsText" priority="19334" operator="containsText" dxfId="16" text="ED">
      <formula>NOT(ISERROR(SEARCH(("ED"),(F12))))</formula>
    </cfRule>
    <cfRule type="containsText" priority="19335" operator="containsText" dxfId="15" text="GERIATRIC">
      <formula>NOT(ISERROR(SEARCH(("GERIATRIC"),(F12))))</formula>
    </cfRule>
    <cfRule type="containsText" priority="19336" operator="containsText" dxfId="17" text="VACATION">
      <formula>NOT(ISERROR(SEARCH(("VACATION"),(F12))))</formula>
    </cfRule>
    <cfRule type="containsText" priority="19337" operator="containsText" dxfId="7" text="PATH">
      <formula>NOT(ISERROR(SEARCH(("PATH"),(F12))))</formula>
    </cfRule>
    <cfRule type="containsText" priority="19338" operator="containsText" dxfId="7" text="NEPHRO">
      <formula>NOT(ISERROR(SEARCH(("NEPHRO"),(F12))))</formula>
    </cfRule>
    <cfRule type="containsText" priority="19339" operator="containsText" dxfId="7" text="PULM">
      <formula>NOT(ISERROR(SEARCH(("PULM"),(F12))))</formula>
    </cfRule>
    <cfRule type="containsText" priority="19340" operator="containsText" dxfId="7" text="RADIOLOGY">
      <formula>NOT(ISERROR(SEARCH(("RADIOLOGY"),(F12))))</formula>
    </cfRule>
    <cfRule type="containsText" priority="19341" operator="containsText" dxfId="7" text="HEM/ONC">
      <formula>NOT(ISERROR(SEARCH(("HEM/ONC"),(F12))))</formula>
    </cfRule>
    <cfRule type="containsText" priority="19342" operator="containsText" dxfId="7" text="CARDIO">
      <formula>NOT(ISERROR(SEARCH(("CARDIO"),(F12))))</formula>
    </cfRule>
    <cfRule type="containsText" priority="19343" operator="containsText" dxfId="7" text="ID">
      <formula>NOT(ISERROR(SEARCH(("ID"),(F12))))</formula>
    </cfRule>
    <cfRule type="containsText" priority="19344" operator="containsText" dxfId="7" text="NEURO">
      <formula>NOT(ISERROR(SEARCH(("NEURO"),(F12))))</formula>
    </cfRule>
    <cfRule type="containsText" priority="19345" operator="containsText" dxfId="6" text="NEURO">
      <formula>NOT(ISERROR(SEARCH(("NEURO"),(F12))))</formula>
    </cfRule>
    <cfRule type="containsText" priority="19346" operator="containsText" dxfId="5" text="NEURO">
      <formula>NOT(ISERROR(SEARCH(("NEURO"),(F12))))</formula>
    </cfRule>
    <cfRule type="containsText" priority="19347" operator="containsText" dxfId="0" text="ICU N">
      <formula>NOT(ISERROR(SEARCH(("ICU N"),(F12))))</formula>
    </cfRule>
    <cfRule type="containsText" priority="19348" operator="containsText" dxfId="3" text="ICU">
      <formula>NOT(ISERROR(SEARCH(("ICU"),(F12))))</formula>
    </cfRule>
    <cfRule type="containsText" priority="19349" operator="containsText" dxfId="0" text="SWING">
      <formula>NOT(ISERROR(SEARCH(("SWING"),(F12))))</formula>
    </cfRule>
    <cfRule type="containsText" priority="19350" operator="containsText" dxfId="0" text="NF">
      <formula>NOT(ISERROR(SEARCH(("NF"),(F12))))</formula>
    </cfRule>
    <cfRule type="containsText" priority="19351" operator="containsText" dxfId="0" text="ICU N">
      <formula>NOT(ISERROR(SEARCH(("ICU N"),(F12))))</formula>
    </cfRule>
  </conditionalFormatting>
  <conditionalFormatting sqref="G39:G41 G45">
    <cfRule type="containsText" priority="19298" operator="containsText" dxfId="16" text="ED">
      <formula>NOT(ISERROR(SEARCH(("ED"),(G39))))</formula>
    </cfRule>
    <cfRule type="containsText" priority="19299" operator="containsText" dxfId="15" text="GERIATRIC">
      <formula>NOT(ISERROR(SEARCH(("GERIATRIC"),(G39))))</formula>
    </cfRule>
    <cfRule type="containsText" priority="19300" operator="containsText" dxfId="17" text="VACATION">
      <formula>NOT(ISERROR(SEARCH(("VACATION"),(G39))))</formula>
    </cfRule>
    <cfRule type="containsText" priority="19301" operator="containsText" dxfId="7" text="PATH">
      <formula>NOT(ISERROR(SEARCH(("PATH"),(G39))))</formula>
    </cfRule>
    <cfRule type="containsText" priority="19302" operator="containsText" dxfId="7" text="NEPHRO">
      <formula>NOT(ISERROR(SEARCH(("NEPHRO"),(G39))))</formula>
    </cfRule>
    <cfRule type="containsText" priority="19303" operator="containsText" dxfId="7" text="PULM">
      <formula>NOT(ISERROR(SEARCH(("PULM"),(G39))))</formula>
    </cfRule>
    <cfRule type="containsText" priority="19304" operator="containsText" dxfId="7" text="RADIOLOGY">
      <formula>NOT(ISERROR(SEARCH(("RADIOLOGY"),(G39))))</formula>
    </cfRule>
    <cfRule type="containsText" priority="19305" operator="containsText" dxfId="7" text="HEM/ONC">
      <formula>NOT(ISERROR(SEARCH(("HEM/ONC"),(G39))))</formula>
    </cfRule>
    <cfRule type="containsText" priority="19306" operator="containsText" dxfId="7" text="CARDIO">
      <formula>NOT(ISERROR(SEARCH(("CARDIO"),(G39))))</formula>
    </cfRule>
    <cfRule type="containsText" priority="19307" operator="containsText" dxfId="7" text="ID">
      <formula>NOT(ISERROR(SEARCH(("ID"),(G39))))</formula>
    </cfRule>
    <cfRule type="containsText" priority="19308" operator="containsText" dxfId="7" text="NEURO">
      <formula>NOT(ISERROR(SEARCH(("NEURO"),(G39))))</formula>
    </cfRule>
    <cfRule type="containsText" priority="19309" operator="containsText" dxfId="6" text="NEURO">
      <formula>NOT(ISERROR(SEARCH(("NEURO"),(G39))))</formula>
    </cfRule>
    <cfRule type="containsText" priority="19310" operator="containsText" dxfId="5" text="NEURO">
      <formula>NOT(ISERROR(SEARCH(("NEURO"),(G39))))</formula>
    </cfRule>
    <cfRule type="containsText" priority="19311" operator="containsText" dxfId="0" text="ICU N">
      <formula>NOT(ISERROR(SEARCH(("ICU N"),(G39))))</formula>
    </cfRule>
    <cfRule type="containsText" priority="19312" operator="containsText" dxfId="3" text="ICU">
      <formula>NOT(ISERROR(SEARCH(("ICU"),(G39))))</formula>
    </cfRule>
    <cfRule type="containsText" priority="19313" operator="containsText" dxfId="0" text="SWING">
      <formula>NOT(ISERROR(SEARCH(("SWING"),(G39))))</formula>
    </cfRule>
    <cfRule type="containsText" priority="19314" operator="containsText" dxfId="0" text="NF">
      <formula>NOT(ISERROR(SEARCH(("NF"),(G39))))</formula>
    </cfRule>
    <cfRule type="containsText" priority="19315" operator="containsText" dxfId="0" text="ICU N">
      <formula>NOT(ISERROR(SEARCH(("ICU N"),(G39))))</formula>
    </cfRule>
  </conditionalFormatting>
  <conditionalFormatting sqref="K38">
    <cfRule type="containsText" priority="19280" operator="containsText" dxfId="16" text="ED">
      <formula>NOT(ISERROR(SEARCH(("ED"),(K38))))</formula>
    </cfRule>
    <cfRule type="containsText" priority="19281" operator="containsText" dxfId="15" text="GERIATRIC">
      <formula>NOT(ISERROR(SEARCH(("GERIATRIC"),(K38))))</formula>
    </cfRule>
    <cfRule type="containsText" priority="19282" operator="containsText" dxfId="17" text="VACATION">
      <formula>NOT(ISERROR(SEARCH(("VACATION"),(K38))))</formula>
    </cfRule>
    <cfRule type="containsText" priority="19283" operator="containsText" dxfId="7" text="PATH">
      <formula>NOT(ISERROR(SEARCH(("PATH"),(K38))))</formula>
    </cfRule>
    <cfRule type="containsText" priority="19284" operator="containsText" dxfId="7" text="NEPHRO">
      <formula>NOT(ISERROR(SEARCH(("NEPHRO"),(K38))))</formula>
    </cfRule>
    <cfRule type="containsText" priority="19285" operator="containsText" dxfId="7" text="PULM">
      <formula>NOT(ISERROR(SEARCH(("PULM"),(K38))))</formula>
    </cfRule>
    <cfRule type="containsText" priority="19286" operator="containsText" dxfId="7" text="RADIOLOGY">
      <formula>NOT(ISERROR(SEARCH(("RADIOLOGY"),(K38))))</formula>
    </cfRule>
    <cfRule type="containsText" priority="19287" operator="containsText" dxfId="7" text="HEM/ONC">
      <formula>NOT(ISERROR(SEARCH(("HEM/ONC"),(K38))))</formula>
    </cfRule>
    <cfRule type="containsText" priority="19288" operator="containsText" dxfId="7" text="CARDIO">
      <formula>NOT(ISERROR(SEARCH(("CARDIO"),(K38))))</formula>
    </cfRule>
    <cfRule type="containsText" priority="19289" operator="containsText" dxfId="7" text="ID">
      <formula>NOT(ISERROR(SEARCH(("ID"),(K38))))</formula>
    </cfRule>
    <cfRule type="containsText" priority="19290" operator="containsText" dxfId="7" text="NEURO">
      <formula>NOT(ISERROR(SEARCH(("NEURO"),(K38))))</formula>
    </cfRule>
    <cfRule type="containsText" priority="19291" operator="containsText" dxfId="6" text="NEURO">
      <formula>NOT(ISERROR(SEARCH(("NEURO"),(K38))))</formula>
    </cfRule>
    <cfRule type="containsText" priority="19292" operator="containsText" dxfId="5" text="NEURO">
      <formula>NOT(ISERROR(SEARCH(("NEURO"),(K38))))</formula>
    </cfRule>
    <cfRule type="containsText" priority="19293" operator="containsText" dxfId="0" text="ICU N">
      <formula>NOT(ISERROR(SEARCH(("ICU N"),(K38))))</formula>
    </cfRule>
    <cfRule type="containsText" priority="19294" operator="containsText" dxfId="3" text="ICU">
      <formula>NOT(ISERROR(SEARCH(("ICU"),(K38))))</formula>
    </cfRule>
    <cfRule type="containsText" priority="19295" operator="containsText" dxfId="0" text="SWING">
      <formula>NOT(ISERROR(SEARCH(("SWING"),(K38))))</formula>
    </cfRule>
    <cfRule type="containsText" priority="19296" operator="containsText" dxfId="0" text="NF">
      <formula>NOT(ISERROR(SEARCH(("NF"),(K38))))</formula>
    </cfRule>
    <cfRule type="containsText" priority="19297" operator="containsText" dxfId="0" text="ICU N">
      <formula>NOT(ISERROR(SEARCH(("ICU N"),(K38))))</formula>
    </cfRule>
  </conditionalFormatting>
  <conditionalFormatting sqref="L44">
    <cfRule type="containsText" priority="19263" operator="containsText" dxfId="17" text="VACATION">
      <formula>NOT(ISERROR(SEARCH(("VACATION"),(L44))))</formula>
    </cfRule>
    <cfRule type="containsText" priority="19264" operator="containsText" dxfId="16" text="ED">
      <formula>NOT(ISERROR(SEARCH(("ED"),(L44))))</formula>
    </cfRule>
    <cfRule type="containsText" priority="19265" operator="containsText" dxfId="15" text="GERIATRIC">
      <formula>NOT(ISERROR(SEARCH(("GERIATRIC"),(L44))))</formula>
    </cfRule>
    <cfRule type="containsText" priority="19266" operator="containsText" dxfId="7" text="PATH">
      <formula>NOT(ISERROR(SEARCH(("PATH"),(L44))))</formula>
    </cfRule>
    <cfRule type="containsText" priority="19267" operator="containsText" dxfId="7" text="NEPHRO">
      <formula>NOT(ISERROR(SEARCH(("NEPHRO"),(L44))))</formula>
    </cfRule>
    <cfRule type="containsText" priority="19268" operator="containsText" dxfId="7" text="PULM">
      <formula>NOT(ISERROR(SEARCH(("PULM"),(L44))))</formula>
    </cfRule>
    <cfRule type="containsText" priority="19269" operator="containsText" dxfId="7" text="RADIOLOGY">
      <formula>NOT(ISERROR(SEARCH(("RADIOLOGY"),(L44))))</formula>
    </cfRule>
    <cfRule type="containsText" priority="19270" operator="containsText" dxfId="7" text="HEM/ONC">
      <formula>NOT(ISERROR(SEARCH(("HEM/ONC"),(L44))))</formula>
    </cfRule>
    <cfRule type="containsText" priority="19271" operator="containsText" dxfId="7" text="CARDIO">
      <formula>NOT(ISERROR(SEARCH(("CARDIO"),(L44))))</formula>
    </cfRule>
    <cfRule type="containsText" priority="19272" operator="containsText" dxfId="7" text="ID">
      <formula>NOT(ISERROR(SEARCH(("ID"),(L44))))</formula>
    </cfRule>
    <cfRule type="containsText" priority="19273" operator="containsText" dxfId="7" text="NEURO">
      <formula>NOT(ISERROR(SEARCH(("NEURO"),(L44))))</formula>
    </cfRule>
    <cfRule type="containsText" priority="19274" operator="containsText" dxfId="6" text="NEURO">
      <formula>NOT(ISERROR(SEARCH(("NEURO"),(L44))))</formula>
    </cfRule>
    <cfRule type="containsText" priority="19275" operator="containsText" dxfId="5" text="NEURO">
      <formula>NOT(ISERROR(SEARCH(("NEURO"),(L44))))</formula>
    </cfRule>
    <cfRule type="containsText" priority="19276" operator="containsText" dxfId="0" text="ICU N">
      <formula>NOT(ISERROR(SEARCH(("ICU N"),(L44))))</formula>
    </cfRule>
    <cfRule type="containsText" priority="19277" operator="containsText" dxfId="3" text="ICU">
      <formula>NOT(ISERROR(SEARCH(("ICU"),(L44))))</formula>
    </cfRule>
    <cfRule type="containsText" priority="19278" operator="containsText" dxfId="0" text="SWING">
      <formula>NOT(ISERROR(SEARCH(("SWING"),(L44))))</formula>
    </cfRule>
    <cfRule type="containsText" priority="19279" operator="containsText" dxfId="0" text="NF">
      <formula>NOT(ISERROR(SEARCH(("NF"),(L44))))</formula>
    </cfRule>
  </conditionalFormatting>
  <conditionalFormatting sqref="L46">
    <cfRule type="containsText" priority="19262" operator="containsText" dxfId="0" text="ICU N">
      <formula>NOT(ISERROR(SEARCH(("ICU N"),(L46))))</formula>
    </cfRule>
  </conditionalFormatting>
  <conditionalFormatting sqref="K32">
    <cfRule type="containsText" priority="19226" operator="containsText" dxfId="16" text="ED">
      <formula>NOT(ISERROR(SEARCH(("ED"),(K32))))</formula>
    </cfRule>
    <cfRule type="containsText" priority="19227" operator="containsText" dxfId="15" text="GERIATRIC">
      <formula>NOT(ISERROR(SEARCH(("GERIATRIC"),(K32))))</formula>
    </cfRule>
    <cfRule type="containsText" priority="19228" operator="containsText" dxfId="17" text="VACATION">
      <formula>NOT(ISERROR(SEARCH(("VACATION"),(K32))))</formula>
    </cfRule>
    <cfRule type="containsText" priority="19229" operator="containsText" dxfId="7" text="PATH">
      <formula>NOT(ISERROR(SEARCH(("PATH"),(K32))))</formula>
    </cfRule>
    <cfRule type="containsText" priority="19230" operator="containsText" dxfId="7" text="NEPHRO">
      <formula>NOT(ISERROR(SEARCH(("NEPHRO"),(K32))))</formula>
    </cfRule>
    <cfRule type="containsText" priority="19231" operator="containsText" dxfId="7" text="PULM">
      <formula>NOT(ISERROR(SEARCH(("PULM"),(K32))))</formula>
    </cfRule>
    <cfRule type="containsText" priority="19232" operator="containsText" dxfId="7" text="RADIOLOGY">
      <formula>NOT(ISERROR(SEARCH(("RADIOLOGY"),(K32))))</formula>
    </cfRule>
    <cfRule type="containsText" priority="19233" operator="containsText" dxfId="7" text="HEM/ONC">
      <formula>NOT(ISERROR(SEARCH(("HEM/ONC"),(K32))))</formula>
    </cfRule>
    <cfRule type="containsText" priority="19234" operator="containsText" dxfId="7" text="CARDIO">
      <formula>NOT(ISERROR(SEARCH(("CARDIO"),(K32))))</formula>
    </cfRule>
    <cfRule type="containsText" priority="19235" operator="containsText" dxfId="7" text="ID">
      <formula>NOT(ISERROR(SEARCH(("ID"),(K32))))</formula>
    </cfRule>
    <cfRule type="containsText" priority="19236" operator="containsText" dxfId="7" text="NEURO">
      <formula>NOT(ISERROR(SEARCH(("NEURO"),(K32))))</formula>
    </cfRule>
    <cfRule type="containsText" priority="19237" operator="containsText" dxfId="6" text="NEURO">
      <formula>NOT(ISERROR(SEARCH(("NEURO"),(K32))))</formula>
    </cfRule>
    <cfRule type="containsText" priority="19238" operator="containsText" dxfId="5" text="NEURO">
      <formula>NOT(ISERROR(SEARCH(("NEURO"),(K32))))</formula>
    </cfRule>
    <cfRule type="containsText" priority="19239" operator="containsText" dxfId="0" text="ICU N">
      <formula>NOT(ISERROR(SEARCH(("ICU N"),(K32))))</formula>
    </cfRule>
    <cfRule type="containsText" priority="19240" operator="containsText" dxfId="3" text="ICU">
      <formula>NOT(ISERROR(SEARCH(("ICU"),(K32))))</formula>
    </cfRule>
    <cfRule type="containsText" priority="19241" operator="containsText" dxfId="0" text="SWING">
      <formula>NOT(ISERROR(SEARCH(("SWING"),(K32))))</formula>
    </cfRule>
    <cfRule type="containsText" priority="19242" operator="containsText" dxfId="0" text="NF">
      <formula>NOT(ISERROR(SEARCH(("NF"),(K32))))</formula>
    </cfRule>
    <cfRule type="containsText" priority="19243" operator="containsText" dxfId="0" text="ICU N">
      <formula>NOT(ISERROR(SEARCH(("ICU N"),(K32))))</formula>
    </cfRule>
  </conditionalFormatting>
  <conditionalFormatting sqref="L8">
    <cfRule type="containsText" priority="19208" operator="containsText" dxfId="16" text="ED">
      <formula>NOT(ISERROR(SEARCH(("ED"),(L8))))</formula>
    </cfRule>
    <cfRule type="containsText" priority="19209" operator="containsText" dxfId="15" text="GERIATRIC">
      <formula>NOT(ISERROR(SEARCH(("GERIATRIC"),(L8))))</formula>
    </cfRule>
    <cfRule type="containsText" priority="19210" operator="containsText" dxfId="17" text="VACATION">
      <formula>NOT(ISERROR(SEARCH(("VACATION"),(L8))))</formula>
    </cfRule>
    <cfRule type="containsText" priority="19211" operator="containsText" dxfId="7" text="PATH">
      <formula>NOT(ISERROR(SEARCH(("PATH"),(L8))))</formula>
    </cfRule>
    <cfRule type="containsText" priority="19212" operator="containsText" dxfId="7" text="NEPHRO">
      <formula>NOT(ISERROR(SEARCH(("NEPHRO"),(L8))))</formula>
    </cfRule>
    <cfRule type="containsText" priority="19213" operator="containsText" dxfId="7" text="PULM">
      <formula>NOT(ISERROR(SEARCH(("PULM"),(L8))))</formula>
    </cfRule>
    <cfRule type="containsText" priority="19214" operator="containsText" dxfId="7" text="RADIOLOGY">
      <formula>NOT(ISERROR(SEARCH(("RADIOLOGY"),(L8))))</formula>
    </cfRule>
    <cfRule type="containsText" priority="19215" operator="containsText" dxfId="7" text="HEM/ONC">
      <formula>NOT(ISERROR(SEARCH(("HEM/ONC"),(L8))))</formula>
    </cfRule>
    <cfRule type="containsText" priority="19216" operator="containsText" dxfId="7" text="CARDIO">
      <formula>NOT(ISERROR(SEARCH(("CARDIO"),(L8))))</formula>
    </cfRule>
    <cfRule type="containsText" priority="19217" operator="containsText" dxfId="7" text="ID">
      <formula>NOT(ISERROR(SEARCH(("ID"),(L8))))</formula>
    </cfRule>
    <cfRule type="containsText" priority="19218" operator="containsText" dxfId="7" text="NEURO">
      <formula>NOT(ISERROR(SEARCH(("NEURO"),(L8))))</formula>
    </cfRule>
    <cfRule type="containsText" priority="19219" operator="containsText" dxfId="6" text="NEURO">
      <formula>NOT(ISERROR(SEARCH(("NEURO"),(L8))))</formula>
    </cfRule>
    <cfRule type="containsText" priority="19220" operator="containsText" dxfId="5" text="NEURO">
      <formula>NOT(ISERROR(SEARCH(("NEURO"),(L8))))</formula>
    </cfRule>
    <cfRule type="containsText" priority="19221" operator="containsText" dxfId="0" text="ICU N">
      <formula>NOT(ISERROR(SEARCH(("ICU N"),(L8))))</formula>
    </cfRule>
    <cfRule type="containsText" priority="19222" operator="containsText" dxfId="3" text="ICU">
      <formula>NOT(ISERROR(SEARCH(("ICU"),(L8))))</formula>
    </cfRule>
    <cfRule type="containsText" priority="19223" operator="containsText" dxfId="0" text="SWING">
      <formula>NOT(ISERROR(SEARCH(("SWING"),(L8))))</formula>
    </cfRule>
    <cfRule type="containsText" priority="19224" operator="containsText" dxfId="0" text="NF">
      <formula>NOT(ISERROR(SEARCH(("NF"),(L8))))</formula>
    </cfRule>
    <cfRule type="containsText" priority="19225" operator="containsText" dxfId="0" text="ICU N">
      <formula>NOT(ISERROR(SEARCH(("ICU N"),(L8))))</formula>
    </cfRule>
  </conditionalFormatting>
  <conditionalFormatting sqref="M7">
    <cfRule type="containsText" priority="19116" operator="containsText" dxfId="17" text="VACATION">
      <formula>NOT(ISERROR(SEARCH(("VACATION"),(M7))))</formula>
    </cfRule>
    <cfRule type="containsText" priority="19117" operator="containsText" dxfId="0" text="ICU N">
      <formula>NOT(ISERROR(SEARCH(("ICU N"),(M7))))</formula>
    </cfRule>
    <cfRule type="containsText" priority="19110" operator="containsText" dxfId="17" text="VACATION">
      <formula>NOT(ISERROR(SEARCH(("VACATION"),(M7))))</formula>
    </cfRule>
    <cfRule type="containsText" priority="19111" operator="containsText" dxfId="0" text="ICU N">
      <formula>NOT(ISERROR(SEARCH(("ICU N"),(M7))))</formula>
    </cfRule>
    <cfRule type="containsText" priority="19108" operator="containsText" dxfId="17" text="VACATION">
      <formula>NOT(ISERROR(SEARCH(("VACATION"),(M7))))</formula>
    </cfRule>
    <cfRule type="containsText" priority="19109" operator="containsText" dxfId="0" text="ICU N">
      <formula>NOT(ISERROR(SEARCH(("ICU N"),(M7))))</formula>
    </cfRule>
  </conditionalFormatting>
  <conditionalFormatting sqref="M6">
    <cfRule type="containsText" priority="19114" operator="containsText" dxfId="17" text="VACATION">
      <formula>NOT(ISERROR(SEARCH(("VACATION"),(M6))))</formula>
    </cfRule>
    <cfRule type="containsText" priority="19115" operator="containsText" dxfId="0" text="ICU N">
      <formula>NOT(ISERROR(SEARCH(("ICU N"),(M6))))</formula>
    </cfRule>
    <cfRule type="containsText" priority="19106" operator="containsText" dxfId="17" text="VACATION">
      <formula>NOT(ISERROR(SEARCH(("VACATION"),(M6))))</formula>
    </cfRule>
    <cfRule type="containsText" priority="19107" operator="containsText" dxfId="0" text="ICU N">
      <formula>NOT(ISERROR(SEARCH(("ICU N"),(M6))))</formula>
    </cfRule>
  </conditionalFormatting>
  <conditionalFormatting sqref="M8">
    <cfRule type="containsText" priority="19112" operator="containsText" dxfId="17" text="VACATION">
      <formula>NOT(ISERROR(SEARCH(("VACATION"),(M8))))</formula>
    </cfRule>
    <cfRule type="containsText" priority="19113" operator="containsText" dxfId="0" text="ICU N">
      <formula>NOT(ISERROR(SEARCH(("ICU N"),(M8))))</formula>
    </cfRule>
    <cfRule type="containsText" priority="2750" operator="containsText" dxfId="17" text="VACATION">
      <formula>NOT(ISERROR(SEARCH(("VACATION"),(M8))))</formula>
    </cfRule>
    <cfRule type="containsText" priority="2751" operator="containsText" dxfId="0" text="ICU N">
      <formula>NOT(ISERROR(SEARCH(("ICU N"),(M8))))</formula>
    </cfRule>
  </conditionalFormatting>
  <conditionalFormatting sqref="F11">
    <cfRule type="containsText" priority="19088" operator="containsText" dxfId="16" text="ED">
      <formula>NOT(ISERROR(SEARCH(("ED"),(F11))))</formula>
    </cfRule>
    <cfRule type="containsText" priority="19089" operator="containsText" dxfId="15" text="GERIATRIC">
      <formula>NOT(ISERROR(SEARCH(("GERIATRIC"),(F11))))</formula>
    </cfRule>
    <cfRule type="containsText" priority="19090" operator="containsText" dxfId="17" text="VACATION">
      <formula>NOT(ISERROR(SEARCH(("VACATION"),(F11))))</formula>
    </cfRule>
    <cfRule type="containsText" priority="19091" operator="containsText" dxfId="7" text="PATH">
      <formula>NOT(ISERROR(SEARCH(("PATH"),(F11))))</formula>
    </cfRule>
    <cfRule type="containsText" priority="19092" operator="containsText" dxfId="7" text="NEPHRO">
      <formula>NOT(ISERROR(SEARCH(("NEPHRO"),(F11))))</formula>
    </cfRule>
    <cfRule type="containsText" priority="19093" operator="containsText" dxfId="7" text="PULM">
      <formula>NOT(ISERROR(SEARCH(("PULM"),(F11))))</formula>
    </cfRule>
    <cfRule type="containsText" priority="19094" operator="containsText" dxfId="7" text="RADIOLOGY">
      <formula>NOT(ISERROR(SEARCH(("RADIOLOGY"),(F11))))</formula>
    </cfRule>
    <cfRule type="containsText" priority="19095" operator="containsText" dxfId="7" text="HEM/ONC">
      <formula>NOT(ISERROR(SEARCH(("HEM/ONC"),(F11))))</formula>
    </cfRule>
    <cfRule type="containsText" priority="19096" operator="containsText" dxfId="7" text="CARDIO">
      <formula>NOT(ISERROR(SEARCH(("CARDIO"),(F11))))</formula>
    </cfRule>
    <cfRule type="containsText" priority="19097" operator="containsText" dxfId="7" text="ID">
      <formula>NOT(ISERROR(SEARCH(("ID"),(F11))))</formula>
    </cfRule>
    <cfRule type="containsText" priority="19098" operator="containsText" dxfId="7" text="NEURO">
      <formula>NOT(ISERROR(SEARCH(("NEURO"),(F11))))</formula>
    </cfRule>
    <cfRule type="containsText" priority="19099" operator="containsText" dxfId="6" text="NEURO">
      <formula>NOT(ISERROR(SEARCH(("NEURO"),(F11))))</formula>
    </cfRule>
    <cfRule type="containsText" priority="19100" operator="containsText" dxfId="5" text="NEURO">
      <formula>NOT(ISERROR(SEARCH(("NEURO"),(F11))))</formula>
    </cfRule>
    <cfRule type="containsText" priority="19101" operator="containsText" dxfId="0" text="ICU N">
      <formula>NOT(ISERROR(SEARCH(("ICU N"),(F11))))</formula>
    </cfRule>
    <cfRule type="containsText" priority="19102" operator="containsText" dxfId="3" text="ICU">
      <formula>NOT(ISERROR(SEARCH(("ICU"),(F11))))</formula>
    </cfRule>
    <cfRule type="containsText" priority="19103" operator="containsText" dxfId="0" text="SWING">
      <formula>NOT(ISERROR(SEARCH(("SWING"),(F11))))</formula>
    </cfRule>
    <cfRule type="containsText" priority="19104" operator="containsText" dxfId="0" text="NF">
      <formula>NOT(ISERROR(SEARCH(("NF"),(F11))))</formula>
    </cfRule>
    <cfRule type="containsText" priority="19105" operator="containsText" dxfId="0" text="ICU N">
      <formula>NOT(ISERROR(SEARCH(("ICU N"),(F11))))</formula>
    </cfRule>
  </conditionalFormatting>
  <conditionalFormatting sqref="Q7:R7">
    <cfRule type="containsText" priority="19086" operator="containsText" dxfId="17" text="VACATION">
      <formula>NOT(ISERROR(SEARCH(("VACATION"),(Q7))))</formula>
    </cfRule>
    <cfRule type="containsText" priority="19087" operator="containsText" dxfId="0" text="ICU N">
      <formula>NOT(ISERROR(SEARCH(("ICU N"),(Q7))))</formula>
    </cfRule>
  </conditionalFormatting>
  <conditionalFormatting sqref="O10:P10">
    <cfRule type="containsText" priority="19084" operator="containsText" dxfId="17" text="VACATION">
      <formula>NOT(ISERROR(SEARCH(("VACATION"),(O10))))</formula>
    </cfRule>
    <cfRule type="containsText" priority="19085" operator="containsText" dxfId="0" text="ICU N">
      <formula>NOT(ISERROR(SEARCH(("ICU N"),(O10))))</formula>
    </cfRule>
    <cfRule type="containsText" priority="19078" operator="containsText" dxfId="17" text="VACATION">
      <formula>NOT(ISERROR(SEARCH(("VACATION"),(O10))))</formula>
    </cfRule>
    <cfRule type="containsText" priority="19079" operator="containsText" dxfId="0" text="ICU N">
      <formula>NOT(ISERROR(SEARCH(("ICU N"),(O10))))</formula>
    </cfRule>
    <cfRule type="containsText" priority="19076" operator="containsText" dxfId="17" text="VACATION">
      <formula>NOT(ISERROR(SEARCH(("VACATION"),(O10))))</formula>
    </cfRule>
    <cfRule type="containsText" priority="19077" operator="containsText" dxfId="0" text="ICU N">
      <formula>NOT(ISERROR(SEARCH(("ICU N"),(O10))))</formula>
    </cfRule>
  </conditionalFormatting>
  <conditionalFormatting sqref="Q7">
    <cfRule type="containsText" priority="19082" operator="containsText" dxfId="17" text="VACATION">
      <formula>NOT(ISERROR(SEARCH(("VACATION"),(Q7))))</formula>
    </cfRule>
    <cfRule type="containsText" priority="19083" operator="containsText" dxfId="0" text="ICU N">
      <formula>NOT(ISERROR(SEARCH(("ICU N"),(Q7))))</formula>
    </cfRule>
    <cfRule type="containsText" priority="19074" operator="containsText" dxfId="17" text="VACATION">
      <formula>NOT(ISERROR(SEARCH(("VACATION"),(Q7))))</formula>
    </cfRule>
    <cfRule type="containsText" priority="19075" operator="containsText" dxfId="0" text="ICU N">
      <formula>NOT(ISERROR(SEARCH(("ICU N"),(Q7))))</formula>
    </cfRule>
  </conditionalFormatting>
  <conditionalFormatting sqref="R7">
    <cfRule type="containsText" priority="19080" operator="containsText" dxfId="17" text="VACATION">
      <formula>NOT(ISERROR(SEARCH(("VACATION"),(R7))))</formula>
    </cfRule>
    <cfRule type="containsText" priority="19081" operator="containsText" dxfId="0" text="ICU N">
      <formula>NOT(ISERROR(SEARCH(("ICU N"),(R7))))</formula>
    </cfRule>
  </conditionalFormatting>
  <conditionalFormatting sqref="Q28">
    <cfRule type="containsText" priority="19072" operator="containsText" dxfId="16" text="ED">
      <formula>NOT(ISERROR(SEARCH(("ED"),(Q28))))</formula>
    </cfRule>
    <cfRule type="containsText" priority="19073" operator="containsText" dxfId="15" text="GERIATRIC">
      <formula>NOT(ISERROR(SEARCH(("GERIATRIC"),(Q28))))</formula>
    </cfRule>
    <cfRule type="containsText" priority="1652" operator="containsText" dxfId="16" text="ED">
      <formula>NOT(ISERROR(SEARCH(("ED"),(Q28))))</formula>
    </cfRule>
    <cfRule type="containsText" priority="1653" operator="containsText" dxfId="15" text="GERIATRIC">
      <formula>NOT(ISERROR(SEARCH(("GERIATRIC"),(Q28))))</formula>
    </cfRule>
  </conditionalFormatting>
  <conditionalFormatting sqref="AI16">
    <cfRule type="containsText" priority="19043" operator="containsText" dxfId="17" text="VACATION">
      <formula>NOT(ISERROR(SEARCH(("VACATION"),(AI16))))</formula>
    </cfRule>
    <cfRule type="containsText" priority="19044" operator="containsText" dxfId="16" text="ED">
      <formula>NOT(ISERROR(SEARCH(("ED"),(AI16))))</formula>
    </cfRule>
    <cfRule type="containsText" priority="19045" operator="containsText" dxfId="15" text="GERIATRIC">
      <formula>NOT(ISERROR(SEARCH(("GERIATRIC"),(AI16))))</formula>
    </cfRule>
    <cfRule type="containsText" priority="19046" operator="containsText" dxfId="7" text="PATH">
      <formula>NOT(ISERROR(SEARCH(("PATH"),(AI16))))</formula>
    </cfRule>
    <cfRule type="containsText" priority="19047" operator="containsText" dxfId="7" text="NEPHRO">
      <formula>NOT(ISERROR(SEARCH(("NEPHRO"),(AI16))))</formula>
    </cfRule>
    <cfRule type="containsText" priority="19048" operator="containsText" dxfId="7" text="PULM">
      <formula>NOT(ISERROR(SEARCH(("PULM"),(AI16))))</formula>
    </cfRule>
    <cfRule type="containsText" priority="19049" operator="containsText" dxfId="7" text="RADIOLOGY">
      <formula>NOT(ISERROR(SEARCH(("RADIOLOGY"),(AI16))))</formula>
    </cfRule>
    <cfRule type="containsText" priority="19050" operator="containsText" dxfId="7" text="HEM/ONC">
      <formula>NOT(ISERROR(SEARCH(("HEM/ONC"),(AI16))))</formula>
    </cfRule>
    <cfRule type="containsText" priority="19051" operator="containsText" dxfId="7" text="CARDIO">
      <formula>NOT(ISERROR(SEARCH(("CARDIO"),(AI16))))</formula>
    </cfRule>
    <cfRule type="containsText" priority="19052" operator="containsText" dxfId="7" text="ID">
      <formula>NOT(ISERROR(SEARCH(("ID"),(AI16))))</formula>
    </cfRule>
    <cfRule type="containsText" priority="19053" operator="containsText" dxfId="7" text="NEURO">
      <formula>NOT(ISERROR(SEARCH(("NEURO"),(AI16))))</formula>
    </cfRule>
    <cfRule type="containsText" priority="19054" operator="containsText" dxfId="6" text="NEURO">
      <formula>NOT(ISERROR(SEARCH(("NEURO"),(AI16))))</formula>
    </cfRule>
    <cfRule type="containsText" priority="19055" operator="containsText" dxfId="5" text="NEURO">
      <formula>NOT(ISERROR(SEARCH(("NEURO"),(AI16))))</formula>
    </cfRule>
    <cfRule type="containsText" priority="19056" operator="containsText" dxfId="0" text="ICU N">
      <formula>NOT(ISERROR(SEARCH(("ICU N"),(AI16))))</formula>
    </cfRule>
    <cfRule type="containsText" priority="19057" operator="containsText" dxfId="3" text="ICU">
      <formula>NOT(ISERROR(SEARCH(("ICU"),(AI16))))</formula>
    </cfRule>
    <cfRule type="containsText" priority="19058" operator="containsText" dxfId="0" text="SWING">
      <formula>NOT(ISERROR(SEARCH(("SWING"),(AI16))))</formula>
    </cfRule>
    <cfRule type="containsText" priority="19059" operator="containsText" dxfId="0" text="NF">
      <formula>NOT(ISERROR(SEARCH(("NF"),(AI16))))</formula>
    </cfRule>
  </conditionalFormatting>
  <conditionalFormatting sqref="AJ16">
    <cfRule type="containsText" priority="19026" operator="containsText" dxfId="17" text="VACATION">
      <formula>NOT(ISERROR(SEARCH(("VACATION"),(AJ16))))</formula>
    </cfRule>
    <cfRule type="containsText" priority="19027" operator="containsText" dxfId="16" text="ED">
      <formula>NOT(ISERROR(SEARCH(("ED"),(AJ16))))</formula>
    </cfRule>
    <cfRule type="containsText" priority="19028" operator="containsText" dxfId="15" text="GERIATRIC">
      <formula>NOT(ISERROR(SEARCH(("GERIATRIC"),(AJ16))))</formula>
    </cfRule>
    <cfRule type="containsText" priority="19029" operator="containsText" dxfId="7" text="PATH">
      <formula>NOT(ISERROR(SEARCH(("PATH"),(AJ16))))</formula>
    </cfRule>
    <cfRule type="containsText" priority="19030" operator="containsText" dxfId="7" text="NEPHRO">
      <formula>NOT(ISERROR(SEARCH(("NEPHRO"),(AJ16))))</formula>
    </cfRule>
    <cfRule type="containsText" priority="19031" operator="containsText" dxfId="7" text="PULM">
      <formula>NOT(ISERROR(SEARCH(("PULM"),(AJ16))))</formula>
    </cfRule>
    <cfRule type="containsText" priority="19032" operator="containsText" dxfId="7" text="RADIOLOGY">
      <formula>NOT(ISERROR(SEARCH(("RADIOLOGY"),(AJ16))))</formula>
    </cfRule>
    <cfRule type="containsText" priority="19033" operator="containsText" dxfId="7" text="HEM/ONC">
      <formula>NOT(ISERROR(SEARCH(("HEM/ONC"),(AJ16))))</formula>
    </cfRule>
    <cfRule type="containsText" priority="19034" operator="containsText" dxfId="7" text="CARDIO">
      <formula>NOT(ISERROR(SEARCH(("CARDIO"),(AJ16))))</formula>
    </cfRule>
    <cfRule type="containsText" priority="19035" operator="containsText" dxfId="7" text="ID">
      <formula>NOT(ISERROR(SEARCH(("ID"),(AJ16))))</formula>
    </cfRule>
    <cfRule type="containsText" priority="19036" operator="containsText" dxfId="7" text="NEURO">
      <formula>NOT(ISERROR(SEARCH(("NEURO"),(AJ16))))</formula>
    </cfRule>
    <cfRule type="containsText" priority="19037" operator="containsText" dxfId="6" text="NEURO">
      <formula>NOT(ISERROR(SEARCH(("NEURO"),(AJ16))))</formula>
    </cfRule>
    <cfRule type="containsText" priority="19038" operator="containsText" dxfId="5" text="NEURO">
      <formula>NOT(ISERROR(SEARCH(("NEURO"),(AJ16))))</formula>
    </cfRule>
    <cfRule type="containsText" priority="19039" operator="containsText" dxfId="0" text="ICU N">
      <formula>NOT(ISERROR(SEARCH(("ICU N"),(AJ16))))</formula>
    </cfRule>
    <cfRule type="containsText" priority="19040" operator="containsText" dxfId="3" text="ICU">
      <formula>NOT(ISERROR(SEARCH(("ICU"),(AJ16))))</formula>
    </cfRule>
    <cfRule type="containsText" priority="19041" operator="containsText" dxfId="0" text="SWING">
      <formula>NOT(ISERROR(SEARCH(("SWING"),(AJ16))))</formula>
    </cfRule>
    <cfRule type="containsText" priority="19042" operator="containsText" dxfId="0" text="NF">
      <formula>NOT(ISERROR(SEARCH(("NF"),(AJ16))))</formula>
    </cfRule>
  </conditionalFormatting>
  <conditionalFormatting sqref="AH15">
    <cfRule type="containsText" priority="18992" operator="containsText" dxfId="17" text="VACATION">
      <formula>NOT(ISERROR(SEARCH(("VACATION"),(AH15))))</formula>
    </cfRule>
    <cfRule type="containsText" priority="18993" operator="containsText" dxfId="16" text="ED">
      <formula>NOT(ISERROR(SEARCH(("ED"),(AH15))))</formula>
    </cfRule>
    <cfRule type="containsText" priority="18994" operator="containsText" dxfId="15" text="GERIATRIC">
      <formula>NOT(ISERROR(SEARCH(("GERIATRIC"),(AH15))))</formula>
    </cfRule>
    <cfRule type="containsText" priority="18995" operator="containsText" dxfId="7" text="PATH">
      <formula>NOT(ISERROR(SEARCH(("PATH"),(AH15))))</formula>
    </cfRule>
    <cfRule type="containsText" priority="18996" operator="containsText" dxfId="7" text="NEPHRO">
      <formula>NOT(ISERROR(SEARCH(("NEPHRO"),(AH15))))</formula>
    </cfRule>
    <cfRule type="containsText" priority="18997" operator="containsText" dxfId="7" text="PULM">
      <formula>NOT(ISERROR(SEARCH(("PULM"),(AH15))))</formula>
    </cfRule>
    <cfRule type="containsText" priority="18998" operator="containsText" dxfId="7" text="RADIOLOGY">
      <formula>NOT(ISERROR(SEARCH(("RADIOLOGY"),(AH15))))</formula>
    </cfRule>
    <cfRule type="containsText" priority="18999" operator="containsText" dxfId="7" text="HEM/ONC">
      <formula>NOT(ISERROR(SEARCH(("HEM/ONC"),(AH15))))</formula>
    </cfRule>
    <cfRule type="containsText" priority="19000" operator="containsText" dxfId="7" text="CARDIO">
      <formula>NOT(ISERROR(SEARCH(("CARDIO"),(AH15))))</formula>
    </cfRule>
    <cfRule type="containsText" priority="19001" operator="containsText" dxfId="7" text="ID">
      <formula>NOT(ISERROR(SEARCH(("ID"),(AH15))))</formula>
    </cfRule>
    <cfRule type="containsText" priority="19002" operator="containsText" dxfId="7" text="NEURO">
      <formula>NOT(ISERROR(SEARCH(("NEURO"),(AH15))))</formula>
    </cfRule>
    <cfRule type="containsText" priority="19003" operator="containsText" dxfId="6" text="NEURO">
      <formula>NOT(ISERROR(SEARCH(("NEURO"),(AH15))))</formula>
    </cfRule>
    <cfRule type="containsText" priority="19004" operator="containsText" dxfId="5" text="NEURO">
      <formula>NOT(ISERROR(SEARCH(("NEURO"),(AH15))))</formula>
    </cfRule>
    <cfRule type="containsText" priority="19005" operator="containsText" dxfId="0" text="ICU N">
      <formula>NOT(ISERROR(SEARCH(("ICU N"),(AH15))))</formula>
    </cfRule>
    <cfRule type="containsText" priority="19006" operator="containsText" dxfId="3" text="ICU">
      <formula>NOT(ISERROR(SEARCH(("ICU"),(AH15))))</formula>
    </cfRule>
    <cfRule type="containsText" priority="19007" operator="containsText" dxfId="0" text="SWING">
      <formula>NOT(ISERROR(SEARCH(("SWING"),(AH15))))</formula>
    </cfRule>
    <cfRule type="containsText" priority="19008" operator="containsText" dxfId="0" text="NF">
      <formula>NOT(ISERROR(SEARCH(("NF"),(AH15))))</formula>
    </cfRule>
  </conditionalFormatting>
  <conditionalFormatting sqref="AH14">
    <cfRule type="containsText" priority="18941" operator="containsText" dxfId="17" text="VACATION">
      <formula>NOT(ISERROR(SEARCH(("VACATION"),(AH14))))</formula>
    </cfRule>
    <cfRule type="containsText" priority="18942" operator="containsText" dxfId="16" text="ED">
      <formula>NOT(ISERROR(SEARCH(("ED"),(AH14))))</formula>
    </cfRule>
    <cfRule type="containsText" priority="18943" operator="containsText" dxfId="15" text="GERIATRIC">
      <formula>NOT(ISERROR(SEARCH(("GERIATRIC"),(AH14))))</formula>
    </cfRule>
    <cfRule type="containsText" priority="18944" operator="containsText" dxfId="7" text="PATH">
      <formula>NOT(ISERROR(SEARCH(("PATH"),(AH14))))</formula>
    </cfRule>
    <cfRule type="containsText" priority="18945" operator="containsText" dxfId="7" text="NEPHRO">
      <formula>NOT(ISERROR(SEARCH(("NEPHRO"),(AH14))))</formula>
    </cfRule>
    <cfRule type="containsText" priority="18946" operator="containsText" dxfId="7" text="PULM">
      <formula>NOT(ISERROR(SEARCH(("PULM"),(AH14))))</formula>
    </cfRule>
    <cfRule type="containsText" priority="18947" operator="containsText" dxfId="7" text="RADIOLOGY">
      <formula>NOT(ISERROR(SEARCH(("RADIOLOGY"),(AH14))))</formula>
    </cfRule>
    <cfRule type="containsText" priority="18948" operator="containsText" dxfId="7" text="HEM/ONC">
      <formula>NOT(ISERROR(SEARCH(("HEM/ONC"),(AH14))))</formula>
    </cfRule>
    <cfRule type="containsText" priority="18949" operator="containsText" dxfId="7" text="CARDIO">
      <formula>NOT(ISERROR(SEARCH(("CARDIO"),(AH14))))</formula>
    </cfRule>
    <cfRule type="containsText" priority="18950" operator="containsText" dxfId="7" text="ID">
      <formula>NOT(ISERROR(SEARCH(("ID"),(AH14))))</formula>
    </cfRule>
    <cfRule type="containsText" priority="18951" operator="containsText" dxfId="7" text="NEURO">
      <formula>NOT(ISERROR(SEARCH(("NEURO"),(AH14))))</formula>
    </cfRule>
    <cfRule type="containsText" priority="18952" operator="containsText" dxfId="6" text="NEURO">
      <formula>NOT(ISERROR(SEARCH(("NEURO"),(AH14))))</formula>
    </cfRule>
    <cfRule type="containsText" priority="18953" operator="containsText" dxfId="5" text="NEURO">
      <formula>NOT(ISERROR(SEARCH(("NEURO"),(AH14))))</formula>
    </cfRule>
    <cfRule type="containsText" priority="18954" operator="containsText" dxfId="0" text="ICU N">
      <formula>NOT(ISERROR(SEARCH(("ICU N"),(AH14))))</formula>
    </cfRule>
    <cfRule type="containsText" priority="18955" operator="containsText" dxfId="3" text="ICU">
      <formula>NOT(ISERROR(SEARCH(("ICU"),(AH14))))</formula>
    </cfRule>
    <cfRule type="containsText" priority="18956" operator="containsText" dxfId="0" text="SWING">
      <formula>NOT(ISERROR(SEARCH(("SWING"),(AH14))))</formula>
    </cfRule>
    <cfRule type="containsText" priority="18957" operator="containsText" dxfId="0" text="NF">
      <formula>NOT(ISERROR(SEARCH(("NF"),(AH14))))</formula>
    </cfRule>
  </conditionalFormatting>
  <conditionalFormatting sqref="AA4:AA5 AA7:AA9 AA12:AA19 AA22:AA23 AA25:AA28">
    <cfRule type="containsText" priority="18939" operator="containsText" dxfId="17" text="VACATION">
      <formula>NOT(ISERROR(SEARCH(("VACATION"),(AA4))))</formula>
    </cfRule>
    <cfRule type="containsText" priority="18940" operator="containsText" dxfId="0" text="ICU N">
      <formula>NOT(ISERROR(SEARCH(("ICU N"),(AA4))))</formula>
    </cfRule>
  </conditionalFormatting>
  <conditionalFormatting sqref="Z4:Z5 Z7:Z10 Z12:Z15 Z17">
    <cfRule type="containsText" priority="18937" operator="containsText" dxfId="17" text="VACATION">
      <formula>NOT(ISERROR(SEARCH(("VACATION"),(Z4))))</formula>
    </cfRule>
    <cfRule type="containsText" priority="18938" operator="containsText" dxfId="0" text="ICU N">
      <formula>NOT(ISERROR(SEARCH(("ICU N"),(Z4))))</formula>
    </cfRule>
  </conditionalFormatting>
  <conditionalFormatting sqref="D15">
    <cfRule type="containsText" priority="18935" operator="containsText" dxfId="17" text="VACATION">
      <formula>NOT(ISERROR(SEARCH(("VACATION"),(D15))))</formula>
    </cfRule>
    <cfRule type="containsText" priority="18936" operator="containsText" dxfId="0" text="ICU N">
      <formula>NOT(ISERROR(SEARCH(("ICU N"),(D15))))</formula>
    </cfRule>
    <cfRule type="containsText" priority="18933" operator="containsText" dxfId="17" text="VACATION">
      <formula>NOT(ISERROR(SEARCH(("VACATION"),(D15))))</formula>
    </cfRule>
    <cfRule type="containsText" priority="18934" operator="containsText" dxfId="0" text="ICU N">
      <formula>NOT(ISERROR(SEARCH(("ICU N"),(D15))))</formula>
    </cfRule>
    <cfRule type="containsText" priority="18932" operator="containsText" dxfId="17" text="VACATION">
      <formula>NOT(ISERROR(SEARCH(("VACATION"),(D15))))</formula>
    </cfRule>
    <cfRule type="containsText" priority="18931" operator="containsText" dxfId="17" text="VACATION">
      <formula>NOT(ISERROR(SEARCH(("VACATION"),(D15))))</formula>
    </cfRule>
    <cfRule type="containsText" priority="18930" operator="containsText" dxfId="17" text="VACATION">
      <formula>NOT(ISERROR(SEARCH(("VACATION"),(D15))))</formula>
    </cfRule>
  </conditionalFormatting>
  <conditionalFormatting sqref="D14">
    <cfRule type="containsText" priority="18929" operator="containsText" dxfId="17" text="VACATION">
      <formula>NOT(ISERROR(SEARCH(("VACATION"),(D14))))</formula>
    </cfRule>
    <cfRule type="containsText" priority="18928" operator="containsText" dxfId="17" text="VACATION">
      <formula>NOT(ISERROR(SEARCH(("VACATION"),(D14))))</formula>
    </cfRule>
  </conditionalFormatting>
  <conditionalFormatting sqref="E29">
    <cfRule type="containsText" priority="18911" operator="containsText" dxfId="17" text="VACATION">
      <formula>NOT(ISERROR(SEARCH(("VACATION"),(E29))))</formula>
    </cfRule>
    <cfRule type="containsText" priority="18912" operator="containsText" dxfId="16" text="ED">
      <formula>NOT(ISERROR(SEARCH(("ED"),(E29))))</formula>
    </cfRule>
    <cfRule type="containsText" priority="18913" operator="containsText" dxfId="15" text="GERIATRIC">
      <formula>NOT(ISERROR(SEARCH(("GERIATRIC"),(E29))))</formula>
    </cfRule>
    <cfRule type="containsText" priority="18914" operator="containsText" dxfId="7" text="PATH">
      <formula>NOT(ISERROR(SEARCH(("PATH"),(E29))))</formula>
    </cfRule>
    <cfRule type="containsText" priority="18915" operator="containsText" dxfId="7" text="NEPHRO">
      <formula>NOT(ISERROR(SEARCH(("NEPHRO"),(E29))))</formula>
    </cfRule>
    <cfRule type="containsText" priority="18916" operator="containsText" dxfId="7" text="PULM">
      <formula>NOT(ISERROR(SEARCH(("PULM"),(E29))))</formula>
    </cfRule>
    <cfRule type="containsText" priority="18917" operator="containsText" dxfId="7" text="RADIOLOGY">
      <formula>NOT(ISERROR(SEARCH(("RADIOLOGY"),(E29))))</formula>
    </cfRule>
    <cfRule type="containsText" priority="18918" operator="containsText" dxfId="7" text="HEM/ONC">
      <formula>NOT(ISERROR(SEARCH(("HEM/ONC"),(E29))))</formula>
    </cfRule>
    <cfRule type="containsText" priority="18919" operator="containsText" dxfId="7" text="CARDIO">
      <formula>NOT(ISERROR(SEARCH(("CARDIO"),(E29))))</formula>
    </cfRule>
    <cfRule type="containsText" priority="18920" operator="containsText" dxfId="7" text="ID">
      <formula>NOT(ISERROR(SEARCH(("ID"),(E29))))</formula>
    </cfRule>
    <cfRule type="containsText" priority="18921" operator="containsText" dxfId="7" text="NEURO">
      <formula>NOT(ISERROR(SEARCH(("NEURO"),(E29))))</formula>
    </cfRule>
    <cfRule type="containsText" priority="18922" operator="containsText" dxfId="6" text="NEURO">
      <formula>NOT(ISERROR(SEARCH(("NEURO"),(E29))))</formula>
    </cfRule>
    <cfRule type="containsText" priority="18923" operator="containsText" dxfId="5" text="NEURO">
      <formula>NOT(ISERROR(SEARCH(("NEURO"),(E29))))</formula>
    </cfRule>
    <cfRule type="containsText" priority="18924" operator="containsText" dxfId="0" text="ICU N">
      <formula>NOT(ISERROR(SEARCH(("ICU N"),(E29))))</formula>
    </cfRule>
    <cfRule type="containsText" priority="18925" operator="containsText" dxfId="3" text="ICU">
      <formula>NOT(ISERROR(SEARCH(("ICU"),(E29))))</formula>
    </cfRule>
    <cfRule type="containsText" priority="18926" operator="containsText" dxfId="0" text="SWING">
      <formula>NOT(ISERROR(SEARCH(("SWING"),(E29))))</formula>
    </cfRule>
    <cfRule type="containsText" priority="18927" operator="containsText" dxfId="0" text="NF">
      <formula>NOT(ISERROR(SEARCH(("NF"),(E29))))</formula>
    </cfRule>
    <cfRule type="containsText" priority="18893" operator="containsText" dxfId="16" text="ED">
      <formula>NOT(ISERROR(SEARCH(("ED"),(E29))))</formula>
    </cfRule>
    <cfRule type="containsText" priority="18894" operator="containsText" dxfId="15" text="GERIATRIC">
      <formula>NOT(ISERROR(SEARCH(("GERIATRIC"),(E29))))</formula>
    </cfRule>
    <cfRule type="containsText" priority="18895" operator="containsText" dxfId="17" text="VACATION">
      <formula>NOT(ISERROR(SEARCH(("VACATION"),(E29))))</formula>
    </cfRule>
    <cfRule type="containsText" priority="18896" operator="containsText" dxfId="7" text="PATH">
      <formula>NOT(ISERROR(SEARCH(("PATH"),(E29))))</formula>
    </cfRule>
    <cfRule type="containsText" priority="18897" operator="containsText" dxfId="7" text="NEPHRO">
      <formula>NOT(ISERROR(SEARCH(("NEPHRO"),(E29))))</formula>
    </cfRule>
    <cfRule type="containsText" priority="18898" operator="containsText" dxfId="7" text="PULM">
      <formula>NOT(ISERROR(SEARCH(("PULM"),(E29))))</formula>
    </cfRule>
    <cfRule type="containsText" priority="18899" operator="containsText" dxfId="7" text="RADIOLOGY">
      <formula>NOT(ISERROR(SEARCH(("RADIOLOGY"),(E29))))</formula>
    </cfRule>
    <cfRule type="containsText" priority="18900" operator="containsText" dxfId="7" text="HEM/ONC">
      <formula>NOT(ISERROR(SEARCH(("HEM/ONC"),(E29))))</formula>
    </cfRule>
    <cfRule type="containsText" priority="18901" operator="containsText" dxfId="7" text="CARDIO">
      <formula>NOT(ISERROR(SEARCH(("CARDIO"),(E29))))</formula>
    </cfRule>
    <cfRule type="containsText" priority="18902" operator="containsText" dxfId="7" text="ID">
      <formula>NOT(ISERROR(SEARCH(("ID"),(E29))))</formula>
    </cfRule>
    <cfRule type="containsText" priority="18903" operator="containsText" dxfId="7" text="NEURO">
      <formula>NOT(ISERROR(SEARCH(("NEURO"),(E29))))</formula>
    </cfRule>
    <cfRule type="containsText" priority="18904" operator="containsText" dxfId="6" text="NEURO">
      <formula>NOT(ISERROR(SEARCH(("NEURO"),(E29))))</formula>
    </cfRule>
    <cfRule type="containsText" priority="18905" operator="containsText" dxfId="5" text="NEURO">
      <formula>NOT(ISERROR(SEARCH(("NEURO"),(E29))))</formula>
    </cfRule>
    <cfRule type="containsText" priority="18906" operator="containsText" dxfId="0" text="ICU N">
      <formula>NOT(ISERROR(SEARCH(("ICU N"),(E29))))</formula>
    </cfRule>
    <cfRule type="containsText" priority="18907" operator="containsText" dxfId="3" text="ICU">
      <formula>NOT(ISERROR(SEARCH(("ICU"),(E29))))</formula>
    </cfRule>
    <cfRule type="containsText" priority="18908" operator="containsText" dxfId="0" text="SWING">
      <formula>NOT(ISERROR(SEARCH(("SWING"),(E29))))</formula>
    </cfRule>
    <cfRule type="containsText" priority="18909" operator="containsText" dxfId="0" text="NF">
      <formula>NOT(ISERROR(SEARCH(("NF"),(E29))))</formula>
    </cfRule>
    <cfRule type="containsText" priority="18910" operator="containsText" dxfId="0" text="ICU N">
      <formula>NOT(ISERROR(SEARCH(("ICU N"),(E29))))</formula>
    </cfRule>
  </conditionalFormatting>
  <conditionalFormatting sqref="AM24">
    <cfRule type="containsText" priority="18824" operator="containsText" dxfId="17" text="VACATION">
      <formula>NOT(ISERROR(SEARCH(("VACATION"),(AM24))))</formula>
    </cfRule>
    <cfRule type="containsText" priority="18825" operator="containsText" dxfId="16" text="ED">
      <formula>NOT(ISERROR(SEARCH(("ED"),(AM24))))</formula>
    </cfRule>
    <cfRule type="containsText" priority="18826" operator="containsText" dxfId="15" text="GERIATRIC">
      <formula>NOT(ISERROR(SEARCH(("GERIATRIC"),(AM24))))</formula>
    </cfRule>
    <cfRule type="containsText" priority="18827" operator="containsText" dxfId="7" text="PATH">
      <formula>NOT(ISERROR(SEARCH(("PATH"),(AM24))))</formula>
    </cfRule>
    <cfRule type="containsText" priority="18828" operator="containsText" dxfId="7" text="NEPHRO">
      <formula>NOT(ISERROR(SEARCH(("NEPHRO"),(AM24))))</formula>
    </cfRule>
    <cfRule type="containsText" priority="18829" operator="containsText" dxfId="7" text="PULM">
      <formula>NOT(ISERROR(SEARCH(("PULM"),(AM24))))</formula>
    </cfRule>
    <cfRule type="containsText" priority="18830" operator="containsText" dxfId="7" text="RADIOLOGY">
      <formula>NOT(ISERROR(SEARCH(("RADIOLOGY"),(AM24))))</formula>
    </cfRule>
    <cfRule type="containsText" priority="18831" operator="containsText" dxfId="7" text="HEM/ONC">
      <formula>NOT(ISERROR(SEARCH(("HEM/ONC"),(AM24))))</formula>
    </cfRule>
    <cfRule type="containsText" priority="18832" operator="containsText" dxfId="7" text="CARDIO">
      <formula>NOT(ISERROR(SEARCH(("CARDIO"),(AM24))))</formula>
    </cfRule>
    <cfRule type="containsText" priority="18833" operator="containsText" dxfId="7" text="ID">
      <formula>NOT(ISERROR(SEARCH(("ID"),(AM24))))</formula>
    </cfRule>
    <cfRule type="containsText" priority="18834" operator="containsText" dxfId="7" text="NEURO">
      <formula>NOT(ISERROR(SEARCH(("NEURO"),(AM24))))</formula>
    </cfRule>
    <cfRule type="containsText" priority="18835" operator="containsText" dxfId="6" text="NEURO">
      <formula>NOT(ISERROR(SEARCH(("NEURO"),(AM24))))</formula>
    </cfRule>
    <cfRule type="containsText" priority="18836" operator="containsText" dxfId="5" text="NEURO">
      <formula>NOT(ISERROR(SEARCH(("NEURO"),(AM24))))</formula>
    </cfRule>
    <cfRule type="containsText" priority="18837" operator="containsText" dxfId="0" text="ICU N">
      <formula>NOT(ISERROR(SEARCH(("ICU N"),(AM24))))</formula>
    </cfRule>
    <cfRule type="containsText" priority="18838" operator="containsText" dxfId="3" text="ICU">
      <formula>NOT(ISERROR(SEARCH(("ICU"),(AM24))))</formula>
    </cfRule>
    <cfRule type="containsText" priority="18839" operator="containsText" dxfId="0" text="SWING">
      <formula>NOT(ISERROR(SEARCH(("SWING"),(AM24))))</formula>
    </cfRule>
    <cfRule type="containsText" priority="18840" operator="containsText" dxfId="0" text="NF">
      <formula>NOT(ISERROR(SEARCH(("NF"),(AM24))))</formula>
    </cfRule>
  </conditionalFormatting>
  <conditionalFormatting sqref="AM20:AM21">
    <cfRule type="containsText" priority="18756" operator="containsText" dxfId="17" text="VACATION">
      <formula>NOT(ISERROR(SEARCH(("VACATION"),(AM20))))</formula>
    </cfRule>
    <cfRule type="containsText" priority="18757" operator="containsText" dxfId="16" text="ED">
      <formula>NOT(ISERROR(SEARCH(("ED"),(AM20))))</formula>
    </cfRule>
    <cfRule type="containsText" priority="18758" operator="containsText" dxfId="15" text="GERIATRIC">
      <formula>NOT(ISERROR(SEARCH(("GERIATRIC"),(AM20))))</formula>
    </cfRule>
    <cfRule type="containsText" priority="18759" operator="containsText" dxfId="7" text="PATH">
      <formula>NOT(ISERROR(SEARCH(("PATH"),(AM20))))</formula>
    </cfRule>
    <cfRule type="containsText" priority="18760" operator="containsText" dxfId="7" text="NEPHRO">
      <formula>NOT(ISERROR(SEARCH(("NEPHRO"),(AM20))))</formula>
    </cfRule>
    <cfRule type="containsText" priority="18761" operator="containsText" dxfId="7" text="PULM">
      <formula>NOT(ISERROR(SEARCH(("PULM"),(AM20))))</formula>
    </cfRule>
    <cfRule type="containsText" priority="18762" operator="containsText" dxfId="7" text="RADIOLOGY">
      <formula>NOT(ISERROR(SEARCH(("RADIOLOGY"),(AM20))))</formula>
    </cfRule>
    <cfRule type="containsText" priority="18763" operator="containsText" dxfId="7" text="HEM/ONC">
      <formula>NOT(ISERROR(SEARCH(("HEM/ONC"),(AM20))))</formula>
    </cfRule>
    <cfRule type="containsText" priority="18764" operator="containsText" dxfId="7" text="CARDIO">
      <formula>NOT(ISERROR(SEARCH(("CARDIO"),(AM20))))</formula>
    </cfRule>
    <cfRule type="containsText" priority="18765" operator="containsText" dxfId="7" text="ID">
      <formula>NOT(ISERROR(SEARCH(("ID"),(AM20))))</formula>
    </cfRule>
    <cfRule type="containsText" priority="18766" operator="containsText" dxfId="7" text="NEURO">
      <formula>NOT(ISERROR(SEARCH(("NEURO"),(AM20))))</formula>
    </cfRule>
    <cfRule type="containsText" priority="18767" operator="containsText" dxfId="6" text="NEURO">
      <formula>NOT(ISERROR(SEARCH(("NEURO"),(AM20))))</formula>
    </cfRule>
    <cfRule type="containsText" priority="18768" operator="containsText" dxfId="5" text="NEURO">
      <formula>NOT(ISERROR(SEARCH(("NEURO"),(AM20))))</formula>
    </cfRule>
    <cfRule type="containsText" priority="18769" operator="containsText" dxfId="0" text="ICU N">
      <formula>NOT(ISERROR(SEARCH(("ICU N"),(AM20))))</formula>
    </cfRule>
    <cfRule type="containsText" priority="18770" operator="containsText" dxfId="3" text="ICU">
      <formula>NOT(ISERROR(SEARCH(("ICU"),(AM20))))</formula>
    </cfRule>
    <cfRule type="containsText" priority="18771" operator="containsText" dxfId="0" text="SWING">
      <formula>NOT(ISERROR(SEARCH(("SWING"),(AM20))))</formula>
    </cfRule>
    <cfRule type="containsText" priority="18772" operator="containsText" dxfId="0" text="NF">
      <formula>NOT(ISERROR(SEARCH(("NF"),(AM20))))</formula>
    </cfRule>
  </conditionalFormatting>
  <conditionalFormatting sqref="D52">
    <cfRule type="containsText" priority="18685" operator="containsText" dxfId="16" text="ED">
      <formula>NOT(ISERROR(SEARCH(("ED"),(D52))))</formula>
    </cfRule>
    <cfRule type="containsText" priority="18686" operator="containsText" dxfId="17" text="VACATION">
      <formula>NOT(ISERROR(SEARCH(("VACATION"),(D52))))</formula>
    </cfRule>
    <cfRule type="containsText" priority="18687" operator="containsText" dxfId="0" text="ICU N">
      <formula>NOT(ISERROR(SEARCH(("ICU N"),(D52))))</formula>
    </cfRule>
  </conditionalFormatting>
  <conditionalFormatting sqref="E52">
    <cfRule type="containsText" priority="18682" operator="containsText" dxfId="16" text="ED">
      <formula>NOT(ISERROR(SEARCH(("ED"),(E52))))</formula>
    </cfRule>
    <cfRule type="containsText" priority="18683" operator="containsText" dxfId="17" text="VACATION">
      <formula>NOT(ISERROR(SEARCH(("VACATION"),(E52))))</formula>
    </cfRule>
    <cfRule type="containsText" priority="18684" operator="containsText" dxfId="0" text="ICU N">
      <formula>NOT(ISERROR(SEARCH(("ICU N"),(E52))))</formula>
    </cfRule>
  </conditionalFormatting>
  <conditionalFormatting sqref="F52">
    <cfRule type="containsText" priority="18679" operator="containsText" dxfId="16" text="ED">
      <formula>NOT(ISERROR(SEARCH(("ED"),(F52))))</formula>
    </cfRule>
    <cfRule type="containsText" priority="18680" operator="containsText" dxfId="17" text="VACATION">
      <formula>NOT(ISERROR(SEARCH(("VACATION"),(F52))))</formula>
    </cfRule>
    <cfRule type="containsText" priority="18681" operator="containsText" dxfId="0" text="ICU N">
      <formula>NOT(ISERROR(SEARCH(("ICU N"),(F52))))</formula>
    </cfRule>
  </conditionalFormatting>
  <conditionalFormatting sqref="E23">
    <cfRule type="containsText" priority="18644" operator="containsText" dxfId="17" text="VACATION">
      <formula>NOT(ISERROR(SEARCH(("VACATION"),(E23))))</formula>
    </cfRule>
    <cfRule type="containsText" priority="18645" operator="containsText" dxfId="16" text="ED">
      <formula>NOT(ISERROR(SEARCH(("ED"),(E23))))</formula>
    </cfRule>
    <cfRule type="containsText" priority="18646" operator="containsText" dxfId="15" text="GERIATRIC">
      <formula>NOT(ISERROR(SEARCH(("GERIATRIC"),(E23))))</formula>
    </cfRule>
    <cfRule type="containsText" priority="18647" operator="containsText" dxfId="7" text="PATH">
      <formula>NOT(ISERROR(SEARCH(("PATH"),(E23))))</formula>
    </cfRule>
    <cfRule type="containsText" priority="18648" operator="containsText" dxfId="7" text="NEPHRO">
      <formula>NOT(ISERROR(SEARCH(("NEPHRO"),(E23))))</formula>
    </cfRule>
    <cfRule type="containsText" priority="18649" operator="containsText" dxfId="7" text="PULM">
      <formula>NOT(ISERROR(SEARCH(("PULM"),(E23))))</formula>
    </cfRule>
    <cfRule type="containsText" priority="18650" operator="containsText" dxfId="7" text="RADIOLOGY">
      <formula>NOT(ISERROR(SEARCH(("RADIOLOGY"),(E23))))</formula>
    </cfRule>
    <cfRule type="containsText" priority="18651" operator="containsText" dxfId="7" text="HEM/ONC">
      <formula>NOT(ISERROR(SEARCH(("HEM/ONC"),(E23))))</formula>
    </cfRule>
    <cfRule type="containsText" priority="18652" operator="containsText" dxfId="7" text="CARDIO">
      <formula>NOT(ISERROR(SEARCH(("CARDIO"),(E23))))</formula>
    </cfRule>
    <cfRule type="containsText" priority="18653" operator="containsText" dxfId="7" text="ID">
      <formula>NOT(ISERROR(SEARCH(("ID"),(E23))))</formula>
    </cfRule>
    <cfRule type="containsText" priority="18654" operator="containsText" dxfId="7" text="NEURO">
      <formula>NOT(ISERROR(SEARCH(("NEURO"),(E23))))</formula>
    </cfRule>
    <cfRule type="containsText" priority="18655" operator="containsText" dxfId="6" text="NEURO">
      <formula>NOT(ISERROR(SEARCH(("NEURO"),(E23))))</formula>
    </cfRule>
    <cfRule type="containsText" priority="18656" operator="containsText" dxfId="5" text="NEURO">
      <formula>NOT(ISERROR(SEARCH(("NEURO"),(E23))))</formula>
    </cfRule>
    <cfRule type="containsText" priority="18657" operator="containsText" dxfId="0" text="ICU N">
      <formula>NOT(ISERROR(SEARCH(("ICU N"),(E23))))</formula>
    </cfRule>
    <cfRule type="containsText" priority="18658" operator="containsText" dxfId="3" text="ICU">
      <formula>NOT(ISERROR(SEARCH(("ICU"),(E23))))</formula>
    </cfRule>
    <cfRule type="containsText" priority="18659" operator="containsText" dxfId="0" text="SWING">
      <formula>NOT(ISERROR(SEARCH(("SWING"),(E23))))</formula>
    </cfRule>
    <cfRule type="containsText" priority="18660" operator="containsText" dxfId="0" text="NF">
      <formula>NOT(ISERROR(SEARCH(("NF"),(E23))))</formula>
    </cfRule>
  </conditionalFormatting>
  <conditionalFormatting sqref="E45">
    <cfRule type="containsText" priority="18627" operator="containsText" dxfId="17" text="VACATION">
      <formula>NOT(ISERROR(SEARCH(("VACATION"),(E45))))</formula>
    </cfRule>
    <cfRule type="containsText" priority="18628" operator="containsText" dxfId="16" text="ED">
      <formula>NOT(ISERROR(SEARCH(("ED"),(E45))))</formula>
    </cfRule>
    <cfRule type="containsText" priority="18629" operator="containsText" dxfId="15" text="GERIATRIC">
      <formula>NOT(ISERROR(SEARCH(("GERIATRIC"),(E45))))</formula>
    </cfRule>
    <cfRule type="containsText" priority="18630" operator="containsText" dxfId="7" text="PATH">
      <formula>NOT(ISERROR(SEARCH(("PATH"),(E45))))</formula>
    </cfRule>
    <cfRule type="containsText" priority="18631" operator="containsText" dxfId="7" text="NEPHRO">
      <formula>NOT(ISERROR(SEARCH(("NEPHRO"),(E45))))</formula>
    </cfRule>
    <cfRule type="containsText" priority="18632" operator="containsText" dxfId="7" text="PULM">
      <formula>NOT(ISERROR(SEARCH(("PULM"),(E45))))</formula>
    </cfRule>
    <cfRule type="containsText" priority="18633" operator="containsText" dxfId="7" text="RADIOLOGY">
      <formula>NOT(ISERROR(SEARCH(("RADIOLOGY"),(E45))))</formula>
    </cfRule>
    <cfRule type="containsText" priority="18634" operator="containsText" dxfId="7" text="HEM/ONC">
      <formula>NOT(ISERROR(SEARCH(("HEM/ONC"),(E45))))</formula>
    </cfRule>
    <cfRule type="containsText" priority="18635" operator="containsText" dxfId="7" text="CARDIO">
      <formula>NOT(ISERROR(SEARCH(("CARDIO"),(E45))))</formula>
    </cfRule>
    <cfRule type="containsText" priority="18636" operator="containsText" dxfId="7" text="ID">
      <formula>NOT(ISERROR(SEARCH(("ID"),(E45))))</formula>
    </cfRule>
    <cfRule type="containsText" priority="18637" operator="containsText" dxfId="7" text="NEURO">
      <formula>NOT(ISERROR(SEARCH(("NEURO"),(E45))))</formula>
    </cfRule>
    <cfRule type="containsText" priority="18638" operator="containsText" dxfId="6" text="NEURO">
      <formula>NOT(ISERROR(SEARCH(("NEURO"),(E45))))</formula>
    </cfRule>
    <cfRule type="containsText" priority="18639" operator="containsText" dxfId="5" text="NEURO">
      <formula>NOT(ISERROR(SEARCH(("NEURO"),(E45))))</formula>
    </cfRule>
    <cfRule type="containsText" priority="18640" operator="containsText" dxfId="0" text="ICU N">
      <formula>NOT(ISERROR(SEARCH(("ICU N"),(E45))))</formula>
    </cfRule>
    <cfRule type="containsText" priority="18641" operator="containsText" dxfId="3" text="ICU">
      <formula>NOT(ISERROR(SEARCH(("ICU"),(E45))))</formula>
    </cfRule>
    <cfRule type="containsText" priority="18642" operator="containsText" dxfId="0" text="SWING">
      <formula>NOT(ISERROR(SEARCH(("SWING"),(E45))))</formula>
    </cfRule>
    <cfRule type="containsText" priority="18643" operator="containsText" dxfId="0" text="NF">
      <formula>NOT(ISERROR(SEARCH(("NF"),(E45))))</formula>
    </cfRule>
  </conditionalFormatting>
  <conditionalFormatting sqref="E43">
    <cfRule type="containsText" priority="18609" operator="containsText" dxfId="16" text="ED">
      <formula>NOT(ISERROR(SEARCH(("ED"),(E43))))</formula>
    </cfRule>
    <cfRule type="containsText" priority="18610" operator="containsText" dxfId="15" text="GERIATRIC">
      <formula>NOT(ISERROR(SEARCH(("GERIATRIC"),(E43))))</formula>
    </cfRule>
    <cfRule type="containsText" priority="18611" operator="containsText" dxfId="17" text="VACATION">
      <formula>NOT(ISERROR(SEARCH(("VACATION"),(E43))))</formula>
    </cfRule>
    <cfRule type="containsText" priority="18612" operator="containsText" dxfId="7" text="PATH">
      <formula>NOT(ISERROR(SEARCH(("PATH"),(E43))))</formula>
    </cfRule>
    <cfRule type="containsText" priority="18613" operator="containsText" dxfId="7" text="NEPHRO">
      <formula>NOT(ISERROR(SEARCH(("NEPHRO"),(E43))))</formula>
    </cfRule>
    <cfRule type="containsText" priority="18614" operator="containsText" dxfId="7" text="PULM">
      <formula>NOT(ISERROR(SEARCH(("PULM"),(E43))))</formula>
    </cfRule>
    <cfRule type="containsText" priority="18615" operator="containsText" dxfId="7" text="RADIOLOGY">
      <formula>NOT(ISERROR(SEARCH(("RADIOLOGY"),(E43))))</formula>
    </cfRule>
    <cfRule type="containsText" priority="18616" operator="containsText" dxfId="7" text="HEM/ONC">
      <formula>NOT(ISERROR(SEARCH(("HEM/ONC"),(E43))))</formula>
    </cfRule>
    <cfRule type="containsText" priority="18617" operator="containsText" dxfId="7" text="CARDIO">
      <formula>NOT(ISERROR(SEARCH(("CARDIO"),(E43))))</formula>
    </cfRule>
    <cfRule type="containsText" priority="18618" operator="containsText" dxfId="7" text="ID">
      <formula>NOT(ISERROR(SEARCH(("ID"),(E43))))</formula>
    </cfRule>
    <cfRule type="containsText" priority="18619" operator="containsText" dxfId="7" text="NEURO">
      <formula>NOT(ISERROR(SEARCH(("NEURO"),(E43))))</formula>
    </cfRule>
    <cfRule type="containsText" priority="18620" operator="containsText" dxfId="6" text="NEURO">
      <formula>NOT(ISERROR(SEARCH(("NEURO"),(E43))))</formula>
    </cfRule>
    <cfRule type="containsText" priority="18621" operator="containsText" dxfId="5" text="NEURO">
      <formula>NOT(ISERROR(SEARCH(("NEURO"),(E43))))</formula>
    </cfRule>
    <cfRule type="containsText" priority="18622" operator="containsText" dxfId="0" text="ICU N">
      <formula>NOT(ISERROR(SEARCH(("ICU N"),(E43))))</formula>
    </cfRule>
    <cfRule type="containsText" priority="18623" operator="containsText" dxfId="3" text="ICU">
      <formula>NOT(ISERROR(SEARCH(("ICU"),(E43))))</formula>
    </cfRule>
    <cfRule type="containsText" priority="18624" operator="containsText" dxfId="0" text="SWING">
      <formula>NOT(ISERROR(SEARCH(("SWING"),(E43))))</formula>
    </cfRule>
    <cfRule type="containsText" priority="18625" operator="containsText" dxfId="0" text="NF">
      <formula>NOT(ISERROR(SEARCH(("NF"),(E43))))</formula>
    </cfRule>
    <cfRule type="containsText" priority="18626" operator="containsText" dxfId="0" text="ICU N">
      <formula>NOT(ISERROR(SEARCH(("ICU N"),(E43))))</formula>
    </cfRule>
    <cfRule type="containsText" priority="18591" operator="containsText" dxfId="16" text="ED">
      <formula>NOT(ISERROR(SEARCH(("ED"),(E43))))</formula>
    </cfRule>
    <cfRule type="containsText" priority="18592" operator="containsText" dxfId="15" text="GERIATRIC">
      <formula>NOT(ISERROR(SEARCH(("GERIATRIC"),(E43))))</formula>
    </cfRule>
    <cfRule type="containsText" priority="18593" operator="containsText" dxfId="17" text="VACATION">
      <formula>NOT(ISERROR(SEARCH(("VACATION"),(E43))))</formula>
    </cfRule>
    <cfRule type="containsText" priority="18594" operator="containsText" dxfId="7" text="PATH">
      <formula>NOT(ISERROR(SEARCH(("PATH"),(E43))))</formula>
    </cfRule>
    <cfRule type="containsText" priority="18595" operator="containsText" dxfId="7" text="NEPHRO">
      <formula>NOT(ISERROR(SEARCH(("NEPHRO"),(E43))))</formula>
    </cfRule>
    <cfRule type="containsText" priority="18596" operator="containsText" dxfId="7" text="PULM">
      <formula>NOT(ISERROR(SEARCH(("PULM"),(E43))))</formula>
    </cfRule>
    <cfRule type="containsText" priority="18597" operator="containsText" dxfId="7" text="RADIOLOGY">
      <formula>NOT(ISERROR(SEARCH(("RADIOLOGY"),(E43))))</formula>
    </cfRule>
    <cfRule type="containsText" priority="18598" operator="containsText" dxfId="7" text="HEM/ONC">
      <formula>NOT(ISERROR(SEARCH(("HEM/ONC"),(E43))))</formula>
    </cfRule>
    <cfRule type="containsText" priority="18599" operator="containsText" dxfId="7" text="CARDIO">
      <formula>NOT(ISERROR(SEARCH(("CARDIO"),(E43))))</formula>
    </cfRule>
    <cfRule type="containsText" priority="18600" operator="containsText" dxfId="7" text="ID">
      <formula>NOT(ISERROR(SEARCH(("ID"),(E43))))</formula>
    </cfRule>
    <cfRule type="containsText" priority="18601" operator="containsText" dxfId="7" text="NEURO">
      <formula>NOT(ISERROR(SEARCH(("NEURO"),(E43))))</formula>
    </cfRule>
    <cfRule type="containsText" priority="18602" operator="containsText" dxfId="6" text="NEURO">
      <formula>NOT(ISERROR(SEARCH(("NEURO"),(E43))))</formula>
    </cfRule>
    <cfRule type="containsText" priority="18603" operator="containsText" dxfId="5" text="NEURO">
      <formula>NOT(ISERROR(SEARCH(("NEURO"),(E43))))</formula>
    </cfRule>
    <cfRule type="containsText" priority="18604" operator="containsText" dxfId="0" text="ICU N">
      <formula>NOT(ISERROR(SEARCH(("ICU N"),(E43))))</formula>
    </cfRule>
    <cfRule type="containsText" priority="18605" operator="containsText" dxfId="3" text="ICU">
      <formula>NOT(ISERROR(SEARCH(("ICU"),(E43))))</formula>
    </cfRule>
    <cfRule type="containsText" priority="18606" operator="containsText" dxfId="0" text="SWING">
      <formula>NOT(ISERROR(SEARCH(("SWING"),(E43))))</formula>
    </cfRule>
    <cfRule type="containsText" priority="18607" operator="containsText" dxfId="0" text="NF">
      <formula>NOT(ISERROR(SEARCH(("NF"),(E43))))</formula>
    </cfRule>
    <cfRule type="containsText" priority="18608" operator="containsText" dxfId="0" text="ICU N">
      <formula>NOT(ISERROR(SEARCH(("ICU N"),(E43))))</formula>
    </cfRule>
  </conditionalFormatting>
  <conditionalFormatting sqref="G55">
    <cfRule type="containsText" priority="18575" operator="containsText" dxfId="16" text="ED">
      <formula>NOT(ISERROR(SEARCH(("ED"),(G55))))</formula>
    </cfRule>
    <cfRule type="containsText" priority="18576" operator="containsText" dxfId="15" text="GERIATRIC">
      <formula>NOT(ISERROR(SEARCH(("GERIATRIC"),(G55))))</formula>
    </cfRule>
    <cfRule type="containsText" priority="18577" operator="containsText" dxfId="7" text="PATH">
      <formula>NOT(ISERROR(SEARCH(("PATH"),(G55))))</formula>
    </cfRule>
    <cfRule type="containsText" priority="18578" operator="containsText" dxfId="7" text="NEPHRO">
      <formula>NOT(ISERROR(SEARCH(("NEPHRO"),(G55))))</formula>
    </cfRule>
    <cfRule type="containsText" priority="18579" operator="containsText" dxfId="7" text="PULM">
      <formula>NOT(ISERROR(SEARCH(("PULM"),(G55))))</formula>
    </cfRule>
    <cfRule type="containsText" priority="18580" operator="containsText" dxfId="7" text="RADIOLOGY">
      <formula>NOT(ISERROR(SEARCH(("RADIOLOGY"),(G55))))</formula>
    </cfRule>
    <cfRule type="containsText" priority="18581" operator="containsText" dxfId="7" text="HEM/ONC">
      <formula>NOT(ISERROR(SEARCH(("HEM/ONC"),(G55))))</formula>
    </cfRule>
    <cfRule type="containsText" priority="18582" operator="containsText" dxfId="7" text="CARDIO">
      <formula>NOT(ISERROR(SEARCH(("CARDIO"),(G55))))</formula>
    </cfRule>
    <cfRule type="containsText" priority="18583" operator="containsText" dxfId="7" text="ID">
      <formula>NOT(ISERROR(SEARCH(("ID"),(G55))))</formula>
    </cfRule>
    <cfRule type="containsText" priority="18584" operator="containsText" dxfId="7" text="NEURO">
      <formula>NOT(ISERROR(SEARCH(("NEURO"),(G55))))</formula>
    </cfRule>
    <cfRule type="containsText" priority="18585" operator="containsText" dxfId="6" text="NEURO">
      <formula>NOT(ISERROR(SEARCH(("NEURO"),(G55))))</formula>
    </cfRule>
    <cfRule type="containsText" priority="18586" operator="containsText" dxfId="5" text="NEURO">
      <formula>NOT(ISERROR(SEARCH(("NEURO"),(G55))))</formula>
    </cfRule>
    <cfRule type="containsText" priority="18587" operator="containsText" dxfId="0" text="ICU N">
      <formula>NOT(ISERROR(SEARCH(("ICU N"),(G55))))</formula>
    </cfRule>
    <cfRule type="containsText" priority="18588" operator="containsText" dxfId="3" text="ICU">
      <formula>NOT(ISERROR(SEARCH(("ICU"),(G55))))</formula>
    </cfRule>
    <cfRule type="containsText" priority="18589" operator="containsText" dxfId="0" text="SWING">
      <formula>NOT(ISERROR(SEARCH(("SWING"),(G55))))</formula>
    </cfRule>
    <cfRule type="containsText" priority="18590" operator="containsText" dxfId="0" text="NF">
      <formula>NOT(ISERROR(SEARCH(("NF"),(G55))))</formula>
    </cfRule>
    <cfRule type="containsText" priority="18574" operator="containsText" dxfId="17" text="VACATION">
      <formula>NOT(ISERROR(SEARCH(("VACATION"),(G55))))</formula>
    </cfRule>
  </conditionalFormatting>
  <conditionalFormatting sqref="D56">
    <cfRule type="containsText" priority="18539" operator="containsText" dxfId="16" text="ED">
      <formula>NOT(ISERROR(SEARCH(("ED"),(D56))))</formula>
    </cfRule>
    <cfRule type="containsText" priority="18540" operator="containsText" dxfId="15" text="GERIATRIC">
      <formula>NOT(ISERROR(SEARCH(("GERIATRIC"),(D56))))</formula>
    </cfRule>
    <cfRule type="containsText" priority="18541" operator="containsText" dxfId="17" text="VACATION">
      <formula>NOT(ISERROR(SEARCH(("VACATION"),(D56))))</formula>
    </cfRule>
    <cfRule type="containsText" priority="18542" operator="containsText" dxfId="7" text="PATH">
      <formula>NOT(ISERROR(SEARCH(("PATH"),(D56))))</formula>
    </cfRule>
    <cfRule type="containsText" priority="18543" operator="containsText" dxfId="7" text="NEPHRO">
      <formula>NOT(ISERROR(SEARCH(("NEPHRO"),(D56))))</formula>
    </cfRule>
    <cfRule type="containsText" priority="18544" operator="containsText" dxfId="7" text="PULM">
      <formula>NOT(ISERROR(SEARCH(("PULM"),(D56))))</formula>
    </cfRule>
    <cfRule type="containsText" priority="18545" operator="containsText" dxfId="7" text="RADIOLOGY">
      <formula>NOT(ISERROR(SEARCH(("RADIOLOGY"),(D56))))</formula>
    </cfRule>
    <cfRule type="containsText" priority="18546" operator="containsText" dxfId="7" text="HEM/ONC">
      <formula>NOT(ISERROR(SEARCH(("HEM/ONC"),(D56))))</formula>
    </cfRule>
    <cfRule type="containsText" priority="18547" operator="containsText" dxfId="7" text="CARDIO">
      <formula>NOT(ISERROR(SEARCH(("CARDIO"),(D56))))</formula>
    </cfRule>
    <cfRule type="containsText" priority="18548" operator="containsText" dxfId="7" text="ID">
      <formula>NOT(ISERROR(SEARCH(("ID"),(D56))))</formula>
    </cfRule>
    <cfRule type="containsText" priority="18549" operator="containsText" dxfId="7" text="NEURO">
      <formula>NOT(ISERROR(SEARCH(("NEURO"),(D56))))</formula>
    </cfRule>
    <cfRule type="containsText" priority="18550" operator="containsText" dxfId="6" text="NEURO">
      <formula>NOT(ISERROR(SEARCH(("NEURO"),(D56))))</formula>
    </cfRule>
    <cfRule type="containsText" priority="18551" operator="containsText" dxfId="5" text="NEURO">
      <formula>NOT(ISERROR(SEARCH(("NEURO"),(D56))))</formula>
    </cfRule>
    <cfRule type="containsText" priority="18552" operator="containsText" dxfId="0" text="ICU N">
      <formula>NOT(ISERROR(SEARCH(("ICU N"),(D56))))</formula>
    </cfRule>
    <cfRule type="containsText" priority="18553" operator="containsText" dxfId="3" text="ICU">
      <formula>NOT(ISERROR(SEARCH(("ICU"),(D56))))</formula>
    </cfRule>
    <cfRule type="containsText" priority="18554" operator="containsText" dxfId="0" text="SWING">
      <formula>NOT(ISERROR(SEARCH(("SWING"),(D56))))</formula>
    </cfRule>
    <cfRule type="containsText" priority="18555" operator="containsText" dxfId="0" text="NF">
      <formula>NOT(ISERROR(SEARCH(("NF"),(D56))))</formula>
    </cfRule>
    <cfRule type="containsText" priority="18556" operator="containsText" dxfId="0" text="ICU N">
      <formula>NOT(ISERROR(SEARCH(("ICU N"),(D56))))</formula>
    </cfRule>
  </conditionalFormatting>
  <conditionalFormatting sqref="E56">
    <cfRule type="containsText" priority="18521" operator="containsText" dxfId="16" text="ED">
      <formula>NOT(ISERROR(SEARCH(("ED"),(E56))))</formula>
    </cfRule>
    <cfRule type="containsText" priority="18522" operator="containsText" dxfId="15" text="GERIATRIC">
      <formula>NOT(ISERROR(SEARCH(("GERIATRIC"),(E56))))</formula>
    </cfRule>
    <cfRule type="containsText" priority="18523" operator="containsText" dxfId="17" text="VACATION">
      <formula>NOT(ISERROR(SEARCH(("VACATION"),(E56))))</formula>
    </cfRule>
    <cfRule type="containsText" priority="18524" operator="containsText" dxfId="7" text="PATH">
      <formula>NOT(ISERROR(SEARCH(("PATH"),(E56))))</formula>
    </cfRule>
    <cfRule type="containsText" priority="18525" operator="containsText" dxfId="7" text="NEPHRO">
      <formula>NOT(ISERROR(SEARCH(("NEPHRO"),(E56))))</formula>
    </cfRule>
    <cfRule type="containsText" priority="18526" operator="containsText" dxfId="7" text="PULM">
      <formula>NOT(ISERROR(SEARCH(("PULM"),(E56))))</formula>
    </cfRule>
    <cfRule type="containsText" priority="18527" operator="containsText" dxfId="7" text="RADIOLOGY">
      <formula>NOT(ISERROR(SEARCH(("RADIOLOGY"),(E56))))</formula>
    </cfRule>
    <cfRule type="containsText" priority="18528" operator="containsText" dxfId="7" text="HEM/ONC">
      <formula>NOT(ISERROR(SEARCH(("HEM/ONC"),(E56))))</formula>
    </cfRule>
    <cfRule type="containsText" priority="18529" operator="containsText" dxfId="7" text="CARDIO">
      <formula>NOT(ISERROR(SEARCH(("CARDIO"),(E56))))</formula>
    </cfRule>
    <cfRule type="containsText" priority="18530" operator="containsText" dxfId="7" text="ID">
      <formula>NOT(ISERROR(SEARCH(("ID"),(E56))))</formula>
    </cfRule>
    <cfRule type="containsText" priority="18531" operator="containsText" dxfId="7" text="NEURO">
      <formula>NOT(ISERROR(SEARCH(("NEURO"),(E56))))</formula>
    </cfRule>
    <cfRule type="containsText" priority="18532" operator="containsText" dxfId="6" text="NEURO">
      <formula>NOT(ISERROR(SEARCH(("NEURO"),(E56))))</formula>
    </cfRule>
    <cfRule type="containsText" priority="18533" operator="containsText" dxfId="5" text="NEURO">
      <formula>NOT(ISERROR(SEARCH(("NEURO"),(E56))))</formula>
    </cfRule>
    <cfRule type="containsText" priority="18534" operator="containsText" dxfId="0" text="ICU N">
      <formula>NOT(ISERROR(SEARCH(("ICU N"),(E56))))</formula>
    </cfRule>
    <cfRule type="containsText" priority="18535" operator="containsText" dxfId="3" text="ICU">
      <formula>NOT(ISERROR(SEARCH(("ICU"),(E56))))</formula>
    </cfRule>
    <cfRule type="containsText" priority="18536" operator="containsText" dxfId="0" text="SWING">
      <formula>NOT(ISERROR(SEARCH(("SWING"),(E56))))</formula>
    </cfRule>
    <cfRule type="containsText" priority="18537" operator="containsText" dxfId="0" text="NF">
      <formula>NOT(ISERROR(SEARCH(("NF"),(E56))))</formula>
    </cfRule>
    <cfRule type="containsText" priority="18538" operator="containsText" dxfId="0" text="ICU N">
      <formula>NOT(ISERROR(SEARCH(("ICU N"),(E56))))</formula>
    </cfRule>
  </conditionalFormatting>
  <conditionalFormatting sqref="F56">
    <cfRule type="containsText" priority="18503" operator="containsText" dxfId="16" text="ED">
      <formula>NOT(ISERROR(SEARCH(("ED"),(F56))))</formula>
    </cfRule>
    <cfRule type="containsText" priority="18504" operator="containsText" dxfId="15" text="GERIATRIC">
      <formula>NOT(ISERROR(SEARCH(("GERIATRIC"),(F56))))</formula>
    </cfRule>
    <cfRule type="containsText" priority="18505" operator="containsText" dxfId="17" text="VACATION">
      <formula>NOT(ISERROR(SEARCH(("VACATION"),(F56))))</formula>
    </cfRule>
    <cfRule type="containsText" priority="18506" operator="containsText" dxfId="7" text="PATH">
      <formula>NOT(ISERROR(SEARCH(("PATH"),(F56))))</formula>
    </cfRule>
    <cfRule type="containsText" priority="18507" operator="containsText" dxfId="7" text="NEPHRO">
      <formula>NOT(ISERROR(SEARCH(("NEPHRO"),(F56))))</formula>
    </cfRule>
    <cfRule type="containsText" priority="18508" operator="containsText" dxfId="7" text="PULM">
      <formula>NOT(ISERROR(SEARCH(("PULM"),(F56))))</formula>
    </cfRule>
    <cfRule type="containsText" priority="18509" operator="containsText" dxfId="7" text="RADIOLOGY">
      <formula>NOT(ISERROR(SEARCH(("RADIOLOGY"),(F56))))</formula>
    </cfRule>
    <cfRule type="containsText" priority="18510" operator="containsText" dxfId="7" text="HEM/ONC">
      <formula>NOT(ISERROR(SEARCH(("HEM/ONC"),(F56))))</formula>
    </cfRule>
    <cfRule type="containsText" priority="18511" operator="containsText" dxfId="7" text="CARDIO">
      <formula>NOT(ISERROR(SEARCH(("CARDIO"),(F56))))</formula>
    </cfRule>
    <cfRule type="containsText" priority="18512" operator="containsText" dxfId="7" text="ID">
      <formula>NOT(ISERROR(SEARCH(("ID"),(F56))))</formula>
    </cfRule>
    <cfRule type="containsText" priority="18513" operator="containsText" dxfId="7" text="NEURO">
      <formula>NOT(ISERROR(SEARCH(("NEURO"),(F56))))</formula>
    </cfRule>
    <cfRule type="containsText" priority="18514" operator="containsText" dxfId="6" text="NEURO">
      <formula>NOT(ISERROR(SEARCH(("NEURO"),(F56))))</formula>
    </cfRule>
    <cfRule type="containsText" priority="18515" operator="containsText" dxfId="5" text="NEURO">
      <formula>NOT(ISERROR(SEARCH(("NEURO"),(F56))))</formula>
    </cfRule>
    <cfRule type="containsText" priority="18516" operator="containsText" dxfId="0" text="ICU N">
      <formula>NOT(ISERROR(SEARCH(("ICU N"),(F56))))</formula>
    </cfRule>
    <cfRule type="containsText" priority="18517" operator="containsText" dxfId="3" text="ICU">
      <formula>NOT(ISERROR(SEARCH(("ICU"),(F56))))</formula>
    </cfRule>
    <cfRule type="containsText" priority="18518" operator="containsText" dxfId="0" text="SWING">
      <formula>NOT(ISERROR(SEARCH(("SWING"),(F56))))</formula>
    </cfRule>
    <cfRule type="containsText" priority="18519" operator="containsText" dxfId="0" text="NF">
      <formula>NOT(ISERROR(SEARCH(("NF"),(F56))))</formula>
    </cfRule>
    <cfRule type="containsText" priority="18520" operator="containsText" dxfId="0" text="ICU N">
      <formula>NOT(ISERROR(SEARCH(("ICU N"),(F56))))</formula>
    </cfRule>
  </conditionalFormatting>
  <conditionalFormatting sqref="G56">
    <cfRule type="containsText" priority="18485" operator="containsText" dxfId="16" text="ED">
      <formula>NOT(ISERROR(SEARCH(("ED"),(G56))))</formula>
    </cfRule>
    <cfRule type="containsText" priority="18486" operator="containsText" dxfId="15" text="GERIATRIC">
      <formula>NOT(ISERROR(SEARCH(("GERIATRIC"),(G56))))</formula>
    </cfRule>
    <cfRule type="containsText" priority="18487" operator="containsText" dxfId="17" text="VACATION">
      <formula>NOT(ISERROR(SEARCH(("VACATION"),(G56))))</formula>
    </cfRule>
    <cfRule type="containsText" priority="18488" operator="containsText" dxfId="7" text="PATH">
      <formula>NOT(ISERROR(SEARCH(("PATH"),(G56))))</formula>
    </cfRule>
    <cfRule type="containsText" priority="18489" operator="containsText" dxfId="7" text="NEPHRO">
      <formula>NOT(ISERROR(SEARCH(("NEPHRO"),(G56))))</formula>
    </cfRule>
    <cfRule type="containsText" priority="18490" operator="containsText" dxfId="7" text="PULM">
      <formula>NOT(ISERROR(SEARCH(("PULM"),(G56))))</formula>
    </cfRule>
    <cfRule type="containsText" priority="18491" operator="containsText" dxfId="7" text="RADIOLOGY">
      <formula>NOT(ISERROR(SEARCH(("RADIOLOGY"),(G56))))</formula>
    </cfRule>
    <cfRule type="containsText" priority="18492" operator="containsText" dxfId="7" text="HEM/ONC">
      <formula>NOT(ISERROR(SEARCH(("HEM/ONC"),(G56))))</formula>
    </cfRule>
    <cfRule type="containsText" priority="18493" operator="containsText" dxfId="7" text="CARDIO">
      <formula>NOT(ISERROR(SEARCH(("CARDIO"),(G56))))</formula>
    </cfRule>
    <cfRule type="containsText" priority="18494" operator="containsText" dxfId="7" text="ID">
      <formula>NOT(ISERROR(SEARCH(("ID"),(G56))))</formula>
    </cfRule>
    <cfRule type="containsText" priority="18495" operator="containsText" dxfId="7" text="NEURO">
      <formula>NOT(ISERROR(SEARCH(("NEURO"),(G56))))</formula>
    </cfRule>
    <cfRule type="containsText" priority="18496" operator="containsText" dxfId="6" text="NEURO">
      <formula>NOT(ISERROR(SEARCH(("NEURO"),(G56))))</formula>
    </cfRule>
    <cfRule type="containsText" priority="18497" operator="containsText" dxfId="5" text="NEURO">
      <formula>NOT(ISERROR(SEARCH(("NEURO"),(G56))))</formula>
    </cfRule>
    <cfRule type="containsText" priority="18498" operator="containsText" dxfId="0" text="ICU N">
      <formula>NOT(ISERROR(SEARCH(("ICU N"),(G56))))</formula>
    </cfRule>
    <cfRule type="containsText" priority="18499" operator="containsText" dxfId="3" text="ICU">
      <formula>NOT(ISERROR(SEARCH(("ICU"),(G56))))</formula>
    </cfRule>
    <cfRule type="containsText" priority="18500" operator="containsText" dxfId="0" text="SWING">
      <formula>NOT(ISERROR(SEARCH(("SWING"),(G56))))</formula>
    </cfRule>
    <cfRule type="containsText" priority="18501" operator="containsText" dxfId="0" text="NF">
      <formula>NOT(ISERROR(SEARCH(("NF"),(G56))))</formula>
    </cfRule>
    <cfRule type="containsText" priority="18502" operator="containsText" dxfId="0" text="ICU N">
      <formula>NOT(ISERROR(SEARCH(("ICU N"),(G56))))</formula>
    </cfRule>
  </conditionalFormatting>
  <conditionalFormatting sqref="H54:H55">
    <cfRule type="containsText" priority="18449" operator="containsText" dxfId="16" text="ED">
      <formula>NOT(ISERROR(SEARCH(("ED"),(H54))))</formula>
    </cfRule>
    <cfRule type="containsText" priority="18450" operator="containsText" dxfId="15" text="GERIATRIC">
      <formula>NOT(ISERROR(SEARCH(("GERIATRIC"),(H54))))</formula>
    </cfRule>
    <cfRule type="containsText" priority="18451" operator="containsText" dxfId="17" text="VACATION">
      <formula>NOT(ISERROR(SEARCH(("VACATION"),(H54))))</formula>
    </cfRule>
    <cfRule type="containsText" priority="18452" operator="containsText" dxfId="7" text="PATH">
      <formula>NOT(ISERROR(SEARCH(("PATH"),(H54))))</formula>
    </cfRule>
    <cfRule type="containsText" priority="18453" operator="containsText" dxfId="7" text="NEPHRO">
      <formula>NOT(ISERROR(SEARCH(("NEPHRO"),(H54))))</formula>
    </cfRule>
    <cfRule type="containsText" priority="18454" operator="containsText" dxfId="7" text="PULM">
      <formula>NOT(ISERROR(SEARCH(("PULM"),(H54))))</formula>
    </cfRule>
    <cfRule type="containsText" priority="18455" operator="containsText" dxfId="7" text="RADIOLOGY">
      <formula>NOT(ISERROR(SEARCH(("RADIOLOGY"),(H54))))</formula>
    </cfRule>
    <cfRule type="containsText" priority="18456" operator="containsText" dxfId="7" text="HEM/ONC">
      <formula>NOT(ISERROR(SEARCH(("HEM/ONC"),(H54))))</formula>
    </cfRule>
    <cfRule type="containsText" priority="18457" operator="containsText" dxfId="7" text="CARDIO">
      <formula>NOT(ISERROR(SEARCH(("CARDIO"),(H54))))</formula>
    </cfRule>
    <cfRule type="containsText" priority="18458" operator="containsText" dxfId="7" text="ID">
      <formula>NOT(ISERROR(SEARCH(("ID"),(H54))))</formula>
    </cfRule>
    <cfRule type="containsText" priority="18459" operator="containsText" dxfId="7" text="NEURO">
      <formula>NOT(ISERROR(SEARCH(("NEURO"),(H54))))</formula>
    </cfRule>
    <cfRule type="containsText" priority="18460" operator="containsText" dxfId="6" text="NEURO">
      <formula>NOT(ISERROR(SEARCH(("NEURO"),(H54))))</formula>
    </cfRule>
    <cfRule type="containsText" priority="18461" operator="containsText" dxfId="5" text="NEURO">
      <formula>NOT(ISERROR(SEARCH(("NEURO"),(H54))))</formula>
    </cfRule>
    <cfRule type="containsText" priority="18462" operator="containsText" dxfId="0" text="ICU N">
      <formula>NOT(ISERROR(SEARCH(("ICU N"),(H54))))</formula>
    </cfRule>
    <cfRule type="containsText" priority="18463" operator="containsText" dxfId="3" text="ICU">
      <formula>NOT(ISERROR(SEARCH(("ICU"),(H54))))</formula>
    </cfRule>
    <cfRule type="containsText" priority="18464" operator="containsText" dxfId="0" text="SWING">
      <formula>NOT(ISERROR(SEARCH(("SWING"),(H54))))</formula>
    </cfRule>
    <cfRule type="containsText" priority="18465" operator="containsText" dxfId="0" text="NF">
      <formula>NOT(ISERROR(SEARCH(("NF"),(H54))))</formula>
    </cfRule>
    <cfRule type="containsText" priority="18466" operator="containsText" dxfId="0" text="ICU N">
      <formula>NOT(ISERROR(SEARCH(("ICU N"),(H54))))</formula>
    </cfRule>
  </conditionalFormatting>
  <conditionalFormatting sqref="G34">
    <cfRule type="containsText" priority="18306" operator="containsText" dxfId="17" text="VACATION">
      <formula>NOT(ISERROR(SEARCH(("VACATION"),(G34))))</formula>
    </cfRule>
    <cfRule type="containsText" priority="18307" operator="containsText" dxfId="16" text="ED">
      <formula>NOT(ISERROR(SEARCH(("ED"),(G34))))</formula>
    </cfRule>
    <cfRule type="containsText" priority="18308" operator="containsText" dxfId="15" text="GERIATRIC">
      <formula>NOT(ISERROR(SEARCH(("GERIATRIC"),(G34))))</formula>
    </cfRule>
    <cfRule type="containsText" priority="18309" operator="containsText" dxfId="7" text="PATH">
      <formula>NOT(ISERROR(SEARCH(("PATH"),(G34))))</formula>
    </cfRule>
    <cfRule type="containsText" priority="18310" operator="containsText" dxfId="7" text="NEPHRO">
      <formula>NOT(ISERROR(SEARCH(("NEPHRO"),(G34))))</formula>
    </cfRule>
    <cfRule type="containsText" priority="18311" operator="containsText" dxfId="7" text="PULM">
      <formula>NOT(ISERROR(SEARCH(("PULM"),(G34))))</formula>
    </cfRule>
    <cfRule type="containsText" priority="18312" operator="containsText" dxfId="7" text="RADIOLOGY">
      <formula>NOT(ISERROR(SEARCH(("RADIOLOGY"),(G34))))</formula>
    </cfRule>
    <cfRule type="containsText" priority="18313" operator="containsText" dxfId="7" text="HEM/ONC">
      <formula>NOT(ISERROR(SEARCH(("HEM/ONC"),(G34))))</formula>
    </cfRule>
    <cfRule type="containsText" priority="18314" operator="containsText" dxfId="7" text="CARDIO">
      <formula>NOT(ISERROR(SEARCH(("CARDIO"),(G34))))</formula>
    </cfRule>
    <cfRule type="containsText" priority="18315" operator="containsText" dxfId="7" text="ID">
      <formula>NOT(ISERROR(SEARCH(("ID"),(G34))))</formula>
    </cfRule>
    <cfRule type="containsText" priority="18316" operator="containsText" dxfId="7" text="NEURO">
      <formula>NOT(ISERROR(SEARCH(("NEURO"),(G34))))</formula>
    </cfRule>
    <cfRule type="containsText" priority="18317" operator="containsText" dxfId="6" text="NEURO">
      <formula>NOT(ISERROR(SEARCH(("NEURO"),(G34))))</formula>
    </cfRule>
    <cfRule type="containsText" priority="18318" operator="containsText" dxfId="5" text="NEURO">
      <formula>NOT(ISERROR(SEARCH(("NEURO"),(G34))))</formula>
    </cfRule>
    <cfRule type="containsText" priority="18319" operator="containsText" dxfId="0" text="ICU N">
      <formula>NOT(ISERROR(SEARCH(("ICU N"),(G34))))</formula>
    </cfRule>
    <cfRule type="containsText" priority="18320" operator="containsText" dxfId="3" text="ICU">
      <formula>NOT(ISERROR(SEARCH(("ICU"),(G34))))</formula>
    </cfRule>
    <cfRule type="containsText" priority="18321" operator="containsText" dxfId="0" text="SWING">
      <formula>NOT(ISERROR(SEARCH(("SWING"),(G34))))</formula>
    </cfRule>
    <cfRule type="containsText" priority="18322" operator="containsText" dxfId="0" text="NF">
      <formula>NOT(ISERROR(SEARCH(("NF"),(G34))))</formula>
    </cfRule>
  </conditionalFormatting>
  <conditionalFormatting sqref="H17">
    <cfRule type="containsText" priority="18304" operator="containsText" dxfId="17" text="VACATION">
      <formula>NOT(ISERROR(SEARCH(("VACATION"),(H17))))</formula>
    </cfRule>
    <cfRule type="containsText" priority="18305" operator="containsText" dxfId="0" text="ICU N">
      <formula>NOT(ISERROR(SEARCH(("ICU N"),(H17))))</formula>
    </cfRule>
  </conditionalFormatting>
  <conditionalFormatting sqref="AZ20:AZ22">
    <cfRule type="containsText" priority="18289" operator="containsText" dxfId="7" text="PATH">
      <formula>NOT(ISERROR(SEARCH(("PATH"),(AZ20))))</formula>
    </cfRule>
    <cfRule type="containsText" priority="18290" operator="containsText" dxfId="7" text="NEPHRO">
      <formula>NOT(ISERROR(SEARCH(("NEPHRO"),(AZ20))))</formula>
    </cfRule>
    <cfRule type="containsText" priority="18291" operator="containsText" dxfId="7" text="PULM">
      <formula>NOT(ISERROR(SEARCH(("PULM"),(AZ20))))</formula>
    </cfRule>
    <cfRule type="containsText" priority="18292" operator="containsText" dxfId="7" text="RADIOLOGY">
      <formula>NOT(ISERROR(SEARCH(("RADIOLOGY"),(AZ20))))</formula>
    </cfRule>
    <cfRule type="containsText" priority="18293" operator="containsText" dxfId="7" text="HEM/ONC">
      <formula>NOT(ISERROR(SEARCH(("HEM/ONC"),(AZ20))))</formula>
    </cfRule>
    <cfRule type="containsText" priority="18294" operator="containsText" dxfId="7" text="CARDIO">
      <formula>NOT(ISERROR(SEARCH(("CARDIO"),(AZ20))))</formula>
    </cfRule>
    <cfRule type="containsText" priority="18295" operator="containsText" dxfId="7" text="ID">
      <formula>NOT(ISERROR(SEARCH(("ID"),(AZ20))))</formula>
    </cfRule>
    <cfRule type="containsText" priority="18296" operator="containsText" dxfId="7" text="NEURO">
      <formula>NOT(ISERROR(SEARCH(("NEURO"),(AZ20))))</formula>
    </cfRule>
    <cfRule type="containsText" priority="18297" operator="containsText" dxfId="6" text="NEURO">
      <formula>NOT(ISERROR(SEARCH(("NEURO"),(AZ20))))</formula>
    </cfRule>
    <cfRule type="containsText" priority="18298" operator="containsText" dxfId="5" text="NEURO">
      <formula>NOT(ISERROR(SEARCH(("NEURO"),(AZ20))))</formula>
    </cfRule>
    <cfRule type="containsText" priority="18299" operator="containsText" dxfId="0" text="ICU N">
      <formula>NOT(ISERROR(SEARCH(("ICU N"),(AZ20))))</formula>
    </cfRule>
    <cfRule type="containsText" priority="18300" operator="containsText" dxfId="3" text="ICU">
      <formula>NOT(ISERROR(SEARCH(("ICU"),(AZ20))))</formula>
    </cfRule>
    <cfRule type="containsText" priority="18301" operator="containsText" dxfId="0" text="SWING">
      <formula>NOT(ISERROR(SEARCH(("SWING"),(AZ20))))</formula>
    </cfRule>
    <cfRule type="containsText" priority="18302" operator="containsText" dxfId="0" text="NF">
      <formula>NOT(ISERROR(SEARCH(("NF"),(AZ20))))</formula>
    </cfRule>
    <cfRule type="containsText" priority="18303" operator="containsText" dxfId="0" text="ICU N">
      <formula>NOT(ISERROR(SEARCH(("ICU N"),(AZ20))))</formula>
    </cfRule>
  </conditionalFormatting>
  <conditionalFormatting sqref="AV9:AV10 AV16:AX16 AW7 AW11 AX9:AX10">
    <cfRule type="containsText" priority="18272" operator="containsText" dxfId="17" text="VACATION">
      <formula>NOT(ISERROR(SEARCH(("VACATION"),(AV7))))</formula>
    </cfRule>
    <cfRule type="containsText" priority="18273" operator="containsText" dxfId="16" text="ED">
      <formula>NOT(ISERROR(SEARCH(("ED"),(AV7))))</formula>
    </cfRule>
    <cfRule type="containsText" priority="18274" operator="containsText" dxfId="15" text="GERIATRIC">
      <formula>NOT(ISERROR(SEARCH(("GERIATRIC"),(AV7))))</formula>
    </cfRule>
    <cfRule type="containsText" priority="18275" operator="containsText" dxfId="7" text="PATH">
      <formula>NOT(ISERROR(SEARCH(("PATH"),(AV7))))</formula>
    </cfRule>
    <cfRule type="containsText" priority="18276" operator="containsText" dxfId="7" text="NEPHRO">
      <formula>NOT(ISERROR(SEARCH(("NEPHRO"),(AV7))))</formula>
    </cfRule>
    <cfRule type="containsText" priority="18277" operator="containsText" dxfId="7" text="PULM">
      <formula>NOT(ISERROR(SEARCH(("PULM"),(AV7))))</formula>
    </cfRule>
    <cfRule type="containsText" priority="18278" operator="containsText" dxfId="7" text="RADIOLOGY">
      <formula>NOT(ISERROR(SEARCH(("RADIOLOGY"),(AV7))))</formula>
    </cfRule>
    <cfRule type="containsText" priority="18279" operator="containsText" dxfId="7" text="HEM/ONC">
      <formula>NOT(ISERROR(SEARCH(("HEM/ONC"),(AV7))))</formula>
    </cfRule>
    <cfRule type="containsText" priority="18280" operator="containsText" dxfId="7" text="CARDIO">
      <formula>NOT(ISERROR(SEARCH(("CARDIO"),(AV7))))</formula>
    </cfRule>
    <cfRule type="containsText" priority="18281" operator="containsText" dxfId="7" text="ID">
      <formula>NOT(ISERROR(SEARCH(("ID"),(AV7))))</formula>
    </cfRule>
    <cfRule type="containsText" priority="18282" operator="containsText" dxfId="7" text="NEURO">
      <formula>NOT(ISERROR(SEARCH(("NEURO"),(AV7))))</formula>
    </cfRule>
    <cfRule type="containsText" priority="18283" operator="containsText" dxfId="6" text="NEURO">
      <formula>NOT(ISERROR(SEARCH(("NEURO"),(AV7))))</formula>
    </cfRule>
    <cfRule type="containsText" priority="18284" operator="containsText" dxfId="5" text="NEURO">
      <formula>NOT(ISERROR(SEARCH(("NEURO"),(AV7))))</formula>
    </cfRule>
    <cfRule type="containsText" priority="18285" operator="containsText" dxfId="0" text="ICU N">
      <formula>NOT(ISERROR(SEARCH(("ICU N"),(AV7))))</formula>
    </cfRule>
    <cfRule type="containsText" priority="18286" operator="containsText" dxfId="3" text="ICU">
      <formula>NOT(ISERROR(SEARCH(("ICU"),(AV7))))</formula>
    </cfRule>
    <cfRule type="containsText" priority="18287" operator="containsText" dxfId="0" text="SWING">
      <formula>NOT(ISERROR(SEARCH(("SWING"),(AV7))))</formula>
    </cfRule>
    <cfRule type="containsText" priority="18288" operator="containsText" dxfId="0" text="NF">
      <formula>NOT(ISERROR(SEARCH(("NF"),(AV7))))</formula>
    </cfRule>
  </conditionalFormatting>
  <conditionalFormatting sqref="AV18:AW18">
    <cfRule type="containsText" priority="18255" operator="containsText" dxfId="17" text="VACATION">
      <formula>NOT(ISERROR(SEARCH(("VACATION"),(AV18))))</formula>
    </cfRule>
    <cfRule type="containsText" priority="18256" operator="containsText" dxfId="16" text="ED">
      <formula>NOT(ISERROR(SEARCH(("ED"),(AV18))))</formula>
    </cfRule>
    <cfRule type="containsText" priority="18257" operator="containsText" dxfId="15" text="GERIATRIC">
      <formula>NOT(ISERROR(SEARCH(("GERIATRIC"),(AV18))))</formula>
    </cfRule>
    <cfRule type="containsText" priority="18258" operator="containsText" dxfId="7" text="PATH">
      <formula>NOT(ISERROR(SEARCH(("PATH"),(AV18))))</formula>
    </cfRule>
    <cfRule type="containsText" priority="18259" operator="containsText" dxfId="7" text="NEPHRO">
      <formula>NOT(ISERROR(SEARCH(("NEPHRO"),(AV18))))</formula>
    </cfRule>
    <cfRule type="containsText" priority="18260" operator="containsText" dxfId="7" text="PULM">
      <formula>NOT(ISERROR(SEARCH(("PULM"),(AV18))))</formula>
    </cfRule>
    <cfRule type="containsText" priority="18261" operator="containsText" dxfId="7" text="RADIOLOGY">
      <formula>NOT(ISERROR(SEARCH(("RADIOLOGY"),(AV18))))</formula>
    </cfRule>
    <cfRule type="containsText" priority="18262" operator="containsText" dxfId="7" text="HEM/ONC">
      <formula>NOT(ISERROR(SEARCH(("HEM/ONC"),(AV18))))</formula>
    </cfRule>
    <cfRule type="containsText" priority="18263" operator="containsText" dxfId="7" text="CARDIO">
      <formula>NOT(ISERROR(SEARCH(("CARDIO"),(AV18))))</formula>
    </cfRule>
    <cfRule type="containsText" priority="18264" operator="containsText" dxfId="7" text="ID">
      <formula>NOT(ISERROR(SEARCH(("ID"),(AV18))))</formula>
    </cfRule>
    <cfRule type="containsText" priority="18265" operator="containsText" dxfId="7" text="NEURO">
      <formula>NOT(ISERROR(SEARCH(("NEURO"),(AV18))))</formula>
    </cfRule>
    <cfRule type="containsText" priority="18266" operator="containsText" dxfId="6" text="NEURO">
      <formula>NOT(ISERROR(SEARCH(("NEURO"),(AV18))))</formula>
    </cfRule>
    <cfRule type="containsText" priority="18267" operator="containsText" dxfId="5" text="NEURO">
      <formula>NOT(ISERROR(SEARCH(("NEURO"),(AV18))))</formula>
    </cfRule>
    <cfRule type="containsText" priority="18268" operator="containsText" dxfId="0" text="ICU N">
      <formula>NOT(ISERROR(SEARCH(("ICU N"),(AV18))))</formula>
    </cfRule>
    <cfRule type="containsText" priority="18269" operator="containsText" dxfId="3" text="ICU">
      <formula>NOT(ISERROR(SEARCH(("ICU"),(AV18))))</formula>
    </cfRule>
    <cfRule type="containsText" priority="18270" operator="containsText" dxfId="0" text="SWING">
      <formula>NOT(ISERROR(SEARCH(("SWING"),(AV18))))</formula>
    </cfRule>
    <cfRule type="containsText" priority="18271" operator="containsText" dxfId="0" text="NF">
      <formula>NOT(ISERROR(SEARCH(("NF"),(AV18))))</formula>
    </cfRule>
  </conditionalFormatting>
  <conditionalFormatting sqref="AT39:AU40 AT43 AT44:AU44 AU41:AV41 AU42 AW42:AW44">
    <cfRule type="containsText" priority="18221" operator="containsText" dxfId="17" text="VACATION">
      <formula>NOT(ISERROR(SEARCH(("VACATION"),(AT39))))</formula>
    </cfRule>
    <cfRule type="containsText" priority="18222" operator="containsText" dxfId="16" text="ED">
      <formula>NOT(ISERROR(SEARCH(("ED"),(AT39))))</formula>
    </cfRule>
    <cfRule type="containsText" priority="18223" operator="containsText" dxfId="15" text="GERIATRIC">
      <formula>NOT(ISERROR(SEARCH(("GERIATRIC"),(AT39))))</formula>
    </cfRule>
    <cfRule type="containsText" priority="18224" operator="containsText" dxfId="7" text="PATH">
      <formula>NOT(ISERROR(SEARCH(("PATH"),(AT39))))</formula>
    </cfRule>
    <cfRule type="containsText" priority="18225" operator="containsText" dxfId="7" text="NEPHRO">
      <formula>NOT(ISERROR(SEARCH(("NEPHRO"),(AT39))))</formula>
    </cfRule>
    <cfRule type="containsText" priority="18226" operator="containsText" dxfId="7" text="PULM">
      <formula>NOT(ISERROR(SEARCH(("PULM"),(AT39))))</formula>
    </cfRule>
    <cfRule type="containsText" priority="18227" operator="containsText" dxfId="7" text="RADIOLOGY">
      <formula>NOT(ISERROR(SEARCH(("RADIOLOGY"),(AT39))))</formula>
    </cfRule>
    <cfRule type="containsText" priority="18228" operator="containsText" dxfId="7" text="HEM/ONC">
      <formula>NOT(ISERROR(SEARCH(("HEM/ONC"),(AT39))))</formula>
    </cfRule>
    <cfRule type="containsText" priority="18229" operator="containsText" dxfId="7" text="CARDIO">
      <formula>NOT(ISERROR(SEARCH(("CARDIO"),(AT39))))</formula>
    </cfRule>
    <cfRule type="containsText" priority="18230" operator="containsText" dxfId="7" text="ID">
      <formula>NOT(ISERROR(SEARCH(("ID"),(AT39))))</formula>
    </cfRule>
    <cfRule type="containsText" priority="18231" operator="containsText" dxfId="7" text="NEURO">
      <formula>NOT(ISERROR(SEARCH(("NEURO"),(AT39))))</formula>
    </cfRule>
    <cfRule type="containsText" priority="18232" operator="containsText" dxfId="6" text="NEURO">
      <formula>NOT(ISERROR(SEARCH(("NEURO"),(AT39))))</formula>
    </cfRule>
    <cfRule type="containsText" priority="18233" operator="containsText" dxfId="5" text="NEURO">
      <formula>NOT(ISERROR(SEARCH(("NEURO"),(AT39))))</formula>
    </cfRule>
    <cfRule type="containsText" priority="18234" operator="containsText" dxfId="0" text="ICU N">
      <formula>NOT(ISERROR(SEARCH(("ICU N"),(AT39))))</formula>
    </cfRule>
    <cfRule type="containsText" priority="18235" operator="containsText" dxfId="3" text="ICU">
      <formula>NOT(ISERROR(SEARCH(("ICU"),(AT39))))</formula>
    </cfRule>
    <cfRule type="containsText" priority="18236" operator="containsText" dxfId="0" text="SWING">
      <formula>NOT(ISERROR(SEARCH(("SWING"),(AT39))))</formula>
    </cfRule>
    <cfRule type="containsText" priority="18237" operator="containsText" dxfId="0" text="NF">
      <formula>NOT(ISERROR(SEARCH(("NF"),(AT39))))</formula>
    </cfRule>
  </conditionalFormatting>
  <conditionalFormatting sqref="AW46">
    <cfRule type="containsText" priority="18204" operator="containsText" dxfId="17" text="VACATION">
      <formula>NOT(ISERROR(SEARCH(("VACATION"),(AW46))))</formula>
    </cfRule>
    <cfRule type="containsText" priority="18205" operator="containsText" dxfId="16" text="ED">
      <formula>NOT(ISERROR(SEARCH(("ED"),(AW46))))</formula>
    </cfRule>
    <cfRule type="containsText" priority="18206" operator="containsText" dxfId="15" text="GERIATRIC">
      <formula>NOT(ISERROR(SEARCH(("GERIATRIC"),(AW46))))</formula>
    </cfRule>
    <cfRule type="containsText" priority="18207" operator="containsText" dxfId="7" text="PATH">
      <formula>NOT(ISERROR(SEARCH(("PATH"),(AW46))))</formula>
    </cfRule>
    <cfRule type="containsText" priority="18208" operator="containsText" dxfId="7" text="NEPHRO">
      <formula>NOT(ISERROR(SEARCH(("NEPHRO"),(AW46))))</formula>
    </cfRule>
    <cfRule type="containsText" priority="18209" operator="containsText" dxfId="7" text="PULM">
      <formula>NOT(ISERROR(SEARCH(("PULM"),(AW46))))</formula>
    </cfRule>
    <cfRule type="containsText" priority="18210" operator="containsText" dxfId="7" text="RADIOLOGY">
      <formula>NOT(ISERROR(SEARCH(("RADIOLOGY"),(AW46))))</formula>
    </cfRule>
    <cfRule type="containsText" priority="18211" operator="containsText" dxfId="7" text="HEM/ONC">
      <formula>NOT(ISERROR(SEARCH(("HEM/ONC"),(AW46))))</formula>
    </cfRule>
    <cfRule type="containsText" priority="18212" operator="containsText" dxfId="7" text="CARDIO">
      <formula>NOT(ISERROR(SEARCH(("CARDIO"),(AW46))))</formula>
    </cfRule>
    <cfRule type="containsText" priority="18213" operator="containsText" dxfId="7" text="ID">
      <formula>NOT(ISERROR(SEARCH(("ID"),(AW46))))</formula>
    </cfRule>
    <cfRule type="containsText" priority="18214" operator="containsText" dxfId="7" text="NEURO">
      <formula>NOT(ISERROR(SEARCH(("NEURO"),(AW46))))</formula>
    </cfRule>
    <cfRule type="containsText" priority="18215" operator="containsText" dxfId="6" text="NEURO">
      <formula>NOT(ISERROR(SEARCH(("NEURO"),(AW46))))</formula>
    </cfRule>
    <cfRule type="containsText" priority="18216" operator="containsText" dxfId="5" text="NEURO">
      <formula>NOT(ISERROR(SEARCH(("NEURO"),(AW46))))</formula>
    </cfRule>
    <cfRule type="containsText" priority="18217" operator="containsText" dxfId="0" text="ICU N">
      <formula>NOT(ISERROR(SEARCH(("ICU N"),(AW46))))</formula>
    </cfRule>
    <cfRule type="containsText" priority="18218" operator="containsText" dxfId="3" text="ICU">
      <formula>NOT(ISERROR(SEARCH(("ICU"),(AW46))))</formula>
    </cfRule>
    <cfRule type="containsText" priority="18219" operator="containsText" dxfId="0" text="SWING">
      <formula>NOT(ISERROR(SEARCH(("SWING"),(AW46))))</formula>
    </cfRule>
    <cfRule type="containsText" priority="18220" operator="containsText" dxfId="0" text="NF">
      <formula>NOT(ISERROR(SEARCH(("NF"),(AW46))))</formula>
    </cfRule>
  </conditionalFormatting>
  <conditionalFormatting sqref="AS32:AV36 AV37">
    <cfRule type="containsText" priority="18170" operator="containsText" dxfId="17" text="VACATION">
      <formula>NOT(ISERROR(SEARCH(("VACATION"),(AS32))))</formula>
    </cfRule>
    <cfRule type="containsText" priority="18171" operator="containsText" dxfId="16" text="ED">
      <formula>NOT(ISERROR(SEARCH(("ED"),(AS32))))</formula>
    </cfRule>
    <cfRule type="containsText" priority="18172" operator="containsText" dxfId="15" text="GERIATRIC">
      <formula>NOT(ISERROR(SEARCH(("GERIATRIC"),(AS32))))</formula>
    </cfRule>
    <cfRule type="containsText" priority="18173" operator="containsText" dxfId="7" text="PATH">
      <formula>NOT(ISERROR(SEARCH(("PATH"),(AS32))))</formula>
    </cfRule>
    <cfRule type="containsText" priority="18174" operator="containsText" dxfId="7" text="NEPHRO">
      <formula>NOT(ISERROR(SEARCH(("NEPHRO"),(AS32))))</formula>
    </cfRule>
    <cfRule type="containsText" priority="18175" operator="containsText" dxfId="7" text="PULM">
      <formula>NOT(ISERROR(SEARCH(("PULM"),(AS32))))</formula>
    </cfRule>
    <cfRule type="containsText" priority="18176" operator="containsText" dxfId="7" text="RADIOLOGY">
      <formula>NOT(ISERROR(SEARCH(("RADIOLOGY"),(AS32))))</formula>
    </cfRule>
    <cfRule type="containsText" priority="18177" operator="containsText" dxfId="7" text="HEM/ONC">
      <formula>NOT(ISERROR(SEARCH(("HEM/ONC"),(AS32))))</formula>
    </cfRule>
    <cfRule type="containsText" priority="18178" operator="containsText" dxfId="7" text="CARDIO">
      <formula>NOT(ISERROR(SEARCH(("CARDIO"),(AS32))))</formula>
    </cfRule>
    <cfRule type="containsText" priority="18179" operator="containsText" dxfId="7" text="ID">
      <formula>NOT(ISERROR(SEARCH(("ID"),(AS32))))</formula>
    </cfRule>
    <cfRule type="containsText" priority="18180" operator="containsText" dxfId="7" text="NEURO">
      <formula>NOT(ISERROR(SEARCH(("NEURO"),(AS32))))</formula>
    </cfRule>
    <cfRule type="containsText" priority="18181" operator="containsText" dxfId="6" text="NEURO">
      <formula>NOT(ISERROR(SEARCH(("NEURO"),(AS32))))</formula>
    </cfRule>
    <cfRule type="containsText" priority="18182" operator="containsText" dxfId="5" text="NEURO">
      <formula>NOT(ISERROR(SEARCH(("NEURO"),(AS32))))</formula>
    </cfRule>
    <cfRule type="containsText" priority="18183" operator="containsText" dxfId="0" text="ICU N">
      <formula>NOT(ISERROR(SEARCH(("ICU N"),(AS32))))</formula>
    </cfRule>
    <cfRule type="containsText" priority="18184" operator="containsText" dxfId="3" text="ICU">
      <formula>NOT(ISERROR(SEARCH(("ICU"),(AS32))))</formula>
    </cfRule>
    <cfRule type="containsText" priority="18185" operator="containsText" dxfId="0" text="SWING">
      <formula>NOT(ISERROR(SEARCH(("SWING"),(AS32))))</formula>
    </cfRule>
    <cfRule type="containsText" priority="18186" operator="containsText" dxfId="0" text="NF">
      <formula>NOT(ISERROR(SEARCH(("NF"),(AS32))))</formula>
    </cfRule>
  </conditionalFormatting>
  <conditionalFormatting sqref="I54">
    <cfRule type="containsText" priority="18098" operator="containsText" dxfId="16" text="ED">
      <formula>NOT(ISERROR(SEARCH(("ED"),(I54))))</formula>
    </cfRule>
    <cfRule type="containsText" priority="18099" operator="containsText" dxfId="15" text="GERIATRIC">
      <formula>NOT(ISERROR(SEARCH(("GERIATRIC"),(I54))))</formula>
    </cfRule>
    <cfRule type="containsText" priority="18100" operator="containsText" dxfId="17" text="VACATION">
      <formula>NOT(ISERROR(SEARCH(("VACATION"),(I54))))</formula>
    </cfRule>
    <cfRule type="containsText" priority="18101" operator="containsText" dxfId="7" text="PATH">
      <formula>NOT(ISERROR(SEARCH(("PATH"),(I54))))</formula>
    </cfRule>
    <cfRule type="containsText" priority="18102" operator="containsText" dxfId="7" text="NEPHRO">
      <formula>NOT(ISERROR(SEARCH(("NEPHRO"),(I54))))</formula>
    </cfRule>
    <cfRule type="containsText" priority="18103" operator="containsText" dxfId="7" text="PULM">
      <formula>NOT(ISERROR(SEARCH(("PULM"),(I54))))</formula>
    </cfRule>
    <cfRule type="containsText" priority="18104" operator="containsText" dxfId="7" text="RADIOLOGY">
      <formula>NOT(ISERROR(SEARCH(("RADIOLOGY"),(I54))))</formula>
    </cfRule>
    <cfRule type="containsText" priority="18105" operator="containsText" dxfId="7" text="HEM/ONC">
      <formula>NOT(ISERROR(SEARCH(("HEM/ONC"),(I54))))</formula>
    </cfRule>
    <cfRule type="containsText" priority="18106" operator="containsText" dxfId="7" text="CARDIO">
      <formula>NOT(ISERROR(SEARCH(("CARDIO"),(I54))))</formula>
    </cfRule>
    <cfRule type="containsText" priority="18107" operator="containsText" dxfId="7" text="ID">
      <formula>NOT(ISERROR(SEARCH(("ID"),(I54))))</formula>
    </cfRule>
    <cfRule type="containsText" priority="18108" operator="containsText" dxfId="7" text="NEURO">
      <formula>NOT(ISERROR(SEARCH(("NEURO"),(I54))))</formula>
    </cfRule>
    <cfRule type="containsText" priority="18109" operator="containsText" dxfId="6" text="NEURO">
      <formula>NOT(ISERROR(SEARCH(("NEURO"),(I54))))</formula>
    </cfRule>
    <cfRule type="containsText" priority="18110" operator="containsText" dxfId="5" text="NEURO">
      <formula>NOT(ISERROR(SEARCH(("NEURO"),(I54))))</formula>
    </cfRule>
    <cfRule type="containsText" priority="18111" operator="containsText" dxfId="0" text="ICU N">
      <formula>NOT(ISERROR(SEARCH(("ICU N"),(I54))))</formula>
    </cfRule>
    <cfRule type="containsText" priority="18112" operator="containsText" dxfId="3" text="ICU">
      <formula>NOT(ISERROR(SEARCH(("ICU"),(I54))))</formula>
    </cfRule>
    <cfRule type="containsText" priority="18113" operator="containsText" dxfId="0" text="SWING">
      <formula>NOT(ISERROR(SEARCH(("SWING"),(I54))))</formula>
    </cfRule>
    <cfRule type="containsText" priority="18114" operator="containsText" dxfId="0" text="NF">
      <formula>NOT(ISERROR(SEARCH(("NF"),(I54))))</formula>
    </cfRule>
    <cfRule type="containsText" priority="18115" operator="containsText" dxfId="0" text="ICU N">
      <formula>NOT(ISERROR(SEARCH(("ICU N"),(I54))))</formula>
    </cfRule>
  </conditionalFormatting>
  <conditionalFormatting sqref="I60">
    <cfRule type="containsText" priority="18080" operator="containsText" dxfId="16" text="ED">
      <formula>NOT(ISERROR(SEARCH(("ED"),(I60))))</formula>
    </cfRule>
    <cfRule type="containsText" priority="18081" operator="containsText" dxfId="15" text="GERIATRIC">
      <formula>NOT(ISERROR(SEARCH(("GERIATRIC"),(I60))))</formula>
    </cfRule>
    <cfRule type="containsText" priority="18082" operator="containsText" dxfId="17" text="VACATION">
      <formula>NOT(ISERROR(SEARCH(("VACATION"),(I60))))</formula>
    </cfRule>
    <cfRule type="containsText" priority="18083" operator="containsText" dxfId="7" text="PATH">
      <formula>NOT(ISERROR(SEARCH(("PATH"),(I60))))</formula>
    </cfRule>
    <cfRule type="containsText" priority="18084" operator="containsText" dxfId="7" text="NEPHRO">
      <formula>NOT(ISERROR(SEARCH(("NEPHRO"),(I60))))</formula>
    </cfRule>
    <cfRule type="containsText" priority="18085" operator="containsText" dxfId="7" text="PULM">
      <formula>NOT(ISERROR(SEARCH(("PULM"),(I60))))</formula>
    </cfRule>
    <cfRule type="containsText" priority="18086" operator="containsText" dxfId="7" text="RADIOLOGY">
      <formula>NOT(ISERROR(SEARCH(("RADIOLOGY"),(I60))))</formula>
    </cfRule>
    <cfRule type="containsText" priority="18087" operator="containsText" dxfId="7" text="HEM/ONC">
      <formula>NOT(ISERROR(SEARCH(("HEM/ONC"),(I60))))</formula>
    </cfRule>
    <cfRule type="containsText" priority="18088" operator="containsText" dxfId="7" text="CARDIO">
      <formula>NOT(ISERROR(SEARCH(("CARDIO"),(I60))))</formula>
    </cfRule>
    <cfRule type="containsText" priority="18089" operator="containsText" dxfId="7" text="ID">
      <formula>NOT(ISERROR(SEARCH(("ID"),(I60))))</formula>
    </cfRule>
    <cfRule type="containsText" priority="18090" operator="containsText" dxfId="7" text="NEURO">
      <formula>NOT(ISERROR(SEARCH(("NEURO"),(I60))))</formula>
    </cfRule>
    <cfRule type="containsText" priority="18091" operator="containsText" dxfId="6" text="NEURO">
      <formula>NOT(ISERROR(SEARCH(("NEURO"),(I60))))</formula>
    </cfRule>
    <cfRule type="containsText" priority="18092" operator="containsText" dxfId="5" text="NEURO">
      <formula>NOT(ISERROR(SEARCH(("NEURO"),(I60))))</formula>
    </cfRule>
    <cfRule type="containsText" priority="18093" operator="containsText" dxfId="0" text="ICU N">
      <formula>NOT(ISERROR(SEARCH(("ICU N"),(I60))))</formula>
    </cfRule>
    <cfRule type="containsText" priority="18094" operator="containsText" dxfId="3" text="ICU">
      <formula>NOT(ISERROR(SEARCH(("ICU"),(I60))))</formula>
    </cfRule>
    <cfRule type="containsText" priority="18095" operator="containsText" dxfId="0" text="SWING">
      <formula>NOT(ISERROR(SEARCH(("SWING"),(I60))))</formula>
    </cfRule>
    <cfRule type="containsText" priority="18096" operator="containsText" dxfId="0" text="NF">
      <formula>NOT(ISERROR(SEARCH(("NF"),(I60))))</formula>
    </cfRule>
    <cfRule type="containsText" priority="18097" operator="containsText" dxfId="0" text="ICU N">
      <formula>NOT(ISERROR(SEARCH(("ICU N"),(I60))))</formula>
    </cfRule>
  </conditionalFormatting>
  <conditionalFormatting sqref="I61">
    <cfRule type="containsText" priority="18062" operator="containsText" dxfId="16" text="ED">
      <formula>NOT(ISERROR(SEARCH(("ED"),(I61))))</formula>
    </cfRule>
    <cfRule type="containsText" priority="18063" operator="containsText" dxfId="15" text="GERIATRIC">
      <formula>NOT(ISERROR(SEARCH(("GERIATRIC"),(I61))))</formula>
    </cfRule>
    <cfRule type="containsText" priority="18064" operator="containsText" dxfId="17" text="VACATION">
      <formula>NOT(ISERROR(SEARCH(("VACATION"),(I61))))</formula>
    </cfRule>
    <cfRule type="containsText" priority="18065" operator="containsText" dxfId="7" text="PATH">
      <formula>NOT(ISERROR(SEARCH(("PATH"),(I61))))</formula>
    </cfRule>
    <cfRule type="containsText" priority="18066" operator="containsText" dxfId="7" text="NEPHRO">
      <formula>NOT(ISERROR(SEARCH(("NEPHRO"),(I61))))</formula>
    </cfRule>
    <cfRule type="containsText" priority="18067" operator="containsText" dxfId="7" text="PULM">
      <formula>NOT(ISERROR(SEARCH(("PULM"),(I61))))</formula>
    </cfRule>
    <cfRule type="containsText" priority="18068" operator="containsText" dxfId="7" text="RADIOLOGY">
      <formula>NOT(ISERROR(SEARCH(("RADIOLOGY"),(I61))))</formula>
    </cfRule>
    <cfRule type="containsText" priority="18069" operator="containsText" dxfId="7" text="HEM/ONC">
      <formula>NOT(ISERROR(SEARCH(("HEM/ONC"),(I61))))</formula>
    </cfRule>
    <cfRule type="containsText" priority="18070" operator="containsText" dxfId="7" text="CARDIO">
      <formula>NOT(ISERROR(SEARCH(("CARDIO"),(I61))))</formula>
    </cfRule>
    <cfRule type="containsText" priority="18071" operator="containsText" dxfId="7" text="ID">
      <formula>NOT(ISERROR(SEARCH(("ID"),(I61))))</formula>
    </cfRule>
    <cfRule type="containsText" priority="18072" operator="containsText" dxfId="7" text="NEURO">
      <formula>NOT(ISERROR(SEARCH(("NEURO"),(I61))))</formula>
    </cfRule>
    <cfRule type="containsText" priority="18073" operator="containsText" dxfId="6" text="NEURO">
      <formula>NOT(ISERROR(SEARCH(("NEURO"),(I61))))</formula>
    </cfRule>
    <cfRule type="containsText" priority="18074" operator="containsText" dxfId="5" text="NEURO">
      <formula>NOT(ISERROR(SEARCH(("NEURO"),(I61))))</formula>
    </cfRule>
    <cfRule type="containsText" priority="18075" operator="containsText" dxfId="0" text="ICU N">
      <formula>NOT(ISERROR(SEARCH(("ICU N"),(I61))))</formula>
    </cfRule>
    <cfRule type="containsText" priority="18076" operator="containsText" dxfId="3" text="ICU">
      <formula>NOT(ISERROR(SEARCH(("ICU"),(I61))))</formula>
    </cfRule>
    <cfRule type="containsText" priority="18077" operator="containsText" dxfId="0" text="SWING">
      <formula>NOT(ISERROR(SEARCH(("SWING"),(I61))))</formula>
    </cfRule>
    <cfRule type="containsText" priority="18078" operator="containsText" dxfId="0" text="NF">
      <formula>NOT(ISERROR(SEARCH(("NF"),(I61))))</formula>
    </cfRule>
    <cfRule type="containsText" priority="18079" operator="containsText" dxfId="0" text="ICU N">
      <formula>NOT(ISERROR(SEARCH(("ICU N"),(I61))))</formula>
    </cfRule>
  </conditionalFormatting>
  <conditionalFormatting sqref="H60">
    <cfRule type="containsText" priority="18044" operator="containsText" dxfId="16" text="ED">
      <formula>NOT(ISERROR(SEARCH(("ED"),(H60))))</formula>
    </cfRule>
    <cfRule type="containsText" priority="18045" operator="containsText" dxfId="15" text="GERIATRIC">
      <formula>NOT(ISERROR(SEARCH(("GERIATRIC"),(H60))))</formula>
    </cfRule>
    <cfRule type="containsText" priority="18046" operator="containsText" dxfId="17" text="VACATION">
      <formula>NOT(ISERROR(SEARCH(("VACATION"),(H60))))</formula>
    </cfRule>
    <cfRule type="containsText" priority="18047" operator="containsText" dxfId="7" text="PATH">
      <formula>NOT(ISERROR(SEARCH(("PATH"),(H60))))</formula>
    </cfRule>
    <cfRule type="containsText" priority="18048" operator="containsText" dxfId="7" text="NEPHRO">
      <formula>NOT(ISERROR(SEARCH(("NEPHRO"),(H60))))</formula>
    </cfRule>
    <cfRule type="containsText" priority="18049" operator="containsText" dxfId="7" text="PULM">
      <formula>NOT(ISERROR(SEARCH(("PULM"),(H60))))</formula>
    </cfRule>
    <cfRule type="containsText" priority="18050" operator="containsText" dxfId="7" text="RADIOLOGY">
      <formula>NOT(ISERROR(SEARCH(("RADIOLOGY"),(H60))))</formula>
    </cfRule>
    <cfRule type="containsText" priority="18051" operator="containsText" dxfId="7" text="HEM/ONC">
      <formula>NOT(ISERROR(SEARCH(("HEM/ONC"),(H60))))</formula>
    </cfRule>
    <cfRule type="containsText" priority="18052" operator="containsText" dxfId="7" text="CARDIO">
      <formula>NOT(ISERROR(SEARCH(("CARDIO"),(H60))))</formula>
    </cfRule>
    <cfRule type="containsText" priority="18053" operator="containsText" dxfId="7" text="ID">
      <formula>NOT(ISERROR(SEARCH(("ID"),(H60))))</formula>
    </cfRule>
    <cfRule type="containsText" priority="18054" operator="containsText" dxfId="7" text="NEURO">
      <formula>NOT(ISERROR(SEARCH(("NEURO"),(H60))))</formula>
    </cfRule>
    <cfRule type="containsText" priority="18055" operator="containsText" dxfId="6" text="NEURO">
      <formula>NOT(ISERROR(SEARCH(("NEURO"),(H60))))</formula>
    </cfRule>
    <cfRule type="containsText" priority="18056" operator="containsText" dxfId="5" text="NEURO">
      <formula>NOT(ISERROR(SEARCH(("NEURO"),(H60))))</formula>
    </cfRule>
    <cfRule type="containsText" priority="18057" operator="containsText" dxfId="0" text="ICU N">
      <formula>NOT(ISERROR(SEARCH(("ICU N"),(H60))))</formula>
    </cfRule>
    <cfRule type="containsText" priority="18058" operator="containsText" dxfId="3" text="ICU">
      <formula>NOT(ISERROR(SEARCH(("ICU"),(H60))))</formula>
    </cfRule>
    <cfRule type="containsText" priority="18059" operator="containsText" dxfId="0" text="SWING">
      <formula>NOT(ISERROR(SEARCH(("SWING"),(H60))))</formula>
    </cfRule>
    <cfRule type="containsText" priority="18060" operator="containsText" dxfId="0" text="NF">
      <formula>NOT(ISERROR(SEARCH(("NF"),(H60))))</formula>
    </cfRule>
    <cfRule type="containsText" priority="18061" operator="containsText" dxfId="0" text="ICU N">
      <formula>NOT(ISERROR(SEARCH(("ICU N"),(H60))))</formula>
    </cfRule>
  </conditionalFormatting>
  <conditionalFormatting sqref="H61">
    <cfRule type="containsText" priority="18026" operator="containsText" dxfId="16" text="ED">
      <formula>NOT(ISERROR(SEARCH(("ED"),(H61))))</formula>
    </cfRule>
    <cfRule type="containsText" priority="18027" operator="containsText" dxfId="15" text="GERIATRIC">
      <formula>NOT(ISERROR(SEARCH(("GERIATRIC"),(H61))))</formula>
    </cfRule>
    <cfRule type="containsText" priority="18028" operator="containsText" dxfId="17" text="VACATION">
      <formula>NOT(ISERROR(SEARCH(("VACATION"),(H61))))</formula>
    </cfRule>
    <cfRule type="containsText" priority="18029" operator="containsText" dxfId="7" text="PATH">
      <formula>NOT(ISERROR(SEARCH(("PATH"),(H61))))</formula>
    </cfRule>
    <cfRule type="containsText" priority="18030" operator="containsText" dxfId="7" text="NEPHRO">
      <formula>NOT(ISERROR(SEARCH(("NEPHRO"),(H61))))</formula>
    </cfRule>
    <cfRule type="containsText" priority="18031" operator="containsText" dxfId="7" text="PULM">
      <formula>NOT(ISERROR(SEARCH(("PULM"),(H61))))</formula>
    </cfRule>
    <cfRule type="containsText" priority="18032" operator="containsText" dxfId="7" text="RADIOLOGY">
      <formula>NOT(ISERROR(SEARCH(("RADIOLOGY"),(H61))))</formula>
    </cfRule>
    <cfRule type="containsText" priority="18033" operator="containsText" dxfId="7" text="HEM/ONC">
      <formula>NOT(ISERROR(SEARCH(("HEM/ONC"),(H61))))</formula>
    </cfRule>
    <cfRule type="containsText" priority="18034" operator="containsText" dxfId="7" text="CARDIO">
      <formula>NOT(ISERROR(SEARCH(("CARDIO"),(H61))))</formula>
    </cfRule>
    <cfRule type="containsText" priority="18035" operator="containsText" dxfId="7" text="ID">
      <formula>NOT(ISERROR(SEARCH(("ID"),(H61))))</formula>
    </cfRule>
    <cfRule type="containsText" priority="18036" operator="containsText" dxfId="7" text="NEURO">
      <formula>NOT(ISERROR(SEARCH(("NEURO"),(H61))))</formula>
    </cfRule>
    <cfRule type="containsText" priority="18037" operator="containsText" dxfId="6" text="NEURO">
      <formula>NOT(ISERROR(SEARCH(("NEURO"),(H61))))</formula>
    </cfRule>
    <cfRule type="containsText" priority="18038" operator="containsText" dxfId="5" text="NEURO">
      <formula>NOT(ISERROR(SEARCH(("NEURO"),(H61))))</formula>
    </cfRule>
    <cfRule type="containsText" priority="18039" operator="containsText" dxfId="0" text="ICU N">
      <formula>NOT(ISERROR(SEARCH(("ICU N"),(H61))))</formula>
    </cfRule>
    <cfRule type="containsText" priority="18040" operator="containsText" dxfId="3" text="ICU">
      <formula>NOT(ISERROR(SEARCH(("ICU"),(H61))))</formula>
    </cfRule>
    <cfRule type="containsText" priority="18041" operator="containsText" dxfId="0" text="SWING">
      <formula>NOT(ISERROR(SEARCH(("SWING"),(H61))))</formula>
    </cfRule>
    <cfRule type="containsText" priority="18042" operator="containsText" dxfId="0" text="NF">
      <formula>NOT(ISERROR(SEARCH(("NF"),(H61))))</formula>
    </cfRule>
    <cfRule type="containsText" priority="18043" operator="containsText" dxfId="0" text="ICU N">
      <formula>NOT(ISERROR(SEARCH(("ICU N"),(H61))))</formula>
    </cfRule>
  </conditionalFormatting>
  <conditionalFormatting sqref="H10">
    <cfRule type="containsText" priority="17990" operator="containsText" dxfId="16" text="ED">
      <formula>NOT(ISERROR(SEARCH(("ED"),(H10))))</formula>
    </cfRule>
    <cfRule type="containsText" priority="17991" operator="containsText" dxfId="15" text="GERIATRIC">
      <formula>NOT(ISERROR(SEARCH(("GERIATRIC"),(H10))))</formula>
    </cfRule>
    <cfRule type="containsText" priority="17992" operator="containsText" dxfId="17" text="VACATION">
      <formula>NOT(ISERROR(SEARCH(("VACATION"),(H10))))</formula>
    </cfRule>
    <cfRule type="containsText" priority="17993" operator="containsText" dxfId="7" text="PATH">
      <formula>NOT(ISERROR(SEARCH(("PATH"),(H10))))</formula>
    </cfRule>
    <cfRule type="containsText" priority="17994" operator="containsText" dxfId="7" text="NEPHRO">
      <formula>NOT(ISERROR(SEARCH(("NEPHRO"),(H10))))</formula>
    </cfRule>
    <cfRule type="containsText" priority="17995" operator="containsText" dxfId="7" text="PULM">
      <formula>NOT(ISERROR(SEARCH(("PULM"),(H10))))</formula>
    </cfRule>
    <cfRule type="containsText" priority="17996" operator="containsText" dxfId="7" text="RADIOLOGY">
      <formula>NOT(ISERROR(SEARCH(("RADIOLOGY"),(H10))))</formula>
    </cfRule>
    <cfRule type="containsText" priority="17997" operator="containsText" dxfId="7" text="HEM/ONC">
      <formula>NOT(ISERROR(SEARCH(("HEM/ONC"),(H10))))</formula>
    </cfRule>
    <cfRule type="containsText" priority="17998" operator="containsText" dxfId="7" text="CARDIO">
      <formula>NOT(ISERROR(SEARCH(("CARDIO"),(H10))))</formula>
    </cfRule>
    <cfRule type="containsText" priority="17999" operator="containsText" dxfId="7" text="ID">
      <formula>NOT(ISERROR(SEARCH(("ID"),(H10))))</formula>
    </cfRule>
    <cfRule type="containsText" priority="18000" operator="containsText" dxfId="7" text="NEURO">
      <formula>NOT(ISERROR(SEARCH(("NEURO"),(H10))))</formula>
    </cfRule>
    <cfRule type="containsText" priority="18001" operator="containsText" dxfId="6" text="NEURO">
      <formula>NOT(ISERROR(SEARCH(("NEURO"),(H10))))</formula>
    </cfRule>
    <cfRule type="containsText" priority="18002" operator="containsText" dxfId="5" text="NEURO">
      <formula>NOT(ISERROR(SEARCH(("NEURO"),(H10))))</formula>
    </cfRule>
    <cfRule type="containsText" priority="18003" operator="containsText" dxfId="0" text="ICU N">
      <formula>NOT(ISERROR(SEARCH(("ICU N"),(H10))))</formula>
    </cfRule>
    <cfRule type="containsText" priority="18004" operator="containsText" dxfId="3" text="ICU">
      <formula>NOT(ISERROR(SEARCH(("ICU"),(H10))))</formula>
    </cfRule>
    <cfRule type="containsText" priority="18005" operator="containsText" dxfId="0" text="SWING">
      <formula>NOT(ISERROR(SEARCH(("SWING"),(H10))))</formula>
    </cfRule>
    <cfRule type="containsText" priority="18006" operator="containsText" dxfId="0" text="NF">
      <formula>NOT(ISERROR(SEARCH(("NF"),(H10))))</formula>
    </cfRule>
    <cfRule type="containsText" priority="18007" operator="containsText" dxfId="0" text="ICU N">
      <formula>NOT(ISERROR(SEARCH(("ICU N"),(H10))))</formula>
    </cfRule>
  </conditionalFormatting>
  <conditionalFormatting sqref="I35">
    <cfRule type="containsText" priority="17936" operator="containsText" dxfId="16" text="ED">
      <formula>NOT(ISERROR(SEARCH(("ED"),(I35))))</formula>
    </cfRule>
    <cfRule type="containsText" priority="17937" operator="containsText" dxfId="15" text="GERIATRIC">
      <formula>NOT(ISERROR(SEARCH(("GERIATRIC"),(I35))))</formula>
    </cfRule>
    <cfRule type="containsText" priority="17938" operator="containsText" dxfId="17" text="VACATION">
      <formula>NOT(ISERROR(SEARCH(("VACATION"),(I35))))</formula>
    </cfRule>
    <cfRule type="containsText" priority="17939" operator="containsText" dxfId="7" text="PATH">
      <formula>NOT(ISERROR(SEARCH(("PATH"),(I35))))</formula>
    </cfRule>
    <cfRule type="containsText" priority="17940" operator="containsText" dxfId="7" text="NEPHRO">
      <formula>NOT(ISERROR(SEARCH(("NEPHRO"),(I35))))</formula>
    </cfRule>
    <cfRule type="containsText" priority="17941" operator="containsText" dxfId="7" text="PULM">
      <formula>NOT(ISERROR(SEARCH(("PULM"),(I35))))</formula>
    </cfRule>
    <cfRule type="containsText" priority="17942" operator="containsText" dxfId="7" text="RADIOLOGY">
      <formula>NOT(ISERROR(SEARCH(("RADIOLOGY"),(I35))))</formula>
    </cfRule>
    <cfRule type="containsText" priority="17943" operator="containsText" dxfId="7" text="HEM/ONC">
      <formula>NOT(ISERROR(SEARCH(("HEM/ONC"),(I35))))</formula>
    </cfRule>
    <cfRule type="containsText" priority="17944" operator="containsText" dxfId="7" text="CARDIO">
      <formula>NOT(ISERROR(SEARCH(("CARDIO"),(I35))))</formula>
    </cfRule>
    <cfRule type="containsText" priority="17945" operator="containsText" dxfId="7" text="ID">
      <formula>NOT(ISERROR(SEARCH(("ID"),(I35))))</formula>
    </cfRule>
    <cfRule type="containsText" priority="17946" operator="containsText" dxfId="7" text="NEURO">
      <formula>NOT(ISERROR(SEARCH(("NEURO"),(I35))))</formula>
    </cfRule>
    <cfRule type="containsText" priority="17947" operator="containsText" dxfId="6" text="NEURO">
      <formula>NOT(ISERROR(SEARCH(("NEURO"),(I35))))</formula>
    </cfRule>
    <cfRule type="containsText" priority="17948" operator="containsText" dxfId="5" text="NEURO">
      <formula>NOT(ISERROR(SEARCH(("NEURO"),(I35))))</formula>
    </cfRule>
    <cfRule type="containsText" priority="17949" operator="containsText" dxfId="0" text="ICU N">
      <formula>NOT(ISERROR(SEARCH(("ICU N"),(I35))))</formula>
    </cfRule>
    <cfRule type="containsText" priority="17950" operator="containsText" dxfId="3" text="ICU">
      <formula>NOT(ISERROR(SEARCH(("ICU"),(I35))))</formula>
    </cfRule>
    <cfRule type="containsText" priority="17951" operator="containsText" dxfId="0" text="SWING">
      <formula>NOT(ISERROR(SEARCH(("SWING"),(I35))))</formula>
    </cfRule>
    <cfRule type="containsText" priority="17952" operator="containsText" dxfId="0" text="NF">
      <formula>NOT(ISERROR(SEARCH(("NF"),(I35))))</formula>
    </cfRule>
    <cfRule type="containsText" priority="17953" operator="containsText" dxfId="0" text="ICU N">
      <formula>NOT(ISERROR(SEARCH(("ICU N"),(I35))))</formula>
    </cfRule>
    <cfRule type="containsText" priority="17918" operator="containsText" dxfId="16" text="ED">
      <formula>NOT(ISERROR(SEARCH(("ED"),(I35))))</formula>
    </cfRule>
    <cfRule type="containsText" priority="17919" operator="containsText" dxfId="15" text="GERIATRIC">
      <formula>NOT(ISERROR(SEARCH(("GERIATRIC"),(I35))))</formula>
    </cfRule>
    <cfRule type="containsText" priority="17920" operator="containsText" dxfId="17" text="VACATION">
      <formula>NOT(ISERROR(SEARCH(("VACATION"),(I35))))</formula>
    </cfRule>
    <cfRule type="containsText" priority="17921" operator="containsText" dxfId="7" text="PATH">
      <formula>NOT(ISERROR(SEARCH(("PATH"),(I35))))</formula>
    </cfRule>
    <cfRule type="containsText" priority="17922" operator="containsText" dxfId="7" text="NEPHRO">
      <formula>NOT(ISERROR(SEARCH(("NEPHRO"),(I35))))</formula>
    </cfRule>
    <cfRule type="containsText" priority="17923" operator="containsText" dxfId="7" text="PULM">
      <formula>NOT(ISERROR(SEARCH(("PULM"),(I35))))</formula>
    </cfRule>
    <cfRule type="containsText" priority="17924" operator="containsText" dxfId="7" text="RADIOLOGY">
      <formula>NOT(ISERROR(SEARCH(("RADIOLOGY"),(I35))))</formula>
    </cfRule>
    <cfRule type="containsText" priority="17925" operator="containsText" dxfId="7" text="HEM/ONC">
      <formula>NOT(ISERROR(SEARCH(("HEM/ONC"),(I35))))</formula>
    </cfRule>
    <cfRule type="containsText" priority="17926" operator="containsText" dxfId="7" text="CARDIO">
      <formula>NOT(ISERROR(SEARCH(("CARDIO"),(I35))))</formula>
    </cfRule>
    <cfRule type="containsText" priority="17927" operator="containsText" dxfId="7" text="ID">
      <formula>NOT(ISERROR(SEARCH(("ID"),(I35))))</formula>
    </cfRule>
    <cfRule type="containsText" priority="17928" operator="containsText" dxfId="7" text="NEURO">
      <formula>NOT(ISERROR(SEARCH(("NEURO"),(I35))))</formula>
    </cfRule>
    <cfRule type="containsText" priority="17929" operator="containsText" dxfId="6" text="NEURO">
      <formula>NOT(ISERROR(SEARCH(("NEURO"),(I35))))</formula>
    </cfRule>
    <cfRule type="containsText" priority="17930" operator="containsText" dxfId="5" text="NEURO">
      <formula>NOT(ISERROR(SEARCH(("NEURO"),(I35))))</formula>
    </cfRule>
    <cfRule type="containsText" priority="17931" operator="containsText" dxfId="0" text="ICU N">
      <formula>NOT(ISERROR(SEARCH(("ICU N"),(I35))))</formula>
    </cfRule>
    <cfRule type="containsText" priority="17932" operator="containsText" dxfId="3" text="ICU">
      <formula>NOT(ISERROR(SEARCH(("ICU"),(I35))))</formula>
    </cfRule>
    <cfRule type="containsText" priority="17933" operator="containsText" dxfId="0" text="SWING">
      <formula>NOT(ISERROR(SEARCH(("SWING"),(I35))))</formula>
    </cfRule>
    <cfRule type="containsText" priority="17934" operator="containsText" dxfId="0" text="NF">
      <formula>NOT(ISERROR(SEARCH(("NF"),(I35))))</formula>
    </cfRule>
    <cfRule type="containsText" priority="17935" operator="containsText" dxfId="0" text="ICU N">
      <formula>NOT(ISERROR(SEARCH(("ICU N"),(I35))))</formula>
    </cfRule>
  </conditionalFormatting>
  <conditionalFormatting sqref="L51">
    <cfRule type="containsText" priority="17897" operator="containsText" dxfId="16" text="ED">
      <formula>NOT(ISERROR(SEARCH(("ED"),(L51))))</formula>
    </cfRule>
    <cfRule type="containsText" priority="17898" operator="containsText" dxfId="17" text="VACATION">
      <formula>NOT(ISERROR(SEARCH(("VACATION"),(L51))))</formula>
    </cfRule>
    <cfRule type="containsText" priority="17899" operator="containsText" dxfId="0" text="ICU N">
      <formula>NOT(ISERROR(SEARCH(("ICU N"),(L51))))</formula>
    </cfRule>
  </conditionalFormatting>
  <conditionalFormatting sqref="M51">
    <cfRule type="containsText" priority="17894" operator="containsText" dxfId="16" text="ED">
      <formula>NOT(ISERROR(SEARCH(("ED"),(M51))))</formula>
    </cfRule>
    <cfRule type="containsText" priority="17895" operator="containsText" dxfId="17" text="VACATION">
      <formula>NOT(ISERROR(SEARCH(("VACATION"),(M51))))</formula>
    </cfRule>
    <cfRule type="containsText" priority="17896" operator="containsText" dxfId="0" text="ICU N">
      <formula>NOT(ISERROR(SEARCH(("ICU N"),(M51))))</formula>
    </cfRule>
  </conditionalFormatting>
  <conditionalFormatting sqref="J37">
    <cfRule type="containsText" priority="17877" operator="containsText" dxfId="17" text="VACATION">
      <formula>NOT(ISERROR(SEARCH(("VACATION"),(J37))))</formula>
    </cfRule>
    <cfRule type="containsText" priority="17878" operator="containsText" dxfId="16" text="ED">
      <formula>NOT(ISERROR(SEARCH(("ED"),(J37))))</formula>
    </cfRule>
    <cfRule type="containsText" priority="17879" operator="containsText" dxfId="15" text="GERIATRIC">
      <formula>NOT(ISERROR(SEARCH(("GERIATRIC"),(J37))))</formula>
    </cfRule>
    <cfRule type="containsText" priority="17880" operator="containsText" dxfId="7" text="PATH">
      <formula>NOT(ISERROR(SEARCH(("PATH"),(J37))))</formula>
    </cfRule>
    <cfRule type="containsText" priority="17881" operator="containsText" dxfId="7" text="NEPHRO">
      <formula>NOT(ISERROR(SEARCH(("NEPHRO"),(J37))))</formula>
    </cfRule>
    <cfRule type="containsText" priority="17882" operator="containsText" dxfId="7" text="PULM">
      <formula>NOT(ISERROR(SEARCH(("PULM"),(J37))))</formula>
    </cfRule>
    <cfRule type="containsText" priority="17883" operator="containsText" dxfId="7" text="RADIOLOGY">
      <formula>NOT(ISERROR(SEARCH(("RADIOLOGY"),(J37))))</formula>
    </cfRule>
    <cfRule type="containsText" priority="17884" operator="containsText" dxfId="7" text="HEM/ONC">
      <formula>NOT(ISERROR(SEARCH(("HEM/ONC"),(J37))))</formula>
    </cfRule>
    <cfRule type="containsText" priority="17885" operator="containsText" dxfId="7" text="CARDIO">
      <formula>NOT(ISERROR(SEARCH(("CARDIO"),(J37))))</formula>
    </cfRule>
    <cfRule type="containsText" priority="17886" operator="containsText" dxfId="7" text="ID">
      <formula>NOT(ISERROR(SEARCH(("ID"),(J37))))</formula>
    </cfRule>
    <cfRule type="containsText" priority="17887" operator="containsText" dxfId="7" text="NEURO">
      <formula>NOT(ISERROR(SEARCH(("NEURO"),(J37))))</formula>
    </cfRule>
    <cfRule type="containsText" priority="17888" operator="containsText" dxfId="6" text="NEURO">
      <formula>NOT(ISERROR(SEARCH(("NEURO"),(J37))))</formula>
    </cfRule>
    <cfRule type="containsText" priority="17889" operator="containsText" dxfId="5" text="NEURO">
      <formula>NOT(ISERROR(SEARCH(("NEURO"),(J37))))</formula>
    </cfRule>
    <cfRule type="containsText" priority="17890" operator="containsText" dxfId="0" text="ICU N">
      <formula>NOT(ISERROR(SEARCH(("ICU N"),(J37))))</formula>
    </cfRule>
    <cfRule type="containsText" priority="17891" operator="containsText" dxfId="3" text="ICU">
      <formula>NOT(ISERROR(SEARCH(("ICU"),(J37))))</formula>
    </cfRule>
    <cfRule type="containsText" priority="17892" operator="containsText" dxfId="0" text="SWING">
      <formula>NOT(ISERROR(SEARCH(("SWING"),(J37))))</formula>
    </cfRule>
    <cfRule type="containsText" priority="17893" operator="containsText" dxfId="0" text="NF">
      <formula>NOT(ISERROR(SEARCH(("NF"),(J37))))</formula>
    </cfRule>
  </conditionalFormatting>
  <conditionalFormatting sqref="P58:S60">
    <cfRule type="containsText" priority="17858" operator="containsText" dxfId="16" text="ED">
      <formula>NOT(ISERROR(SEARCH(("ED"),(P58))))</formula>
    </cfRule>
    <cfRule type="containsText" priority="17859" operator="containsText" dxfId="15" text="GERIATRIC">
      <formula>NOT(ISERROR(SEARCH(("GERIATRIC"),(P58))))</formula>
    </cfRule>
    <cfRule type="containsText" priority="17860" operator="containsText" dxfId="17" text="VACATION">
      <formula>NOT(ISERROR(SEARCH(("VACATION"),(P58))))</formula>
    </cfRule>
    <cfRule type="containsText" priority="17861" operator="containsText" dxfId="7" text="PATH">
      <formula>NOT(ISERROR(SEARCH(("PATH"),(P58))))</formula>
    </cfRule>
    <cfRule type="containsText" priority="17862" operator="containsText" dxfId="7" text="NEPHRO">
      <formula>NOT(ISERROR(SEARCH(("NEPHRO"),(P58))))</formula>
    </cfRule>
    <cfRule type="containsText" priority="17863" operator="containsText" dxfId="7" text="PULM">
      <formula>NOT(ISERROR(SEARCH(("PULM"),(P58))))</formula>
    </cfRule>
    <cfRule type="containsText" priority="17864" operator="containsText" dxfId="7" text="RADIOLOGY">
      <formula>NOT(ISERROR(SEARCH(("RADIOLOGY"),(P58))))</formula>
    </cfRule>
    <cfRule type="containsText" priority="17865" operator="containsText" dxfId="7" text="HEM/ONC">
      <formula>NOT(ISERROR(SEARCH(("HEM/ONC"),(P58))))</formula>
    </cfRule>
    <cfRule type="containsText" priority="17866" operator="containsText" dxfId="7" text="CARDIO">
      <formula>NOT(ISERROR(SEARCH(("CARDIO"),(P58))))</formula>
    </cfRule>
    <cfRule type="containsText" priority="17867" operator="containsText" dxfId="7" text="ID">
      <formula>NOT(ISERROR(SEARCH(("ID"),(P58))))</formula>
    </cfRule>
    <cfRule type="containsText" priority="17868" operator="containsText" dxfId="7" text="NEURO">
      <formula>NOT(ISERROR(SEARCH(("NEURO"),(P58))))</formula>
    </cfRule>
    <cfRule type="containsText" priority="17869" operator="containsText" dxfId="6" text="NEURO">
      <formula>NOT(ISERROR(SEARCH(("NEURO"),(P58))))</formula>
    </cfRule>
    <cfRule type="containsText" priority="17870" operator="containsText" dxfId="5" text="NEURO">
      <formula>NOT(ISERROR(SEARCH(("NEURO"),(P58))))</formula>
    </cfRule>
    <cfRule type="containsText" priority="17871" operator="containsText" dxfId="0" text="ICU N">
      <formula>NOT(ISERROR(SEARCH(("ICU N"),(P58))))</formula>
    </cfRule>
    <cfRule type="containsText" priority="17872" operator="containsText" dxfId="3" text="ICU">
      <formula>NOT(ISERROR(SEARCH(("ICU"),(P58))))</formula>
    </cfRule>
    <cfRule type="containsText" priority="17873" operator="containsText" dxfId="0" text="SWING">
      <formula>NOT(ISERROR(SEARCH(("SWING"),(P58))))</formula>
    </cfRule>
    <cfRule type="containsText" priority="17874" operator="containsText" dxfId="0" text="NF">
      <formula>NOT(ISERROR(SEARCH(("NF"),(P58))))</formula>
    </cfRule>
    <cfRule type="containsText" priority="17875" operator="containsText" dxfId="0" text="ICU N">
      <formula>NOT(ISERROR(SEARCH(("ICU N"),(P58))))</formula>
    </cfRule>
  </conditionalFormatting>
  <conditionalFormatting sqref="T49:U49">
    <cfRule type="containsText" priority="17840" operator="containsText" dxfId="16" text="ED">
      <formula>NOT(ISERROR(SEARCH(("ED"),(T49))))</formula>
    </cfRule>
    <cfRule type="containsText" priority="17841" operator="containsText" dxfId="15" text="GERIATRIC">
      <formula>NOT(ISERROR(SEARCH(("GERIATRIC"),(T49))))</formula>
    </cfRule>
    <cfRule type="containsText" priority="17842" operator="containsText" dxfId="17" text="VACATION">
      <formula>NOT(ISERROR(SEARCH(("VACATION"),(T49))))</formula>
    </cfRule>
    <cfRule type="containsText" priority="17843" operator="containsText" dxfId="7" text="PATH">
      <formula>NOT(ISERROR(SEARCH(("PATH"),(T49))))</formula>
    </cfRule>
    <cfRule type="containsText" priority="17844" operator="containsText" dxfId="7" text="NEPHRO">
      <formula>NOT(ISERROR(SEARCH(("NEPHRO"),(T49))))</formula>
    </cfRule>
    <cfRule type="containsText" priority="17845" operator="containsText" dxfId="7" text="PULM">
      <formula>NOT(ISERROR(SEARCH(("PULM"),(T49))))</formula>
    </cfRule>
    <cfRule type="containsText" priority="17846" operator="containsText" dxfId="7" text="RADIOLOGY">
      <formula>NOT(ISERROR(SEARCH(("RADIOLOGY"),(T49))))</formula>
    </cfRule>
    <cfRule type="containsText" priority="17847" operator="containsText" dxfId="7" text="HEM/ONC">
      <formula>NOT(ISERROR(SEARCH(("HEM/ONC"),(T49))))</formula>
    </cfRule>
    <cfRule type="containsText" priority="17848" operator="containsText" dxfId="7" text="CARDIO">
      <formula>NOT(ISERROR(SEARCH(("CARDIO"),(T49))))</formula>
    </cfRule>
    <cfRule type="containsText" priority="17849" operator="containsText" dxfId="7" text="ID">
      <formula>NOT(ISERROR(SEARCH(("ID"),(T49))))</formula>
    </cfRule>
    <cfRule type="containsText" priority="17850" operator="containsText" dxfId="7" text="NEURO">
      <formula>NOT(ISERROR(SEARCH(("NEURO"),(T49))))</formula>
    </cfRule>
    <cfRule type="containsText" priority="17851" operator="containsText" dxfId="6" text="NEURO">
      <formula>NOT(ISERROR(SEARCH(("NEURO"),(T49))))</formula>
    </cfRule>
    <cfRule type="containsText" priority="17852" operator="containsText" dxfId="5" text="NEURO">
      <formula>NOT(ISERROR(SEARCH(("NEURO"),(T49))))</formula>
    </cfRule>
    <cfRule type="containsText" priority="17853" operator="containsText" dxfId="0" text="ICU N">
      <formula>NOT(ISERROR(SEARCH(("ICU N"),(T49))))</formula>
    </cfRule>
    <cfRule type="containsText" priority="17854" operator="containsText" dxfId="3" text="ICU">
      <formula>NOT(ISERROR(SEARCH(("ICU"),(T49))))</formula>
    </cfRule>
    <cfRule type="containsText" priority="17855" operator="containsText" dxfId="0" text="SWING">
      <formula>NOT(ISERROR(SEARCH(("SWING"),(T49))))</formula>
    </cfRule>
    <cfRule type="containsText" priority="17856" operator="containsText" dxfId="0" text="NF">
      <formula>NOT(ISERROR(SEARCH(("NF"),(T49))))</formula>
    </cfRule>
    <cfRule type="containsText" priority="17857" operator="containsText" dxfId="0" text="ICU N">
      <formula>NOT(ISERROR(SEARCH(("ICU N"),(T49))))</formula>
    </cfRule>
    <cfRule type="containsText" priority="17823" operator="containsText" dxfId="17" text="VACATION">
      <formula>NOT(ISERROR(SEARCH(("VACATION"),(T49))))</formula>
    </cfRule>
    <cfRule type="containsText" priority="17824" operator="containsText" dxfId="16" text="ED">
      <formula>NOT(ISERROR(SEARCH(("ED"),(T49))))</formula>
    </cfRule>
    <cfRule type="containsText" priority="17825" operator="containsText" dxfId="15" text="GERIATRIC">
      <formula>NOT(ISERROR(SEARCH(("GERIATRIC"),(T49))))</formula>
    </cfRule>
    <cfRule type="containsText" priority="17826" operator="containsText" dxfId="7" text="PATH">
      <formula>NOT(ISERROR(SEARCH(("PATH"),(T49))))</formula>
    </cfRule>
    <cfRule type="containsText" priority="17827" operator="containsText" dxfId="7" text="NEPHRO">
      <formula>NOT(ISERROR(SEARCH(("NEPHRO"),(T49))))</formula>
    </cfRule>
    <cfRule type="containsText" priority="17828" operator="containsText" dxfId="7" text="PULM">
      <formula>NOT(ISERROR(SEARCH(("PULM"),(T49))))</formula>
    </cfRule>
    <cfRule type="containsText" priority="17829" operator="containsText" dxfId="7" text="RADIOLOGY">
      <formula>NOT(ISERROR(SEARCH(("RADIOLOGY"),(T49))))</formula>
    </cfRule>
    <cfRule type="containsText" priority="17830" operator="containsText" dxfId="7" text="HEM/ONC">
      <formula>NOT(ISERROR(SEARCH(("HEM/ONC"),(T49))))</formula>
    </cfRule>
    <cfRule type="containsText" priority="17831" operator="containsText" dxfId="7" text="CARDIO">
      <formula>NOT(ISERROR(SEARCH(("CARDIO"),(T49))))</formula>
    </cfRule>
    <cfRule type="containsText" priority="17832" operator="containsText" dxfId="7" text="ID">
      <formula>NOT(ISERROR(SEARCH(("ID"),(T49))))</formula>
    </cfRule>
    <cfRule type="containsText" priority="17833" operator="containsText" dxfId="7" text="NEURO">
      <formula>NOT(ISERROR(SEARCH(("NEURO"),(T49))))</formula>
    </cfRule>
    <cfRule type="containsText" priority="17834" operator="containsText" dxfId="6" text="NEURO">
      <formula>NOT(ISERROR(SEARCH(("NEURO"),(T49))))</formula>
    </cfRule>
    <cfRule type="containsText" priority="17835" operator="containsText" dxfId="5" text="NEURO">
      <formula>NOT(ISERROR(SEARCH(("NEURO"),(T49))))</formula>
    </cfRule>
    <cfRule type="containsText" priority="17836" operator="containsText" dxfId="0" text="ICU N">
      <formula>NOT(ISERROR(SEARCH(("ICU N"),(T49))))</formula>
    </cfRule>
    <cfRule type="containsText" priority="17837" operator="containsText" dxfId="3" text="ICU">
      <formula>NOT(ISERROR(SEARCH(("ICU"),(T49))))</formula>
    </cfRule>
    <cfRule type="containsText" priority="17838" operator="containsText" dxfId="0" text="SWING">
      <formula>NOT(ISERROR(SEARCH(("SWING"),(T49))))</formula>
    </cfRule>
    <cfRule type="containsText" priority="17839" operator="containsText" dxfId="0" text="NF">
      <formula>NOT(ISERROR(SEARCH(("NF"),(T49))))</formula>
    </cfRule>
    <cfRule type="containsText" priority="17808" operator="containsText" dxfId="7" text="PATH">
      <formula>NOT(ISERROR(SEARCH(("PATH"),(T49))))</formula>
    </cfRule>
    <cfRule type="containsText" priority="17809" operator="containsText" dxfId="7" text="NEPHRO">
      <formula>NOT(ISERROR(SEARCH(("NEPHRO"),(T49))))</formula>
    </cfRule>
    <cfRule type="containsText" priority="17810" operator="containsText" dxfId="7" text="PULM">
      <formula>NOT(ISERROR(SEARCH(("PULM"),(T49))))</formula>
    </cfRule>
    <cfRule type="containsText" priority="17811" operator="containsText" dxfId="7" text="RADIOLOGY">
      <formula>NOT(ISERROR(SEARCH(("RADIOLOGY"),(T49))))</formula>
    </cfRule>
    <cfRule type="containsText" priority="17812" operator="containsText" dxfId="7" text="HEM/ONC">
      <formula>NOT(ISERROR(SEARCH(("HEM/ONC"),(T49))))</formula>
    </cfRule>
    <cfRule type="containsText" priority="17813" operator="containsText" dxfId="7" text="CARDIO">
      <formula>NOT(ISERROR(SEARCH(("CARDIO"),(T49))))</formula>
    </cfRule>
    <cfRule type="containsText" priority="17814" operator="containsText" dxfId="7" text="ID">
      <formula>NOT(ISERROR(SEARCH(("ID"),(T49))))</formula>
    </cfRule>
    <cfRule type="containsText" priority="17815" operator="containsText" dxfId="7" text="NEURO">
      <formula>NOT(ISERROR(SEARCH(("NEURO"),(T49))))</formula>
    </cfRule>
    <cfRule type="containsText" priority="17816" operator="containsText" dxfId="6" text="NEURO">
      <formula>NOT(ISERROR(SEARCH(("NEURO"),(T49))))</formula>
    </cfRule>
    <cfRule type="containsText" priority="17817" operator="containsText" dxfId="5" text="NEURO">
      <formula>NOT(ISERROR(SEARCH(("NEURO"),(T49))))</formula>
    </cfRule>
    <cfRule type="containsText" priority="17818" operator="containsText" dxfId="0" text="ICU N">
      <formula>NOT(ISERROR(SEARCH(("ICU N"),(T49))))</formula>
    </cfRule>
    <cfRule type="containsText" priority="17819" operator="containsText" dxfId="3" text="ICU">
      <formula>NOT(ISERROR(SEARCH(("ICU"),(T49))))</formula>
    </cfRule>
    <cfRule type="containsText" priority="17820" operator="containsText" dxfId="0" text="SWING">
      <formula>NOT(ISERROR(SEARCH(("SWING"),(T49))))</formula>
    </cfRule>
    <cfRule type="containsText" priority="17821" operator="containsText" dxfId="0" text="NF">
      <formula>NOT(ISERROR(SEARCH(("NF"),(T49))))</formula>
    </cfRule>
    <cfRule type="containsText" priority="17822" operator="containsText" dxfId="0" text="ICU N">
      <formula>NOT(ISERROR(SEARCH(("ICU N"),(T49))))</formula>
    </cfRule>
  </conditionalFormatting>
  <conditionalFormatting sqref="T57:W59 X53:AA54 X55:Y55 X56:Z56 X57:AA61 AA51:AA52">
    <cfRule type="containsText" priority="17790" operator="containsText" dxfId="16" text="ED">
      <formula>NOT(ISERROR(SEARCH(("ED"),(T51))))</formula>
    </cfRule>
    <cfRule type="containsText" priority="17791" operator="containsText" dxfId="15" text="GERIATRIC">
      <formula>NOT(ISERROR(SEARCH(("GERIATRIC"),(T51))))</formula>
    </cfRule>
    <cfRule type="containsText" priority="17792" operator="containsText" dxfId="17" text="VACATION">
      <formula>NOT(ISERROR(SEARCH(("VACATION"),(T51))))</formula>
    </cfRule>
    <cfRule type="containsText" priority="17793" operator="containsText" dxfId="7" text="PATH">
      <formula>NOT(ISERROR(SEARCH(("PATH"),(T51))))</formula>
    </cfRule>
    <cfRule type="containsText" priority="17794" operator="containsText" dxfId="7" text="NEPHRO">
      <formula>NOT(ISERROR(SEARCH(("NEPHRO"),(T51))))</formula>
    </cfRule>
    <cfRule type="containsText" priority="17795" operator="containsText" dxfId="7" text="PULM">
      <formula>NOT(ISERROR(SEARCH(("PULM"),(T51))))</formula>
    </cfRule>
    <cfRule type="containsText" priority="17796" operator="containsText" dxfId="7" text="RADIOLOGY">
      <formula>NOT(ISERROR(SEARCH(("RADIOLOGY"),(T51))))</formula>
    </cfRule>
    <cfRule type="containsText" priority="17797" operator="containsText" dxfId="7" text="HEM/ONC">
      <formula>NOT(ISERROR(SEARCH(("HEM/ONC"),(T51))))</formula>
    </cfRule>
    <cfRule type="containsText" priority="17798" operator="containsText" dxfId="7" text="CARDIO">
      <formula>NOT(ISERROR(SEARCH(("CARDIO"),(T51))))</formula>
    </cfRule>
    <cfRule type="containsText" priority="17799" operator="containsText" dxfId="7" text="ID">
      <formula>NOT(ISERROR(SEARCH(("ID"),(T51))))</formula>
    </cfRule>
    <cfRule type="containsText" priority="17800" operator="containsText" dxfId="7" text="NEURO">
      <formula>NOT(ISERROR(SEARCH(("NEURO"),(T51))))</formula>
    </cfRule>
    <cfRule type="containsText" priority="17801" operator="containsText" dxfId="6" text="NEURO">
      <formula>NOT(ISERROR(SEARCH(("NEURO"),(T51))))</formula>
    </cfRule>
    <cfRule type="containsText" priority="17802" operator="containsText" dxfId="5" text="NEURO">
      <formula>NOT(ISERROR(SEARCH(("NEURO"),(T51))))</formula>
    </cfRule>
    <cfRule type="containsText" priority="17803" operator="containsText" dxfId="0" text="ICU N">
      <formula>NOT(ISERROR(SEARCH(("ICU N"),(T51))))</formula>
    </cfRule>
    <cfRule type="containsText" priority="17804" operator="containsText" dxfId="3" text="ICU">
      <formula>NOT(ISERROR(SEARCH(("ICU"),(T51))))</formula>
    </cfRule>
    <cfRule type="containsText" priority="17805" operator="containsText" dxfId="0" text="SWING">
      <formula>NOT(ISERROR(SEARCH(("SWING"),(T51))))</formula>
    </cfRule>
    <cfRule type="containsText" priority="17806" operator="containsText" dxfId="0" text="NF">
      <formula>NOT(ISERROR(SEARCH(("NF"),(T51))))</formula>
    </cfRule>
    <cfRule type="containsText" priority="17807" operator="containsText" dxfId="0" text="ICU N">
      <formula>NOT(ISERROR(SEARCH(("ICU N"),(T51))))</formula>
    </cfRule>
    <cfRule type="containsText" priority="17773" operator="containsText" dxfId="17" text="VACATION">
      <formula>NOT(ISERROR(SEARCH(("VACATION"),(T51))))</formula>
    </cfRule>
    <cfRule type="containsText" priority="17774" operator="containsText" dxfId="16" text="ED">
      <formula>NOT(ISERROR(SEARCH(("ED"),(T51))))</formula>
    </cfRule>
    <cfRule type="containsText" priority="17775" operator="containsText" dxfId="15" text="GERIATRIC">
      <formula>NOT(ISERROR(SEARCH(("GERIATRIC"),(T51))))</formula>
    </cfRule>
    <cfRule type="containsText" priority="17776" operator="containsText" dxfId="7" text="PATH">
      <formula>NOT(ISERROR(SEARCH(("PATH"),(T51))))</formula>
    </cfRule>
    <cfRule type="containsText" priority="17777" operator="containsText" dxfId="7" text="NEPHRO">
      <formula>NOT(ISERROR(SEARCH(("NEPHRO"),(T51))))</formula>
    </cfRule>
    <cfRule type="containsText" priority="17778" operator="containsText" dxfId="7" text="PULM">
      <formula>NOT(ISERROR(SEARCH(("PULM"),(T51))))</formula>
    </cfRule>
    <cfRule type="containsText" priority="17779" operator="containsText" dxfId="7" text="RADIOLOGY">
      <formula>NOT(ISERROR(SEARCH(("RADIOLOGY"),(T51))))</formula>
    </cfRule>
    <cfRule type="containsText" priority="17780" operator="containsText" dxfId="7" text="HEM/ONC">
      <formula>NOT(ISERROR(SEARCH(("HEM/ONC"),(T51))))</formula>
    </cfRule>
    <cfRule type="containsText" priority="17781" operator="containsText" dxfId="7" text="CARDIO">
      <formula>NOT(ISERROR(SEARCH(("CARDIO"),(T51))))</formula>
    </cfRule>
    <cfRule type="containsText" priority="17782" operator="containsText" dxfId="7" text="ID">
      <formula>NOT(ISERROR(SEARCH(("ID"),(T51))))</formula>
    </cfRule>
    <cfRule type="containsText" priority="17783" operator="containsText" dxfId="7" text="NEURO">
      <formula>NOT(ISERROR(SEARCH(("NEURO"),(T51))))</formula>
    </cfRule>
    <cfRule type="containsText" priority="17784" operator="containsText" dxfId="6" text="NEURO">
      <formula>NOT(ISERROR(SEARCH(("NEURO"),(T51))))</formula>
    </cfRule>
    <cfRule type="containsText" priority="17785" operator="containsText" dxfId="5" text="NEURO">
      <formula>NOT(ISERROR(SEARCH(("NEURO"),(T51))))</formula>
    </cfRule>
    <cfRule type="containsText" priority="17786" operator="containsText" dxfId="0" text="ICU N">
      <formula>NOT(ISERROR(SEARCH(("ICU N"),(T51))))</formula>
    </cfRule>
    <cfRule type="containsText" priority="17787" operator="containsText" dxfId="3" text="ICU">
      <formula>NOT(ISERROR(SEARCH(("ICU"),(T51))))</formula>
    </cfRule>
    <cfRule type="containsText" priority="17788" operator="containsText" dxfId="0" text="SWING">
      <formula>NOT(ISERROR(SEARCH(("SWING"),(T51))))</formula>
    </cfRule>
    <cfRule type="containsText" priority="17789" operator="containsText" dxfId="0" text="NF">
      <formula>NOT(ISERROR(SEARCH(("NF"),(T51))))</formula>
    </cfRule>
    <cfRule type="containsText" priority="17758" operator="containsText" dxfId="7" text="PATH">
      <formula>NOT(ISERROR(SEARCH(("PATH"),(T51))))</formula>
    </cfRule>
    <cfRule type="containsText" priority="17759" operator="containsText" dxfId="7" text="NEPHRO">
      <formula>NOT(ISERROR(SEARCH(("NEPHRO"),(T51))))</formula>
    </cfRule>
    <cfRule type="containsText" priority="17760" operator="containsText" dxfId="7" text="PULM">
      <formula>NOT(ISERROR(SEARCH(("PULM"),(T51))))</formula>
    </cfRule>
    <cfRule type="containsText" priority="17761" operator="containsText" dxfId="7" text="RADIOLOGY">
      <formula>NOT(ISERROR(SEARCH(("RADIOLOGY"),(T51))))</formula>
    </cfRule>
    <cfRule type="containsText" priority="17762" operator="containsText" dxfId="7" text="HEM/ONC">
      <formula>NOT(ISERROR(SEARCH(("HEM/ONC"),(T51))))</formula>
    </cfRule>
    <cfRule type="containsText" priority="17763" operator="containsText" dxfId="7" text="CARDIO">
      <formula>NOT(ISERROR(SEARCH(("CARDIO"),(T51))))</formula>
    </cfRule>
    <cfRule type="containsText" priority="17764" operator="containsText" dxfId="7" text="ID">
      <formula>NOT(ISERROR(SEARCH(("ID"),(T51))))</formula>
    </cfRule>
    <cfRule type="containsText" priority="17765" operator="containsText" dxfId="7" text="NEURO">
      <formula>NOT(ISERROR(SEARCH(("NEURO"),(T51))))</formula>
    </cfRule>
    <cfRule type="containsText" priority="17766" operator="containsText" dxfId="6" text="NEURO">
      <formula>NOT(ISERROR(SEARCH(("NEURO"),(T51))))</formula>
    </cfRule>
    <cfRule type="containsText" priority="17767" operator="containsText" dxfId="5" text="NEURO">
      <formula>NOT(ISERROR(SEARCH(("NEURO"),(T51))))</formula>
    </cfRule>
    <cfRule type="containsText" priority="17768" operator="containsText" dxfId="0" text="ICU N">
      <formula>NOT(ISERROR(SEARCH(("ICU N"),(T51))))</formula>
    </cfRule>
    <cfRule type="containsText" priority="17769" operator="containsText" dxfId="3" text="ICU">
      <formula>NOT(ISERROR(SEARCH(("ICU"),(T51))))</formula>
    </cfRule>
    <cfRule type="containsText" priority="17770" operator="containsText" dxfId="0" text="SWING">
      <formula>NOT(ISERROR(SEARCH(("SWING"),(T51))))</formula>
    </cfRule>
    <cfRule type="containsText" priority="17771" operator="containsText" dxfId="0" text="NF">
      <formula>NOT(ISERROR(SEARCH(("NF"),(T51))))</formula>
    </cfRule>
    <cfRule type="containsText" priority="17772" operator="containsText" dxfId="0" text="ICU N">
      <formula>NOT(ISERROR(SEARCH(("ICU N"),(T51))))</formula>
    </cfRule>
  </conditionalFormatting>
  <conditionalFormatting sqref="T61">
    <cfRule type="containsText" priority="17740" operator="containsText" dxfId="16" text="ED">
      <formula>NOT(ISERROR(SEARCH(("ED"),(T61))))</formula>
    </cfRule>
    <cfRule type="containsText" priority="17741" operator="containsText" dxfId="15" text="GERIATRIC">
      <formula>NOT(ISERROR(SEARCH(("GERIATRIC"),(T61))))</formula>
    </cfRule>
    <cfRule type="containsText" priority="17742" operator="containsText" dxfId="17" text="VACATION">
      <formula>NOT(ISERROR(SEARCH(("VACATION"),(T61))))</formula>
    </cfRule>
    <cfRule type="containsText" priority="17743" operator="containsText" dxfId="7" text="PATH">
      <formula>NOT(ISERROR(SEARCH(("PATH"),(T61))))</formula>
    </cfRule>
    <cfRule type="containsText" priority="17744" operator="containsText" dxfId="7" text="NEPHRO">
      <formula>NOT(ISERROR(SEARCH(("NEPHRO"),(T61))))</formula>
    </cfRule>
    <cfRule type="containsText" priority="17745" operator="containsText" dxfId="7" text="PULM">
      <formula>NOT(ISERROR(SEARCH(("PULM"),(T61))))</formula>
    </cfRule>
    <cfRule type="containsText" priority="17746" operator="containsText" dxfId="7" text="RADIOLOGY">
      <formula>NOT(ISERROR(SEARCH(("RADIOLOGY"),(T61))))</formula>
    </cfRule>
    <cfRule type="containsText" priority="17747" operator="containsText" dxfId="7" text="HEM/ONC">
      <formula>NOT(ISERROR(SEARCH(("HEM/ONC"),(T61))))</formula>
    </cfRule>
    <cfRule type="containsText" priority="17748" operator="containsText" dxfId="7" text="CARDIO">
      <formula>NOT(ISERROR(SEARCH(("CARDIO"),(T61))))</formula>
    </cfRule>
    <cfRule type="containsText" priority="17749" operator="containsText" dxfId="7" text="ID">
      <formula>NOT(ISERROR(SEARCH(("ID"),(T61))))</formula>
    </cfRule>
    <cfRule type="containsText" priority="17750" operator="containsText" dxfId="7" text="NEURO">
      <formula>NOT(ISERROR(SEARCH(("NEURO"),(T61))))</formula>
    </cfRule>
    <cfRule type="containsText" priority="17751" operator="containsText" dxfId="6" text="NEURO">
      <formula>NOT(ISERROR(SEARCH(("NEURO"),(T61))))</formula>
    </cfRule>
    <cfRule type="containsText" priority="17752" operator="containsText" dxfId="5" text="NEURO">
      <formula>NOT(ISERROR(SEARCH(("NEURO"),(T61))))</formula>
    </cfRule>
    <cfRule type="containsText" priority="17753" operator="containsText" dxfId="0" text="ICU N">
      <formula>NOT(ISERROR(SEARCH(("ICU N"),(T61))))</formula>
    </cfRule>
    <cfRule type="containsText" priority="17754" operator="containsText" dxfId="3" text="ICU">
      <formula>NOT(ISERROR(SEARCH(("ICU"),(T61))))</formula>
    </cfRule>
    <cfRule type="containsText" priority="17755" operator="containsText" dxfId="0" text="SWING">
      <formula>NOT(ISERROR(SEARCH(("SWING"),(T61))))</formula>
    </cfRule>
    <cfRule type="containsText" priority="17756" operator="containsText" dxfId="0" text="NF">
      <formula>NOT(ISERROR(SEARCH(("NF"),(T61))))</formula>
    </cfRule>
    <cfRule type="containsText" priority="17757" operator="containsText" dxfId="0" text="ICU N">
      <formula>NOT(ISERROR(SEARCH(("ICU N"),(T61))))</formula>
    </cfRule>
    <cfRule type="containsText" priority="17723" operator="containsText" dxfId="17" text="VACATION">
      <formula>NOT(ISERROR(SEARCH(("VACATION"),(T61))))</formula>
    </cfRule>
    <cfRule type="containsText" priority="17724" operator="containsText" dxfId="16" text="ED">
      <formula>NOT(ISERROR(SEARCH(("ED"),(T61))))</formula>
    </cfRule>
    <cfRule type="containsText" priority="17725" operator="containsText" dxfId="15" text="GERIATRIC">
      <formula>NOT(ISERROR(SEARCH(("GERIATRIC"),(T61))))</formula>
    </cfRule>
    <cfRule type="containsText" priority="17726" operator="containsText" dxfId="7" text="PATH">
      <formula>NOT(ISERROR(SEARCH(("PATH"),(T61))))</formula>
    </cfRule>
    <cfRule type="containsText" priority="17727" operator="containsText" dxfId="7" text="NEPHRO">
      <formula>NOT(ISERROR(SEARCH(("NEPHRO"),(T61))))</formula>
    </cfRule>
    <cfRule type="containsText" priority="17728" operator="containsText" dxfId="7" text="PULM">
      <formula>NOT(ISERROR(SEARCH(("PULM"),(T61))))</formula>
    </cfRule>
    <cfRule type="containsText" priority="17729" operator="containsText" dxfId="7" text="RADIOLOGY">
      <formula>NOT(ISERROR(SEARCH(("RADIOLOGY"),(T61))))</formula>
    </cfRule>
    <cfRule type="containsText" priority="17730" operator="containsText" dxfId="7" text="HEM/ONC">
      <formula>NOT(ISERROR(SEARCH(("HEM/ONC"),(T61))))</formula>
    </cfRule>
    <cfRule type="containsText" priority="17731" operator="containsText" dxfId="7" text="CARDIO">
      <formula>NOT(ISERROR(SEARCH(("CARDIO"),(T61))))</formula>
    </cfRule>
    <cfRule type="containsText" priority="17732" operator="containsText" dxfId="7" text="ID">
      <formula>NOT(ISERROR(SEARCH(("ID"),(T61))))</formula>
    </cfRule>
    <cfRule type="containsText" priority="17733" operator="containsText" dxfId="7" text="NEURO">
      <formula>NOT(ISERROR(SEARCH(("NEURO"),(T61))))</formula>
    </cfRule>
    <cfRule type="containsText" priority="17734" operator="containsText" dxfId="6" text="NEURO">
      <formula>NOT(ISERROR(SEARCH(("NEURO"),(T61))))</formula>
    </cfRule>
    <cfRule type="containsText" priority="17735" operator="containsText" dxfId="5" text="NEURO">
      <formula>NOT(ISERROR(SEARCH(("NEURO"),(T61))))</formula>
    </cfRule>
    <cfRule type="containsText" priority="17736" operator="containsText" dxfId="0" text="ICU N">
      <formula>NOT(ISERROR(SEARCH(("ICU N"),(T61))))</formula>
    </cfRule>
    <cfRule type="containsText" priority="17737" operator="containsText" dxfId="3" text="ICU">
      <formula>NOT(ISERROR(SEARCH(("ICU"),(T61))))</formula>
    </cfRule>
    <cfRule type="containsText" priority="17738" operator="containsText" dxfId="0" text="SWING">
      <formula>NOT(ISERROR(SEARCH(("SWING"),(T61))))</formula>
    </cfRule>
    <cfRule type="containsText" priority="17739" operator="containsText" dxfId="0" text="NF">
      <formula>NOT(ISERROR(SEARCH(("NF"),(T61))))</formula>
    </cfRule>
    <cfRule type="containsText" priority="17708" operator="containsText" dxfId="7" text="PATH">
      <formula>NOT(ISERROR(SEARCH(("PATH"),(T61))))</formula>
    </cfRule>
    <cfRule type="containsText" priority="17709" operator="containsText" dxfId="7" text="NEPHRO">
      <formula>NOT(ISERROR(SEARCH(("NEPHRO"),(T61))))</formula>
    </cfRule>
    <cfRule type="containsText" priority="17710" operator="containsText" dxfId="7" text="PULM">
      <formula>NOT(ISERROR(SEARCH(("PULM"),(T61))))</formula>
    </cfRule>
    <cfRule type="containsText" priority="17711" operator="containsText" dxfId="7" text="RADIOLOGY">
      <formula>NOT(ISERROR(SEARCH(("RADIOLOGY"),(T61))))</formula>
    </cfRule>
    <cfRule type="containsText" priority="17712" operator="containsText" dxfId="7" text="HEM/ONC">
      <formula>NOT(ISERROR(SEARCH(("HEM/ONC"),(T61))))</formula>
    </cfRule>
    <cfRule type="containsText" priority="17713" operator="containsText" dxfId="7" text="CARDIO">
      <formula>NOT(ISERROR(SEARCH(("CARDIO"),(T61))))</formula>
    </cfRule>
    <cfRule type="containsText" priority="17714" operator="containsText" dxfId="7" text="ID">
      <formula>NOT(ISERROR(SEARCH(("ID"),(T61))))</formula>
    </cfRule>
    <cfRule type="containsText" priority="17715" operator="containsText" dxfId="7" text="NEURO">
      <formula>NOT(ISERROR(SEARCH(("NEURO"),(T61))))</formula>
    </cfRule>
    <cfRule type="containsText" priority="17716" operator="containsText" dxfId="6" text="NEURO">
      <formula>NOT(ISERROR(SEARCH(("NEURO"),(T61))))</formula>
    </cfRule>
    <cfRule type="containsText" priority="17717" operator="containsText" dxfId="5" text="NEURO">
      <formula>NOT(ISERROR(SEARCH(("NEURO"),(T61))))</formula>
    </cfRule>
    <cfRule type="containsText" priority="17718" operator="containsText" dxfId="0" text="ICU N">
      <formula>NOT(ISERROR(SEARCH(("ICU N"),(T61))))</formula>
    </cfRule>
    <cfRule type="containsText" priority="17719" operator="containsText" dxfId="3" text="ICU">
      <formula>NOT(ISERROR(SEARCH(("ICU"),(T61))))</formula>
    </cfRule>
    <cfRule type="containsText" priority="17720" operator="containsText" dxfId="0" text="SWING">
      <formula>NOT(ISERROR(SEARCH(("SWING"),(T61))))</formula>
    </cfRule>
    <cfRule type="containsText" priority="17721" operator="containsText" dxfId="0" text="NF">
      <formula>NOT(ISERROR(SEARCH(("NF"),(T61))))</formula>
    </cfRule>
    <cfRule type="containsText" priority="17722" operator="containsText" dxfId="0" text="ICU N">
      <formula>NOT(ISERROR(SEARCH(("ICU N"),(T61))))</formula>
    </cfRule>
  </conditionalFormatting>
  <conditionalFormatting sqref="U61">
    <cfRule type="containsText" priority="17690" operator="containsText" dxfId="16" text="ED">
      <formula>NOT(ISERROR(SEARCH(("ED"),(U61))))</formula>
    </cfRule>
    <cfRule type="containsText" priority="17691" operator="containsText" dxfId="15" text="GERIATRIC">
      <formula>NOT(ISERROR(SEARCH(("GERIATRIC"),(U61))))</formula>
    </cfRule>
    <cfRule type="containsText" priority="17692" operator="containsText" dxfId="17" text="VACATION">
      <formula>NOT(ISERROR(SEARCH(("VACATION"),(U61))))</formula>
    </cfRule>
    <cfRule type="containsText" priority="17693" operator="containsText" dxfId="7" text="PATH">
      <formula>NOT(ISERROR(SEARCH(("PATH"),(U61))))</formula>
    </cfRule>
    <cfRule type="containsText" priority="17694" operator="containsText" dxfId="7" text="NEPHRO">
      <formula>NOT(ISERROR(SEARCH(("NEPHRO"),(U61))))</formula>
    </cfRule>
    <cfRule type="containsText" priority="17695" operator="containsText" dxfId="7" text="PULM">
      <formula>NOT(ISERROR(SEARCH(("PULM"),(U61))))</formula>
    </cfRule>
    <cfRule type="containsText" priority="17696" operator="containsText" dxfId="7" text="RADIOLOGY">
      <formula>NOT(ISERROR(SEARCH(("RADIOLOGY"),(U61))))</formula>
    </cfRule>
    <cfRule type="containsText" priority="17697" operator="containsText" dxfId="7" text="HEM/ONC">
      <formula>NOT(ISERROR(SEARCH(("HEM/ONC"),(U61))))</formula>
    </cfRule>
    <cfRule type="containsText" priority="17698" operator="containsText" dxfId="7" text="CARDIO">
      <formula>NOT(ISERROR(SEARCH(("CARDIO"),(U61))))</formula>
    </cfRule>
    <cfRule type="containsText" priority="17699" operator="containsText" dxfId="7" text="ID">
      <formula>NOT(ISERROR(SEARCH(("ID"),(U61))))</formula>
    </cfRule>
    <cfRule type="containsText" priority="17700" operator="containsText" dxfId="7" text="NEURO">
      <formula>NOT(ISERROR(SEARCH(("NEURO"),(U61))))</formula>
    </cfRule>
    <cfRule type="containsText" priority="17701" operator="containsText" dxfId="6" text="NEURO">
      <formula>NOT(ISERROR(SEARCH(("NEURO"),(U61))))</formula>
    </cfRule>
    <cfRule type="containsText" priority="17702" operator="containsText" dxfId="5" text="NEURO">
      <formula>NOT(ISERROR(SEARCH(("NEURO"),(U61))))</formula>
    </cfRule>
    <cfRule type="containsText" priority="17703" operator="containsText" dxfId="0" text="ICU N">
      <formula>NOT(ISERROR(SEARCH(("ICU N"),(U61))))</formula>
    </cfRule>
    <cfRule type="containsText" priority="17704" operator="containsText" dxfId="3" text="ICU">
      <formula>NOT(ISERROR(SEARCH(("ICU"),(U61))))</formula>
    </cfRule>
    <cfRule type="containsText" priority="17705" operator="containsText" dxfId="0" text="SWING">
      <formula>NOT(ISERROR(SEARCH(("SWING"),(U61))))</formula>
    </cfRule>
    <cfRule type="containsText" priority="17706" operator="containsText" dxfId="0" text="NF">
      <formula>NOT(ISERROR(SEARCH(("NF"),(U61))))</formula>
    </cfRule>
    <cfRule type="containsText" priority="17707" operator="containsText" dxfId="0" text="ICU N">
      <formula>NOT(ISERROR(SEARCH(("ICU N"),(U61))))</formula>
    </cfRule>
    <cfRule type="containsText" priority="17673" operator="containsText" dxfId="17" text="VACATION">
      <formula>NOT(ISERROR(SEARCH(("VACATION"),(U61))))</formula>
    </cfRule>
    <cfRule type="containsText" priority="17674" operator="containsText" dxfId="16" text="ED">
      <formula>NOT(ISERROR(SEARCH(("ED"),(U61))))</formula>
    </cfRule>
    <cfRule type="containsText" priority="17675" operator="containsText" dxfId="15" text="GERIATRIC">
      <formula>NOT(ISERROR(SEARCH(("GERIATRIC"),(U61))))</formula>
    </cfRule>
    <cfRule type="containsText" priority="17676" operator="containsText" dxfId="7" text="PATH">
      <formula>NOT(ISERROR(SEARCH(("PATH"),(U61))))</formula>
    </cfRule>
    <cfRule type="containsText" priority="17677" operator="containsText" dxfId="7" text="NEPHRO">
      <formula>NOT(ISERROR(SEARCH(("NEPHRO"),(U61))))</formula>
    </cfRule>
    <cfRule type="containsText" priority="17678" operator="containsText" dxfId="7" text="PULM">
      <formula>NOT(ISERROR(SEARCH(("PULM"),(U61))))</formula>
    </cfRule>
    <cfRule type="containsText" priority="17679" operator="containsText" dxfId="7" text="RADIOLOGY">
      <formula>NOT(ISERROR(SEARCH(("RADIOLOGY"),(U61))))</formula>
    </cfRule>
    <cfRule type="containsText" priority="17680" operator="containsText" dxfId="7" text="HEM/ONC">
      <formula>NOT(ISERROR(SEARCH(("HEM/ONC"),(U61))))</formula>
    </cfRule>
    <cfRule type="containsText" priority="17681" operator="containsText" dxfId="7" text="CARDIO">
      <formula>NOT(ISERROR(SEARCH(("CARDIO"),(U61))))</formula>
    </cfRule>
    <cfRule type="containsText" priority="17682" operator="containsText" dxfId="7" text="ID">
      <formula>NOT(ISERROR(SEARCH(("ID"),(U61))))</formula>
    </cfRule>
    <cfRule type="containsText" priority="17683" operator="containsText" dxfId="7" text="NEURO">
      <formula>NOT(ISERROR(SEARCH(("NEURO"),(U61))))</formula>
    </cfRule>
    <cfRule type="containsText" priority="17684" operator="containsText" dxfId="6" text="NEURO">
      <formula>NOT(ISERROR(SEARCH(("NEURO"),(U61))))</formula>
    </cfRule>
    <cfRule type="containsText" priority="17685" operator="containsText" dxfId="5" text="NEURO">
      <formula>NOT(ISERROR(SEARCH(("NEURO"),(U61))))</formula>
    </cfRule>
    <cfRule type="containsText" priority="17686" operator="containsText" dxfId="0" text="ICU N">
      <formula>NOT(ISERROR(SEARCH(("ICU N"),(U61))))</formula>
    </cfRule>
    <cfRule type="containsText" priority="17687" operator="containsText" dxfId="3" text="ICU">
      <formula>NOT(ISERROR(SEARCH(("ICU"),(U61))))</formula>
    </cfRule>
    <cfRule type="containsText" priority="17688" operator="containsText" dxfId="0" text="SWING">
      <formula>NOT(ISERROR(SEARCH(("SWING"),(U61))))</formula>
    </cfRule>
    <cfRule type="containsText" priority="17689" operator="containsText" dxfId="0" text="NF">
      <formula>NOT(ISERROR(SEARCH(("NF"),(U61))))</formula>
    </cfRule>
    <cfRule type="containsText" priority="17658" operator="containsText" dxfId="7" text="PATH">
      <formula>NOT(ISERROR(SEARCH(("PATH"),(U61))))</formula>
    </cfRule>
    <cfRule type="containsText" priority="17659" operator="containsText" dxfId="7" text="NEPHRO">
      <formula>NOT(ISERROR(SEARCH(("NEPHRO"),(U61))))</formula>
    </cfRule>
    <cfRule type="containsText" priority="17660" operator="containsText" dxfId="7" text="PULM">
      <formula>NOT(ISERROR(SEARCH(("PULM"),(U61))))</formula>
    </cfRule>
    <cfRule type="containsText" priority="17661" operator="containsText" dxfId="7" text="RADIOLOGY">
      <formula>NOT(ISERROR(SEARCH(("RADIOLOGY"),(U61))))</formula>
    </cfRule>
    <cfRule type="containsText" priority="17662" operator="containsText" dxfId="7" text="HEM/ONC">
      <formula>NOT(ISERROR(SEARCH(("HEM/ONC"),(U61))))</formula>
    </cfRule>
    <cfRule type="containsText" priority="17663" operator="containsText" dxfId="7" text="CARDIO">
      <formula>NOT(ISERROR(SEARCH(("CARDIO"),(U61))))</formula>
    </cfRule>
    <cfRule type="containsText" priority="17664" operator="containsText" dxfId="7" text="ID">
      <formula>NOT(ISERROR(SEARCH(("ID"),(U61))))</formula>
    </cfRule>
    <cfRule type="containsText" priority="17665" operator="containsText" dxfId="7" text="NEURO">
      <formula>NOT(ISERROR(SEARCH(("NEURO"),(U61))))</formula>
    </cfRule>
    <cfRule type="containsText" priority="17666" operator="containsText" dxfId="6" text="NEURO">
      <formula>NOT(ISERROR(SEARCH(("NEURO"),(U61))))</formula>
    </cfRule>
    <cfRule type="containsText" priority="17667" operator="containsText" dxfId="5" text="NEURO">
      <formula>NOT(ISERROR(SEARCH(("NEURO"),(U61))))</formula>
    </cfRule>
    <cfRule type="containsText" priority="17668" operator="containsText" dxfId="0" text="ICU N">
      <formula>NOT(ISERROR(SEARCH(("ICU N"),(U61))))</formula>
    </cfRule>
    <cfRule type="containsText" priority="17669" operator="containsText" dxfId="3" text="ICU">
      <formula>NOT(ISERROR(SEARCH(("ICU"),(U61))))</formula>
    </cfRule>
    <cfRule type="containsText" priority="17670" operator="containsText" dxfId="0" text="SWING">
      <formula>NOT(ISERROR(SEARCH(("SWING"),(U61))))</formula>
    </cfRule>
    <cfRule type="containsText" priority="17671" operator="containsText" dxfId="0" text="NF">
      <formula>NOT(ISERROR(SEARCH(("NF"),(U61))))</formula>
    </cfRule>
    <cfRule type="containsText" priority="17672" operator="containsText" dxfId="0" text="ICU N">
      <formula>NOT(ISERROR(SEARCH(("ICU N"),(U61))))</formula>
    </cfRule>
  </conditionalFormatting>
  <conditionalFormatting sqref="V61">
    <cfRule type="containsText" priority="17640" operator="containsText" dxfId="16" text="ED">
      <formula>NOT(ISERROR(SEARCH(("ED"),(V61))))</formula>
    </cfRule>
    <cfRule type="containsText" priority="17641" operator="containsText" dxfId="15" text="GERIATRIC">
      <formula>NOT(ISERROR(SEARCH(("GERIATRIC"),(V61))))</formula>
    </cfRule>
    <cfRule type="containsText" priority="17642" operator="containsText" dxfId="17" text="VACATION">
      <formula>NOT(ISERROR(SEARCH(("VACATION"),(V61))))</formula>
    </cfRule>
    <cfRule type="containsText" priority="17643" operator="containsText" dxfId="7" text="PATH">
      <formula>NOT(ISERROR(SEARCH(("PATH"),(V61))))</formula>
    </cfRule>
    <cfRule type="containsText" priority="17644" operator="containsText" dxfId="7" text="NEPHRO">
      <formula>NOT(ISERROR(SEARCH(("NEPHRO"),(V61))))</formula>
    </cfRule>
    <cfRule type="containsText" priority="17645" operator="containsText" dxfId="7" text="PULM">
      <formula>NOT(ISERROR(SEARCH(("PULM"),(V61))))</formula>
    </cfRule>
    <cfRule type="containsText" priority="17646" operator="containsText" dxfId="7" text="RADIOLOGY">
      <formula>NOT(ISERROR(SEARCH(("RADIOLOGY"),(V61))))</formula>
    </cfRule>
    <cfRule type="containsText" priority="17647" operator="containsText" dxfId="7" text="HEM/ONC">
      <formula>NOT(ISERROR(SEARCH(("HEM/ONC"),(V61))))</formula>
    </cfRule>
    <cfRule type="containsText" priority="17648" operator="containsText" dxfId="7" text="CARDIO">
      <formula>NOT(ISERROR(SEARCH(("CARDIO"),(V61))))</formula>
    </cfRule>
    <cfRule type="containsText" priority="17649" operator="containsText" dxfId="7" text="ID">
      <formula>NOT(ISERROR(SEARCH(("ID"),(V61))))</formula>
    </cfRule>
    <cfRule type="containsText" priority="17650" operator="containsText" dxfId="7" text="NEURO">
      <formula>NOT(ISERROR(SEARCH(("NEURO"),(V61))))</formula>
    </cfRule>
    <cfRule type="containsText" priority="17651" operator="containsText" dxfId="6" text="NEURO">
      <formula>NOT(ISERROR(SEARCH(("NEURO"),(V61))))</formula>
    </cfRule>
    <cfRule type="containsText" priority="17652" operator="containsText" dxfId="5" text="NEURO">
      <formula>NOT(ISERROR(SEARCH(("NEURO"),(V61))))</formula>
    </cfRule>
    <cfRule type="containsText" priority="17653" operator="containsText" dxfId="0" text="ICU N">
      <formula>NOT(ISERROR(SEARCH(("ICU N"),(V61))))</formula>
    </cfRule>
    <cfRule type="containsText" priority="17654" operator="containsText" dxfId="3" text="ICU">
      <formula>NOT(ISERROR(SEARCH(("ICU"),(V61))))</formula>
    </cfRule>
    <cfRule type="containsText" priority="17655" operator="containsText" dxfId="0" text="SWING">
      <formula>NOT(ISERROR(SEARCH(("SWING"),(V61))))</formula>
    </cfRule>
    <cfRule type="containsText" priority="17656" operator="containsText" dxfId="0" text="NF">
      <formula>NOT(ISERROR(SEARCH(("NF"),(V61))))</formula>
    </cfRule>
    <cfRule type="containsText" priority="17657" operator="containsText" dxfId="0" text="ICU N">
      <formula>NOT(ISERROR(SEARCH(("ICU N"),(V61))))</formula>
    </cfRule>
    <cfRule type="containsText" priority="17623" operator="containsText" dxfId="17" text="VACATION">
      <formula>NOT(ISERROR(SEARCH(("VACATION"),(V61))))</formula>
    </cfRule>
    <cfRule type="containsText" priority="17624" operator="containsText" dxfId="16" text="ED">
      <formula>NOT(ISERROR(SEARCH(("ED"),(V61))))</formula>
    </cfRule>
    <cfRule type="containsText" priority="17625" operator="containsText" dxfId="15" text="GERIATRIC">
      <formula>NOT(ISERROR(SEARCH(("GERIATRIC"),(V61))))</formula>
    </cfRule>
    <cfRule type="containsText" priority="17626" operator="containsText" dxfId="7" text="PATH">
      <formula>NOT(ISERROR(SEARCH(("PATH"),(V61))))</formula>
    </cfRule>
    <cfRule type="containsText" priority="17627" operator="containsText" dxfId="7" text="NEPHRO">
      <formula>NOT(ISERROR(SEARCH(("NEPHRO"),(V61))))</formula>
    </cfRule>
    <cfRule type="containsText" priority="17628" operator="containsText" dxfId="7" text="PULM">
      <formula>NOT(ISERROR(SEARCH(("PULM"),(V61))))</formula>
    </cfRule>
    <cfRule type="containsText" priority="17629" operator="containsText" dxfId="7" text="RADIOLOGY">
      <formula>NOT(ISERROR(SEARCH(("RADIOLOGY"),(V61))))</formula>
    </cfRule>
    <cfRule type="containsText" priority="17630" operator="containsText" dxfId="7" text="HEM/ONC">
      <formula>NOT(ISERROR(SEARCH(("HEM/ONC"),(V61))))</formula>
    </cfRule>
    <cfRule type="containsText" priority="17631" operator="containsText" dxfId="7" text="CARDIO">
      <formula>NOT(ISERROR(SEARCH(("CARDIO"),(V61))))</formula>
    </cfRule>
    <cfRule type="containsText" priority="17632" operator="containsText" dxfId="7" text="ID">
      <formula>NOT(ISERROR(SEARCH(("ID"),(V61))))</formula>
    </cfRule>
    <cfRule type="containsText" priority="17633" operator="containsText" dxfId="7" text="NEURO">
      <formula>NOT(ISERROR(SEARCH(("NEURO"),(V61))))</formula>
    </cfRule>
    <cfRule type="containsText" priority="17634" operator="containsText" dxfId="6" text="NEURO">
      <formula>NOT(ISERROR(SEARCH(("NEURO"),(V61))))</formula>
    </cfRule>
    <cfRule type="containsText" priority="17635" operator="containsText" dxfId="5" text="NEURO">
      <formula>NOT(ISERROR(SEARCH(("NEURO"),(V61))))</formula>
    </cfRule>
    <cfRule type="containsText" priority="17636" operator="containsText" dxfId="0" text="ICU N">
      <formula>NOT(ISERROR(SEARCH(("ICU N"),(V61))))</formula>
    </cfRule>
    <cfRule type="containsText" priority="17637" operator="containsText" dxfId="3" text="ICU">
      <formula>NOT(ISERROR(SEARCH(("ICU"),(V61))))</formula>
    </cfRule>
    <cfRule type="containsText" priority="17638" operator="containsText" dxfId="0" text="SWING">
      <formula>NOT(ISERROR(SEARCH(("SWING"),(V61))))</formula>
    </cfRule>
    <cfRule type="containsText" priority="17639" operator="containsText" dxfId="0" text="NF">
      <formula>NOT(ISERROR(SEARCH(("NF"),(V61))))</formula>
    </cfRule>
    <cfRule type="containsText" priority="17608" operator="containsText" dxfId="7" text="PATH">
      <formula>NOT(ISERROR(SEARCH(("PATH"),(V61))))</formula>
    </cfRule>
    <cfRule type="containsText" priority="17609" operator="containsText" dxfId="7" text="NEPHRO">
      <formula>NOT(ISERROR(SEARCH(("NEPHRO"),(V61))))</formula>
    </cfRule>
    <cfRule type="containsText" priority="17610" operator="containsText" dxfId="7" text="PULM">
      <formula>NOT(ISERROR(SEARCH(("PULM"),(V61))))</formula>
    </cfRule>
    <cfRule type="containsText" priority="17611" operator="containsText" dxfId="7" text="RADIOLOGY">
      <formula>NOT(ISERROR(SEARCH(("RADIOLOGY"),(V61))))</formula>
    </cfRule>
    <cfRule type="containsText" priority="17612" operator="containsText" dxfId="7" text="HEM/ONC">
      <formula>NOT(ISERROR(SEARCH(("HEM/ONC"),(V61))))</formula>
    </cfRule>
    <cfRule type="containsText" priority="17613" operator="containsText" dxfId="7" text="CARDIO">
      <formula>NOT(ISERROR(SEARCH(("CARDIO"),(V61))))</formula>
    </cfRule>
    <cfRule type="containsText" priority="17614" operator="containsText" dxfId="7" text="ID">
      <formula>NOT(ISERROR(SEARCH(("ID"),(V61))))</formula>
    </cfRule>
    <cfRule type="containsText" priority="17615" operator="containsText" dxfId="7" text="NEURO">
      <formula>NOT(ISERROR(SEARCH(("NEURO"),(V61))))</formula>
    </cfRule>
    <cfRule type="containsText" priority="17616" operator="containsText" dxfId="6" text="NEURO">
      <formula>NOT(ISERROR(SEARCH(("NEURO"),(V61))))</formula>
    </cfRule>
    <cfRule type="containsText" priority="17617" operator="containsText" dxfId="5" text="NEURO">
      <formula>NOT(ISERROR(SEARCH(("NEURO"),(V61))))</formula>
    </cfRule>
    <cfRule type="containsText" priority="17618" operator="containsText" dxfId="0" text="ICU N">
      <formula>NOT(ISERROR(SEARCH(("ICU N"),(V61))))</formula>
    </cfRule>
    <cfRule type="containsText" priority="17619" operator="containsText" dxfId="3" text="ICU">
      <formula>NOT(ISERROR(SEARCH(("ICU"),(V61))))</formula>
    </cfRule>
    <cfRule type="containsText" priority="17620" operator="containsText" dxfId="0" text="SWING">
      <formula>NOT(ISERROR(SEARCH(("SWING"),(V61))))</formula>
    </cfRule>
    <cfRule type="containsText" priority="17621" operator="containsText" dxfId="0" text="NF">
      <formula>NOT(ISERROR(SEARCH(("NF"),(V61))))</formula>
    </cfRule>
    <cfRule type="containsText" priority="17622" operator="containsText" dxfId="0" text="ICU N">
      <formula>NOT(ISERROR(SEARCH(("ICU N"),(V61))))</formula>
    </cfRule>
  </conditionalFormatting>
  <conditionalFormatting sqref="W61">
    <cfRule type="containsText" priority="17590" operator="containsText" dxfId="16" text="ED">
      <formula>NOT(ISERROR(SEARCH(("ED"),(W61))))</formula>
    </cfRule>
    <cfRule type="containsText" priority="17591" operator="containsText" dxfId="15" text="GERIATRIC">
      <formula>NOT(ISERROR(SEARCH(("GERIATRIC"),(W61))))</formula>
    </cfRule>
    <cfRule type="containsText" priority="17592" operator="containsText" dxfId="17" text="VACATION">
      <formula>NOT(ISERROR(SEARCH(("VACATION"),(W61))))</formula>
    </cfRule>
    <cfRule type="containsText" priority="17593" operator="containsText" dxfId="7" text="PATH">
      <formula>NOT(ISERROR(SEARCH(("PATH"),(W61))))</formula>
    </cfRule>
    <cfRule type="containsText" priority="17594" operator="containsText" dxfId="7" text="NEPHRO">
      <formula>NOT(ISERROR(SEARCH(("NEPHRO"),(W61))))</formula>
    </cfRule>
    <cfRule type="containsText" priority="17595" operator="containsText" dxfId="7" text="PULM">
      <formula>NOT(ISERROR(SEARCH(("PULM"),(W61))))</formula>
    </cfRule>
    <cfRule type="containsText" priority="17596" operator="containsText" dxfId="7" text="RADIOLOGY">
      <formula>NOT(ISERROR(SEARCH(("RADIOLOGY"),(W61))))</formula>
    </cfRule>
    <cfRule type="containsText" priority="17597" operator="containsText" dxfId="7" text="HEM/ONC">
      <formula>NOT(ISERROR(SEARCH(("HEM/ONC"),(W61))))</formula>
    </cfRule>
    <cfRule type="containsText" priority="17598" operator="containsText" dxfId="7" text="CARDIO">
      <formula>NOT(ISERROR(SEARCH(("CARDIO"),(W61))))</formula>
    </cfRule>
    <cfRule type="containsText" priority="17599" operator="containsText" dxfId="7" text="ID">
      <formula>NOT(ISERROR(SEARCH(("ID"),(W61))))</formula>
    </cfRule>
    <cfRule type="containsText" priority="17600" operator="containsText" dxfId="7" text="NEURO">
      <formula>NOT(ISERROR(SEARCH(("NEURO"),(W61))))</formula>
    </cfRule>
    <cfRule type="containsText" priority="17601" operator="containsText" dxfId="6" text="NEURO">
      <formula>NOT(ISERROR(SEARCH(("NEURO"),(W61))))</formula>
    </cfRule>
    <cfRule type="containsText" priority="17602" operator="containsText" dxfId="5" text="NEURO">
      <formula>NOT(ISERROR(SEARCH(("NEURO"),(W61))))</formula>
    </cfRule>
    <cfRule type="containsText" priority="17603" operator="containsText" dxfId="0" text="ICU N">
      <formula>NOT(ISERROR(SEARCH(("ICU N"),(W61))))</formula>
    </cfRule>
    <cfRule type="containsText" priority="17604" operator="containsText" dxfId="3" text="ICU">
      <formula>NOT(ISERROR(SEARCH(("ICU"),(W61))))</formula>
    </cfRule>
    <cfRule type="containsText" priority="17605" operator="containsText" dxfId="0" text="SWING">
      <formula>NOT(ISERROR(SEARCH(("SWING"),(W61))))</formula>
    </cfRule>
    <cfRule type="containsText" priority="17606" operator="containsText" dxfId="0" text="NF">
      <formula>NOT(ISERROR(SEARCH(("NF"),(W61))))</formula>
    </cfRule>
    <cfRule type="containsText" priority="17607" operator="containsText" dxfId="0" text="ICU N">
      <formula>NOT(ISERROR(SEARCH(("ICU N"),(W61))))</formula>
    </cfRule>
    <cfRule type="containsText" priority="17573" operator="containsText" dxfId="17" text="VACATION">
      <formula>NOT(ISERROR(SEARCH(("VACATION"),(W61))))</formula>
    </cfRule>
    <cfRule type="containsText" priority="17574" operator="containsText" dxfId="16" text="ED">
      <formula>NOT(ISERROR(SEARCH(("ED"),(W61))))</formula>
    </cfRule>
    <cfRule type="containsText" priority="17575" operator="containsText" dxfId="15" text="GERIATRIC">
      <formula>NOT(ISERROR(SEARCH(("GERIATRIC"),(W61))))</formula>
    </cfRule>
    <cfRule type="containsText" priority="17576" operator="containsText" dxfId="7" text="PATH">
      <formula>NOT(ISERROR(SEARCH(("PATH"),(W61))))</formula>
    </cfRule>
    <cfRule type="containsText" priority="17577" operator="containsText" dxfId="7" text="NEPHRO">
      <formula>NOT(ISERROR(SEARCH(("NEPHRO"),(W61))))</formula>
    </cfRule>
    <cfRule type="containsText" priority="17578" operator="containsText" dxfId="7" text="PULM">
      <formula>NOT(ISERROR(SEARCH(("PULM"),(W61))))</formula>
    </cfRule>
    <cfRule type="containsText" priority="17579" operator="containsText" dxfId="7" text="RADIOLOGY">
      <formula>NOT(ISERROR(SEARCH(("RADIOLOGY"),(W61))))</formula>
    </cfRule>
    <cfRule type="containsText" priority="17580" operator="containsText" dxfId="7" text="HEM/ONC">
      <formula>NOT(ISERROR(SEARCH(("HEM/ONC"),(W61))))</formula>
    </cfRule>
    <cfRule type="containsText" priority="17581" operator="containsText" dxfId="7" text="CARDIO">
      <formula>NOT(ISERROR(SEARCH(("CARDIO"),(W61))))</formula>
    </cfRule>
    <cfRule type="containsText" priority="17582" operator="containsText" dxfId="7" text="ID">
      <formula>NOT(ISERROR(SEARCH(("ID"),(W61))))</formula>
    </cfRule>
    <cfRule type="containsText" priority="17583" operator="containsText" dxfId="7" text="NEURO">
      <formula>NOT(ISERROR(SEARCH(("NEURO"),(W61))))</formula>
    </cfRule>
    <cfRule type="containsText" priority="17584" operator="containsText" dxfId="6" text="NEURO">
      <formula>NOT(ISERROR(SEARCH(("NEURO"),(W61))))</formula>
    </cfRule>
    <cfRule type="containsText" priority="17585" operator="containsText" dxfId="5" text="NEURO">
      <formula>NOT(ISERROR(SEARCH(("NEURO"),(W61))))</formula>
    </cfRule>
    <cfRule type="containsText" priority="17586" operator="containsText" dxfId="0" text="ICU N">
      <formula>NOT(ISERROR(SEARCH(("ICU N"),(W61))))</formula>
    </cfRule>
    <cfRule type="containsText" priority="17587" operator="containsText" dxfId="3" text="ICU">
      <formula>NOT(ISERROR(SEARCH(("ICU"),(W61))))</formula>
    </cfRule>
    <cfRule type="containsText" priority="17588" operator="containsText" dxfId="0" text="SWING">
      <formula>NOT(ISERROR(SEARCH(("SWING"),(W61))))</formula>
    </cfRule>
    <cfRule type="containsText" priority="17589" operator="containsText" dxfId="0" text="NF">
      <formula>NOT(ISERROR(SEARCH(("NF"),(W61))))</formula>
    </cfRule>
    <cfRule type="containsText" priority="17558" operator="containsText" dxfId="7" text="PATH">
      <formula>NOT(ISERROR(SEARCH(("PATH"),(W61))))</formula>
    </cfRule>
    <cfRule type="containsText" priority="17559" operator="containsText" dxfId="7" text="NEPHRO">
      <formula>NOT(ISERROR(SEARCH(("NEPHRO"),(W61))))</formula>
    </cfRule>
    <cfRule type="containsText" priority="17560" operator="containsText" dxfId="7" text="PULM">
      <formula>NOT(ISERROR(SEARCH(("PULM"),(W61))))</formula>
    </cfRule>
    <cfRule type="containsText" priority="17561" operator="containsText" dxfId="7" text="RADIOLOGY">
      <formula>NOT(ISERROR(SEARCH(("RADIOLOGY"),(W61))))</formula>
    </cfRule>
    <cfRule type="containsText" priority="17562" operator="containsText" dxfId="7" text="HEM/ONC">
      <formula>NOT(ISERROR(SEARCH(("HEM/ONC"),(W61))))</formula>
    </cfRule>
    <cfRule type="containsText" priority="17563" operator="containsText" dxfId="7" text="CARDIO">
      <formula>NOT(ISERROR(SEARCH(("CARDIO"),(W61))))</formula>
    </cfRule>
    <cfRule type="containsText" priority="17564" operator="containsText" dxfId="7" text="ID">
      <formula>NOT(ISERROR(SEARCH(("ID"),(W61))))</formula>
    </cfRule>
    <cfRule type="containsText" priority="17565" operator="containsText" dxfId="7" text="NEURO">
      <formula>NOT(ISERROR(SEARCH(("NEURO"),(W61))))</formula>
    </cfRule>
    <cfRule type="containsText" priority="17566" operator="containsText" dxfId="6" text="NEURO">
      <formula>NOT(ISERROR(SEARCH(("NEURO"),(W61))))</formula>
    </cfRule>
    <cfRule type="containsText" priority="17567" operator="containsText" dxfId="5" text="NEURO">
      <formula>NOT(ISERROR(SEARCH(("NEURO"),(W61))))</formula>
    </cfRule>
    <cfRule type="containsText" priority="17568" operator="containsText" dxfId="0" text="ICU N">
      <formula>NOT(ISERROR(SEARCH(("ICU N"),(W61))))</formula>
    </cfRule>
    <cfRule type="containsText" priority="17569" operator="containsText" dxfId="3" text="ICU">
      <formula>NOT(ISERROR(SEARCH(("ICU"),(W61))))</formula>
    </cfRule>
    <cfRule type="containsText" priority="17570" operator="containsText" dxfId="0" text="SWING">
      <formula>NOT(ISERROR(SEARCH(("SWING"),(W61))))</formula>
    </cfRule>
    <cfRule type="containsText" priority="17571" operator="containsText" dxfId="0" text="NF">
      <formula>NOT(ISERROR(SEARCH(("NF"),(W61))))</formula>
    </cfRule>
    <cfRule type="containsText" priority="17572" operator="containsText" dxfId="0" text="ICU N">
      <formula>NOT(ISERROR(SEARCH(("ICU N"),(W61))))</formula>
    </cfRule>
  </conditionalFormatting>
  <conditionalFormatting sqref="AB54:AB56 AB57:AE61 AD52:AE52 AD54:AE54 AE53 AE55:AE56">
    <cfRule type="containsText" priority="17540" operator="containsText" dxfId="16" text="ED">
      <formula>NOT(ISERROR(SEARCH(("ED"),(AB52))))</formula>
    </cfRule>
    <cfRule type="containsText" priority="17541" operator="containsText" dxfId="15" text="GERIATRIC">
      <formula>NOT(ISERROR(SEARCH(("GERIATRIC"),(AB52))))</formula>
    </cfRule>
    <cfRule type="containsText" priority="17542" operator="containsText" dxfId="17" text="VACATION">
      <formula>NOT(ISERROR(SEARCH(("VACATION"),(AB52))))</formula>
    </cfRule>
    <cfRule type="containsText" priority="17543" operator="containsText" dxfId="7" text="PATH">
      <formula>NOT(ISERROR(SEARCH(("PATH"),(AB52))))</formula>
    </cfRule>
    <cfRule type="containsText" priority="17544" operator="containsText" dxfId="7" text="NEPHRO">
      <formula>NOT(ISERROR(SEARCH(("NEPHRO"),(AB52))))</formula>
    </cfRule>
    <cfRule type="containsText" priority="17545" operator="containsText" dxfId="7" text="PULM">
      <formula>NOT(ISERROR(SEARCH(("PULM"),(AB52))))</formula>
    </cfRule>
    <cfRule type="containsText" priority="17546" operator="containsText" dxfId="7" text="RADIOLOGY">
      <formula>NOT(ISERROR(SEARCH(("RADIOLOGY"),(AB52))))</formula>
    </cfRule>
    <cfRule type="containsText" priority="17547" operator="containsText" dxfId="7" text="HEM/ONC">
      <formula>NOT(ISERROR(SEARCH(("HEM/ONC"),(AB52))))</formula>
    </cfRule>
    <cfRule type="containsText" priority="17548" operator="containsText" dxfId="7" text="CARDIO">
      <formula>NOT(ISERROR(SEARCH(("CARDIO"),(AB52))))</formula>
    </cfRule>
    <cfRule type="containsText" priority="17549" operator="containsText" dxfId="7" text="ID">
      <formula>NOT(ISERROR(SEARCH(("ID"),(AB52))))</formula>
    </cfRule>
    <cfRule type="containsText" priority="17550" operator="containsText" dxfId="7" text="NEURO">
      <formula>NOT(ISERROR(SEARCH(("NEURO"),(AB52))))</formula>
    </cfRule>
    <cfRule type="containsText" priority="17551" operator="containsText" dxfId="6" text="NEURO">
      <formula>NOT(ISERROR(SEARCH(("NEURO"),(AB52))))</formula>
    </cfRule>
    <cfRule type="containsText" priority="17552" operator="containsText" dxfId="5" text="NEURO">
      <formula>NOT(ISERROR(SEARCH(("NEURO"),(AB52))))</formula>
    </cfRule>
    <cfRule type="containsText" priority="17553" operator="containsText" dxfId="0" text="ICU N">
      <formula>NOT(ISERROR(SEARCH(("ICU N"),(AB52))))</formula>
    </cfRule>
    <cfRule type="containsText" priority="17554" operator="containsText" dxfId="3" text="ICU">
      <formula>NOT(ISERROR(SEARCH(("ICU"),(AB52))))</formula>
    </cfRule>
    <cfRule type="containsText" priority="17555" operator="containsText" dxfId="0" text="SWING">
      <formula>NOT(ISERROR(SEARCH(("SWING"),(AB52))))</formula>
    </cfRule>
    <cfRule type="containsText" priority="17556" operator="containsText" dxfId="0" text="NF">
      <formula>NOT(ISERROR(SEARCH(("NF"),(AB52))))</formula>
    </cfRule>
    <cfRule type="containsText" priority="17557" operator="containsText" dxfId="0" text="ICU N">
      <formula>NOT(ISERROR(SEARCH(("ICU N"),(AB52))))</formula>
    </cfRule>
    <cfRule type="containsText" priority="17523" operator="containsText" dxfId="17" text="VACATION">
      <formula>NOT(ISERROR(SEARCH(("VACATION"),(AB52))))</formula>
    </cfRule>
    <cfRule type="containsText" priority="17524" operator="containsText" dxfId="16" text="ED">
      <formula>NOT(ISERROR(SEARCH(("ED"),(AB52))))</formula>
    </cfRule>
    <cfRule type="containsText" priority="17525" operator="containsText" dxfId="15" text="GERIATRIC">
      <formula>NOT(ISERROR(SEARCH(("GERIATRIC"),(AB52))))</formula>
    </cfRule>
    <cfRule type="containsText" priority="17526" operator="containsText" dxfId="7" text="PATH">
      <formula>NOT(ISERROR(SEARCH(("PATH"),(AB52))))</formula>
    </cfRule>
    <cfRule type="containsText" priority="17527" operator="containsText" dxfId="7" text="NEPHRO">
      <formula>NOT(ISERROR(SEARCH(("NEPHRO"),(AB52))))</formula>
    </cfRule>
    <cfRule type="containsText" priority="17528" operator="containsText" dxfId="7" text="PULM">
      <formula>NOT(ISERROR(SEARCH(("PULM"),(AB52))))</formula>
    </cfRule>
    <cfRule type="containsText" priority="17529" operator="containsText" dxfId="7" text="RADIOLOGY">
      <formula>NOT(ISERROR(SEARCH(("RADIOLOGY"),(AB52))))</formula>
    </cfRule>
    <cfRule type="containsText" priority="17530" operator="containsText" dxfId="7" text="HEM/ONC">
      <formula>NOT(ISERROR(SEARCH(("HEM/ONC"),(AB52))))</formula>
    </cfRule>
    <cfRule type="containsText" priority="17531" operator="containsText" dxfId="7" text="CARDIO">
      <formula>NOT(ISERROR(SEARCH(("CARDIO"),(AB52))))</formula>
    </cfRule>
    <cfRule type="containsText" priority="17532" operator="containsText" dxfId="7" text="ID">
      <formula>NOT(ISERROR(SEARCH(("ID"),(AB52))))</formula>
    </cfRule>
    <cfRule type="containsText" priority="17533" operator="containsText" dxfId="7" text="NEURO">
      <formula>NOT(ISERROR(SEARCH(("NEURO"),(AB52))))</formula>
    </cfRule>
    <cfRule type="containsText" priority="17534" operator="containsText" dxfId="6" text="NEURO">
      <formula>NOT(ISERROR(SEARCH(("NEURO"),(AB52))))</formula>
    </cfRule>
    <cfRule type="containsText" priority="17535" operator="containsText" dxfId="5" text="NEURO">
      <formula>NOT(ISERROR(SEARCH(("NEURO"),(AB52))))</formula>
    </cfRule>
    <cfRule type="containsText" priority="17536" operator="containsText" dxfId="0" text="ICU N">
      <formula>NOT(ISERROR(SEARCH(("ICU N"),(AB52))))</formula>
    </cfRule>
    <cfRule type="containsText" priority="17537" operator="containsText" dxfId="3" text="ICU">
      <formula>NOT(ISERROR(SEARCH(("ICU"),(AB52))))</formula>
    </cfRule>
    <cfRule type="containsText" priority="17538" operator="containsText" dxfId="0" text="SWING">
      <formula>NOT(ISERROR(SEARCH(("SWING"),(AB52))))</formula>
    </cfRule>
    <cfRule type="containsText" priority="17539" operator="containsText" dxfId="0" text="NF">
      <formula>NOT(ISERROR(SEARCH(("NF"),(AB52))))</formula>
    </cfRule>
    <cfRule type="containsText" priority="17508" operator="containsText" dxfId="7" text="PATH">
      <formula>NOT(ISERROR(SEARCH(("PATH"),(AB52))))</formula>
    </cfRule>
    <cfRule type="containsText" priority="17509" operator="containsText" dxfId="7" text="NEPHRO">
      <formula>NOT(ISERROR(SEARCH(("NEPHRO"),(AB52))))</formula>
    </cfRule>
    <cfRule type="containsText" priority="17510" operator="containsText" dxfId="7" text="PULM">
      <formula>NOT(ISERROR(SEARCH(("PULM"),(AB52))))</formula>
    </cfRule>
    <cfRule type="containsText" priority="17511" operator="containsText" dxfId="7" text="RADIOLOGY">
      <formula>NOT(ISERROR(SEARCH(("RADIOLOGY"),(AB52))))</formula>
    </cfRule>
    <cfRule type="containsText" priority="17512" operator="containsText" dxfId="7" text="HEM/ONC">
      <formula>NOT(ISERROR(SEARCH(("HEM/ONC"),(AB52))))</formula>
    </cfRule>
    <cfRule type="containsText" priority="17513" operator="containsText" dxfId="7" text="CARDIO">
      <formula>NOT(ISERROR(SEARCH(("CARDIO"),(AB52))))</formula>
    </cfRule>
    <cfRule type="containsText" priority="17514" operator="containsText" dxfId="7" text="ID">
      <formula>NOT(ISERROR(SEARCH(("ID"),(AB52))))</formula>
    </cfRule>
    <cfRule type="containsText" priority="17515" operator="containsText" dxfId="7" text="NEURO">
      <formula>NOT(ISERROR(SEARCH(("NEURO"),(AB52))))</formula>
    </cfRule>
    <cfRule type="containsText" priority="17516" operator="containsText" dxfId="6" text="NEURO">
      <formula>NOT(ISERROR(SEARCH(("NEURO"),(AB52))))</formula>
    </cfRule>
    <cfRule type="containsText" priority="17517" operator="containsText" dxfId="5" text="NEURO">
      <formula>NOT(ISERROR(SEARCH(("NEURO"),(AB52))))</formula>
    </cfRule>
    <cfRule type="containsText" priority="17518" operator="containsText" dxfId="0" text="ICU N">
      <formula>NOT(ISERROR(SEARCH(("ICU N"),(AB52))))</formula>
    </cfRule>
    <cfRule type="containsText" priority="17519" operator="containsText" dxfId="3" text="ICU">
      <formula>NOT(ISERROR(SEARCH(("ICU"),(AB52))))</formula>
    </cfRule>
    <cfRule type="containsText" priority="17520" operator="containsText" dxfId="0" text="SWING">
      <formula>NOT(ISERROR(SEARCH(("SWING"),(AB52))))</formula>
    </cfRule>
    <cfRule type="containsText" priority="17521" operator="containsText" dxfId="0" text="NF">
      <formula>NOT(ISERROR(SEARCH(("NF"),(AB52))))</formula>
    </cfRule>
    <cfRule type="containsText" priority="17522" operator="containsText" dxfId="0" text="ICU N">
      <formula>NOT(ISERROR(SEARCH(("ICU N"),(AB52))))</formula>
    </cfRule>
  </conditionalFormatting>
  <conditionalFormatting sqref="AF56:AI61 AH55:AI55">
    <cfRule type="containsText" priority="17490" operator="containsText" dxfId="16" text="ED">
      <formula>NOT(ISERROR(SEARCH(("ED"),(AF55))))</formula>
    </cfRule>
    <cfRule type="containsText" priority="17491" operator="containsText" dxfId="15" text="GERIATRIC">
      <formula>NOT(ISERROR(SEARCH(("GERIATRIC"),(AF55))))</formula>
    </cfRule>
    <cfRule type="containsText" priority="17492" operator="containsText" dxfId="17" text="VACATION">
      <formula>NOT(ISERROR(SEARCH(("VACATION"),(AF55))))</formula>
    </cfRule>
    <cfRule type="containsText" priority="17493" operator="containsText" dxfId="7" text="PATH">
      <formula>NOT(ISERROR(SEARCH(("PATH"),(AF55))))</formula>
    </cfRule>
    <cfRule type="containsText" priority="17494" operator="containsText" dxfId="7" text="NEPHRO">
      <formula>NOT(ISERROR(SEARCH(("NEPHRO"),(AF55))))</formula>
    </cfRule>
    <cfRule type="containsText" priority="17495" operator="containsText" dxfId="7" text="PULM">
      <formula>NOT(ISERROR(SEARCH(("PULM"),(AF55))))</formula>
    </cfRule>
    <cfRule type="containsText" priority="17496" operator="containsText" dxfId="7" text="RADIOLOGY">
      <formula>NOT(ISERROR(SEARCH(("RADIOLOGY"),(AF55))))</formula>
    </cfRule>
    <cfRule type="containsText" priority="17497" operator="containsText" dxfId="7" text="HEM/ONC">
      <formula>NOT(ISERROR(SEARCH(("HEM/ONC"),(AF55))))</formula>
    </cfRule>
    <cfRule type="containsText" priority="17498" operator="containsText" dxfId="7" text="CARDIO">
      <formula>NOT(ISERROR(SEARCH(("CARDIO"),(AF55))))</formula>
    </cfRule>
    <cfRule type="containsText" priority="17499" operator="containsText" dxfId="7" text="ID">
      <formula>NOT(ISERROR(SEARCH(("ID"),(AF55))))</formula>
    </cfRule>
    <cfRule type="containsText" priority="17500" operator="containsText" dxfId="7" text="NEURO">
      <formula>NOT(ISERROR(SEARCH(("NEURO"),(AF55))))</formula>
    </cfRule>
    <cfRule type="containsText" priority="17501" operator="containsText" dxfId="6" text="NEURO">
      <formula>NOT(ISERROR(SEARCH(("NEURO"),(AF55))))</formula>
    </cfRule>
    <cfRule type="containsText" priority="17502" operator="containsText" dxfId="5" text="NEURO">
      <formula>NOT(ISERROR(SEARCH(("NEURO"),(AF55))))</formula>
    </cfRule>
    <cfRule type="containsText" priority="17503" operator="containsText" dxfId="0" text="ICU N">
      <formula>NOT(ISERROR(SEARCH(("ICU N"),(AF55))))</formula>
    </cfRule>
    <cfRule type="containsText" priority="17504" operator="containsText" dxfId="3" text="ICU">
      <formula>NOT(ISERROR(SEARCH(("ICU"),(AF55))))</formula>
    </cfRule>
    <cfRule type="containsText" priority="17505" operator="containsText" dxfId="0" text="SWING">
      <formula>NOT(ISERROR(SEARCH(("SWING"),(AF55))))</formula>
    </cfRule>
    <cfRule type="containsText" priority="17506" operator="containsText" dxfId="0" text="NF">
      <formula>NOT(ISERROR(SEARCH(("NF"),(AF55))))</formula>
    </cfRule>
    <cfRule type="containsText" priority="17507" operator="containsText" dxfId="0" text="ICU N">
      <formula>NOT(ISERROR(SEARCH(("ICU N"),(AF55))))</formula>
    </cfRule>
    <cfRule type="containsText" priority="17473" operator="containsText" dxfId="17" text="VACATION">
      <formula>NOT(ISERROR(SEARCH(("VACATION"),(AF55))))</formula>
    </cfRule>
    <cfRule type="containsText" priority="17474" operator="containsText" dxfId="16" text="ED">
      <formula>NOT(ISERROR(SEARCH(("ED"),(AF55))))</formula>
    </cfRule>
    <cfRule type="containsText" priority="17475" operator="containsText" dxfId="15" text="GERIATRIC">
      <formula>NOT(ISERROR(SEARCH(("GERIATRIC"),(AF55))))</formula>
    </cfRule>
    <cfRule type="containsText" priority="17476" operator="containsText" dxfId="7" text="PATH">
      <formula>NOT(ISERROR(SEARCH(("PATH"),(AF55))))</formula>
    </cfRule>
    <cfRule type="containsText" priority="17477" operator="containsText" dxfId="7" text="NEPHRO">
      <formula>NOT(ISERROR(SEARCH(("NEPHRO"),(AF55))))</formula>
    </cfRule>
    <cfRule type="containsText" priority="17478" operator="containsText" dxfId="7" text="PULM">
      <formula>NOT(ISERROR(SEARCH(("PULM"),(AF55))))</formula>
    </cfRule>
    <cfRule type="containsText" priority="17479" operator="containsText" dxfId="7" text="RADIOLOGY">
      <formula>NOT(ISERROR(SEARCH(("RADIOLOGY"),(AF55))))</formula>
    </cfRule>
    <cfRule type="containsText" priority="17480" operator="containsText" dxfId="7" text="HEM/ONC">
      <formula>NOT(ISERROR(SEARCH(("HEM/ONC"),(AF55))))</formula>
    </cfRule>
    <cfRule type="containsText" priority="17481" operator="containsText" dxfId="7" text="CARDIO">
      <formula>NOT(ISERROR(SEARCH(("CARDIO"),(AF55))))</formula>
    </cfRule>
    <cfRule type="containsText" priority="17482" operator="containsText" dxfId="7" text="ID">
      <formula>NOT(ISERROR(SEARCH(("ID"),(AF55))))</formula>
    </cfRule>
    <cfRule type="containsText" priority="17483" operator="containsText" dxfId="7" text="NEURO">
      <formula>NOT(ISERROR(SEARCH(("NEURO"),(AF55))))</formula>
    </cfRule>
    <cfRule type="containsText" priority="17484" operator="containsText" dxfId="6" text="NEURO">
      <formula>NOT(ISERROR(SEARCH(("NEURO"),(AF55))))</formula>
    </cfRule>
    <cfRule type="containsText" priority="17485" operator="containsText" dxfId="5" text="NEURO">
      <formula>NOT(ISERROR(SEARCH(("NEURO"),(AF55))))</formula>
    </cfRule>
    <cfRule type="containsText" priority="17486" operator="containsText" dxfId="0" text="ICU N">
      <formula>NOT(ISERROR(SEARCH(("ICU N"),(AF55))))</formula>
    </cfRule>
    <cfRule type="containsText" priority="17487" operator="containsText" dxfId="3" text="ICU">
      <formula>NOT(ISERROR(SEARCH(("ICU"),(AF55))))</formula>
    </cfRule>
    <cfRule type="containsText" priority="17488" operator="containsText" dxfId="0" text="SWING">
      <formula>NOT(ISERROR(SEARCH(("SWING"),(AF55))))</formula>
    </cfRule>
    <cfRule type="containsText" priority="17489" operator="containsText" dxfId="0" text="NF">
      <formula>NOT(ISERROR(SEARCH(("NF"),(AF55))))</formula>
    </cfRule>
    <cfRule type="containsText" priority="17458" operator="containsText" dxfId="7" text="PATH">
      <formula>NOT(ISERROR(SEARCH(("PATH"),(AF55))))</formula>
    </cfRule>
    <cfRule type="containsText" priority="17459" operator="containsText" dxfId="7" text="NEPHRO">
      <formula>NOT(ISERROR(SEARCH(("NEPHRO"),(AF55))))</formula>
    </cfRule>
    <cfRule type="containsText" priority="17460" operator="containsText" dxfId="7" text="PULM">
      <formula>NOT(ISERROR(SEARCH(("PULM"),(AF55))))</formula>
    </cfRule>
    <cfRule type="containsText" priority="17461" operator="containsText" dxfId="7" text="RADIOLOGY">
      <formula>NOT(ISERROR(SEARCH(("RADIOLOGY"),(AF55))))</formula>
    </cfRule>
    <cfRule type="containsText" priority="17462" operator="containsText" dxfId="7" text="HEM/ONC">
      <formula>NOT(ISERROR(SEARCH(("HEM/ONC"),(AF55))))</formula>
    </cfRule>
    <cfRule type="containsText" priority="17463" operator="containsText" dxfId="7" text="CARDIO">
      <formula>NOT(ISERROR(SEARCH(("CARDIO"),(AF55))))</formula>
    </cfRule>
    <cfRule type="containsText" priority="17464" operator="containsText" dxfId="7" text="ID">
      <formula>NOT(ISERROR(SEARCH(("ID"),(AF55))))</formula>
    </cfRule>
    <cfRule type="containsText" priority="17465" operator="containsText" dxfId="7" text="NEURO">
      <formula>NOT(ISERROR(SEARCH(("NEURO"),(AF55))))</formula>
    </cfRule>
    <cfRule type="containsText" priority="17466" operator="containsText" dxfId="6" text="NEURO">
      <formula>NOT(ISERROR(SEARCH(("NEURO"),(AF55))))</formula>
    </cfRule>
    <cfRule type="containsText" priority="17467" operator="containsText" dxfId="5" text="NEURO">
      <formula>NOT(ISERROR(SEARCH(("NEURO"),(AF55))))</formula>
    </cfRule>
    <cfRule type="containsText" priority="17468" operator="containsText" dxfId="0" text="ICU N">
      <formula>NOT(ISERROR(SEARCH(("ICU N"),(AF55))))</formula>
    </cfRule>
    <cfRule type="containsText" priority="17469" operator="containsText" dxfId="3" text="ICU">
      <formula>NOT(ISERROR(SEARCH(("ICU"),(AF55))))</formula>
    </cfRule>
    <cfRule type="containsText" priority="17470" operator="containsText" dxfId="0" text="SWING">
      <formula>NOT(ISERROR(SEARCH(("SWING"),(AF55))))</formula>
    </cfRule>
    <cfRule type="containsText" priority="17471" operator="containsText" dxfId="0" text="NF">
      <formula>NOT(ISERROR(SEARCH(("NF"),(AF55))))</formula>
    </cfRule>
    <cfRule type="containsText" priority="17472" operator="containsText" dxfId="0" text="ICU N">
      <formula>NOT(ISERROR(SEARCH(("ICU N"),(AF55))))</formula>
    </cfRule>
  </conditionalFormatting>
  <conditionalFormatting sqref="AB49:AB51 AD49:AE50">
    <cfRule type="containsText" priority="17440" operator="containsText" dxfId="16" text="ED">
      <formula>NOT(ISERROR(SEARCH(("ED"),(AB49))))</formula>
    </cfRule>
    <cfRule type="containsText" priority="17441" operator="containsText" dxfId="15" text="GERIATRIC">
      <formula>NOT(ISERROR(SEARCH(("GERIATRIC"),(AB49))))</formula>
    </cfRule>
    <cfRule type="containsText" priority="17442" operator="containsText" dxfId="17" text="VACATION">
      <formula>NOT(ISERROR(SEARCH(("VACATION"),(AB49))))</formula>
    </cfRule>
    <cfRule type="containsText" priority="17443" operator="containsText" dxfId="7" text="PATH">
      <formula>NOT(ISERROR(SEARCH(("PATH"),(AB49))))</formula>
    </cfRule>
    <cfRule type="containsText" priority="17444" operator="containsText" dxfId="7" text="NEPHRO">
      <formula>NOT(ISERROR(SEARCH(("NEPHRO"),(AB49))))</formula>
    </cfRule>
    <cfRule type="containsText" priority="17445" operator="containsText" dxfId="7" text="PULM">
      <formula>NOT(ISERROR(SEARCH(("PULM"),(AB49))))</formula>
    </cfRule>
    <cfRule type="containsText" priority="17446" operator="containsText" dxfId="7" text="RADIOLOGY">
      <formula>NOT(ISERROR(SEARCH(("RADIOLOGY"),(AB49))))</formula>
    </cfRule>
    <cfRule type="containsText" priority="17447" operator="containsText" dxfId="7" text="HEM/ONC">
      <formula>NOT(ISERROR(SEARCH(("HEM/ONC"),(AB49))))</formula>
    </cfRule>
    <cfRule type="containsText" priority="17448" operator="containsText" dxfId="7" text="CARDIO">
      <formula>NOT(ISERROR(SEARCH(("CARDIO"),(AB49))))</formula>
    </cfRule>
    <cfRule type="containsText" priority="17449" operator="containsText" dxfId="7" text="ID">
      <formula>NOT(ISERROR(SEARCH(("ID"),(AB49))))</formula>
    </cfRule>
    <cfRule type="containsText" priority="17450" operator="containsText" dxfId="7" text="NEURO">
      <formula>NOT(ISERROR(SEARCH(("NEURO"),(AB49))))</formula>
    </cfRule>
    <cfRule type="containsText" priority="17451" operator="containsText" dxfId="6" text="NEURO">
      <formula>NOT(ISERROR(SEARCH(("NEURO"),(AB49))))</formula>
    </cfRule>
    <cfRule type="containsText" priority="17452" operator="containsText" dxfId="5" text="NEURO">
      <formula>NOT(ISERROR(SEARCH(("NEURO"),(AB49))))</formula>
    </cfRule>
    <cfRule type="containsText" priority="17453" operator="containsText" dxfId="0" text="ICU N">
      <formula>NOT(ISERROR(SEARCH(("ICU N"),(AB49))))</formula>
    </cfRule>
    <cfRule type="containsText" priority="17454" operator="containsText" dxfId="3" text="ICU">
      <formula>NOT(ISERROR(SEARCH(("ICU"),(AB49))))</formula>
    </cfRule>
    <cfRule type="containsText" priority="17455" operator="containsText" dxfId="0" text="SWING">
      <formula>NOT(ISERROR(SEARCH(("SWING"),(AB49))))</formula>
    </cfRule>
    <cfRule type="containsText" priority="17456" operator="containsText" dxfId="0" text="NF">
      <formula>NOT(ISERROR(SEARCH(("NF"),(AB49))))</formula>
    </cfRule>
    <cfRule type="containsText" priority="17457" operator="containsText" dxfId="0" text="ICU N">
      <formula>NOT(ISERROR(SEARCH(("ICU N"),(AB49))))</formula>
    </cfRule>
    <cfRule type="containsText" priority="17423" operator="containsText" dxfId="17" text="VACATION">
      <formula>NOT(ISERROR(SEARCH(("VACATION"),(AB49))))</formula>
    </cfRule>
    <cfRule type="containsText" priority="17424" operator="containsText" dxfId="16" text="ED">
      <formula>NOT(ISERROR(SEARCH(("ED"),(AB49))))</formula>
    </cfRule>
    <cfRule type="containsText" priority="17425" operator="containsText" dxfId="15" text="GERIATRIC">
      <formula>NOT(ISERROR(SEARCH(("GERIATRIC"),(AB49))))</formula>
    </cfRule>
    <cfRule type="containsText" priority="17426" operator="containsText" dxfId="7" text="PATH">
      <formula>NOT(ISERROR(SEARCH(("PATH"),(AB49))))</formula>
    </cfRule>
    <cfRule type="containsText" priority="17427" operator="containsText" dxfId="7" text="NEPHRO">
      <formula>NOT(ISERROR(SEARCH(("NEPHRO"),(AB49))))</formula>
    </cfRule>
    <cfRule type="containsText" priority="17428" operator="containsText" dxfId="7" text="PULM">
      <formula>NOT(ISERROR(SEARCH(("PULM"),(AB49))))</formula>
    </cfRule>
    <cfRule type="containsText" priority="17429" operator="containsText" dxfId="7" text="RADIOLOGY">
      <formula>NOT(ISERROR(SEARCH(("RADIOLOGY"),(AB49))))</formula>
    </cfRule>
    <cfRule type="containsText" priority="17430" operator="containsText" dxfId="7" text="HEM/ONC">
      <formula>NOT(ISERROR(SEARCH(("HEM/ONC"),(AB49))))</formula>
    </cfRule>
    <cfRule type="containsText" priority="17431" operator="containsText" dxfId="7" text="CARDIO">
      <formula>NOT(ISERROR(SEARCH(("CARDIO"),(AB49))))</formula>
    </cfRule>
    <cfRule type="containsText" priority="17432" operator="containsText" dxfId="7" text="ID">
      <formula>NOT(ISERROR(SEARCH(("ID"),(AB49))))</formula>
    </cfRule>
    <cfRule type="containsText" priority="17433" operator="containsText" dxfId="7" text="NEURO">
      <formula>NOT(ISERROR(SEARCH(("NEURO"),(AB49))))</formula>
    </cfRule>
    <cfRule type="containsText" priority="17434" operator="containsText" dxfId="6" text="NEURO">
      <formula>NOT(ISERROR(SEARCH(("NEURO"),(AB49))))</formula>
    </cfRule>
    <cfRule type="containsText" priority="17435" operator="containsText" dxfId="5" text="NEURO">
      <formula>NOT(ISERROR(SEARCH(("NEURO"),(AB49))))</formula>
    </cfRule>
    <cfRule type="containsText" priority="17436" operator="containsText" dxfId="0" text="ICU N">
      <formula>NOT(ISERROR(SEARCH(("ICU N"),(AB49))))</formula>
    </cfRule>
    <cfRule type="containsText" priority="17437" operator="containsText" dxfId="3" text="ICU">
      <formula>NOT(ISERROR(SEARCH(("ICU"),(AB49))))</formula>
    </cfRule>
    <cfRule type="containsText" priority="17438" operator="containsText" dxfId="0" text="SWING">
      <formula>NOT(ISERROR(SEARCH(("SWING"),(AB49))))</formula>
    </cfRule>
    <cfRule type="containsText" priority="17439" operator="containsText" dxfId="0" text="NF">
      <formula>NOT(ISERROR(SEARCH(("NF"),(AB49))))</formula>
    </cfRule>
    <cfRule type="containsText" priority="17408" operator="containsText" dxfId="7" text="PATH">
      <formula>NOT(ISERROR(SEARCH(("PATH"),(AB49))))</formula>
    </cfRule>
    <cfRule type="containsText" priority="17409" operator="containsText" dxfId="7" text="NEPHRO">
      <formula>NOT(ISERROR(SEARCH(("NEPHRO"),(AB49))))</formula>
    </cfRule>
    <cfRule type="containsText" priority="17410" operator="containsText" dxfId="7" text="PULM">
      <formula>NOT(ISERROR(SEARCH(("PULM"),(AB49))))</formula>
    </cfRule>
    <cfRule type="containsText" priority="17411" operator="containsText" dxfId="7" text="RADIOLOGY">
      <formula>NOT(ISERROR(SEARCH(("RADIOLOGY"),(AB49))))</formula>
    </cfRule>
    <cfRule type="containsText" priority="17412" operator="containsText" dxfId="7" text="HEM/ONC">
      <formula>NOT(ISERROR(SEARCH(("HEM/ONC"),(AB49))))</formula>
    </cfRule>
    <cfRule type="containsText" priority="17413" operator="containsText" dxfId="7" text="CARDIO">
      <formula>NOT(ISERROR(SEARCH(("CARDIO"),(AB49))))</formula>
    </cfRule>
    <cfRule type="containsText" priority="17414" operator="containsText" dxfId="7" text="ID">
      <formula>NOT(ISERROR(SEARCH(("ID"),(AB49))))</formula>
    </cfRule>
    <cfRule type="containsText" priority="17415" operator="containsText" dxfId="7" text="NEURO">
      <formula>NOT(ISERROR(SEARCH(("NEURO"),(AB49))))</formula>
    </cfRule>
    <cfRule type="containsText" priority="17416" operator="containsText" dxfId="6" text="NEURO">
      <formula>NOT(ISERROR(SEARCH(("NEURO"),(AB49))))</formula>
    </cfRule>
    <cfRule type="containsText" priority="17417" operator="containsText" dxfId="5" text="NEURO">
      <formula>NOT(ISERROR(SEARCH(("NEURO"),(AB49))))</formula>
    </cfRule>
    <cfRule type="containsText" priority="17418" operator="containsText" dxfId="0" text="ICU N">
      <formula>NOT(ISERROR(SEARCH(("ICU N"),(AB49))))</formula>
    </cfRule>
    <cfRule type="containsText" priority="17419" operator="containsText" dxfId="3" text="ICU">
      <formula>NOT(ISERROR(SEARCH(("ICU"),(AB49))))</formula>
    </cfRule>
    <cfRule type="containsText" priority="17420" operator="containsText" dxfId="0" text="SWING">
      <formula>NOT(ISERROR(SEARCH(("SWING"),(AB49))))</formula>
    </cfRule>
    <cfRule type="containsText" priority="17421" operator="containsText" dxfId="0" text="NF">
      <formula>NOT(ISERROR(SEARCH(("NF"),(AB49))))</formula>
    </cfRule>
    <cfRule type="containsText" priority="17422" operator="containsText" dxfId="0" text="ICU N">
      <formula>NOT(ISERROR(SEARCH(("ICU N"),(AB49))))</formula>
    </cfRule>
  </conditionalFormatting>
  <conditionalFormatting sqref="AD51:AE51">
    <cfRule type="containsText" priority="17390" operator="containsText" dxfId="16" text="ED">
      <formula>NOT(ISERROR(SEARCH(("ED"),(AD51))))</formula>
    </cfRule>
    <cfRule type="containsText" priority="17391" operator="containsText" dxfId="15" text="GERIATRIC">
      <formula>NOT(ISERROR(SEARCH(("GERIATRIC"),(AD51))))</formula>
    </cfRule>
    <cfRule type="containsText" priority="17392" operator="containsText" dxfId="17" text="VACATION">
      <formula>NOT(ISERROR(SEARCH(("VACATION"),(AD51))))</formula>
    </cfRule>
    <cfRule type="containsText" priority="17393" operator="containsText" dxfId="7" text="PATH">
      <formula>NOT(ISERROR(SEARCH(("PATH"),(AD51))))</formula>
    </cfRule>
    <cfRule type="containsText" priority="17394" operator="containsText" dxfId="7" text="NEPHRO">
      <formula>NOT(ISERROR(SEARCH(("NEPHRO"),(AD51))))</formula>
    </cfRule>
    <cfRule type="containsText" priority="17395" operator="containsText" dxfId="7" text="PULM">
      <formula>NOT(ISERROR(SEARCH(("PULM"),(AD51))))</formula>
    </cfRule>
    <cfRule type="containsText" priority="17396" operator="containsText" dxfId="7" text="RADIOLOGY">
      <formula>NOT(ISERROR(SEARCH(("RADIOLOGY"),(AD51))))</formula>
    </cfRule>
    <cfRule type="containsText" priority="17397" operator="containsText" dxfId="7" text="HEM/ONC">
      <formula>NOT(ISERROR(SEARCH(("HEM/ONC"),(AD51))))</formula>
    </cfRule>
    <cfRule type="containsText" priority="17398" operator="containsText" dxfId="7" text="CARDIO">
      <formula>NOT(ISERROR(SEARCH(("CARDIO"),(AD51))))</formula>
    </cfRule>
    <cfRule type="containsText" priority="17399" operator="containsText" dxfId="7" text="ID">
      <formula>NOT(ISERROR(SEARCH(("ID"),(AD51))))</formula>
    </cfRule>
    <cfRule type="containsText" priority="17400" operator="containsText" dxfId="7" text="NEURO">
      <formula>NOT(ISERROR(SEARCH(("NEURO"),(AD51))))</formula>
    </cfRule>
    <cfRule type="containsText" priority="17401" operator="containsText" dxfId="6" text="NEURO">
      <formula>NOT(ISERROR(SEARCH(("NEURO"),(AD51))))</formula>
    </cfRule>
    <cfRule type="containsText" priority="17402" operator="containsText" dxfId="5" text="NEURO">
      <formula>NOT(ISERROR(SEARCH(("NEURO"),(AD51))))</formula>
    </cfRule>
    <cfRule type="containsText" priority="17403" operator="containsText" dxfId="0" text="ICU N">
      <formula>NOT(ISERROR(SEARCH(("ICU N"),(AD51))))</formula>
    </cfRule>
    <cfRule type="containsText" priority="17404" operator="containsText" dxfId="3" text="ICU">
      <formula>NOT(ISERROR(SEARCH(("ICU"),(AD51))))</formula>
    </cfRule>
    <cfRule type="containsText" priority="17405" operator="containsText" dxfId="0" text="SWING">
      <formula>NOT(ISERROR(SEARCH(("SWING"),(AD51))))</formula>
    </cfRule>
    <cfRule type="containsText" priority="17406" operator="containsText" dxfId="0" text="NF">
      <formula>NOT(ISERROR(SEARCH(("NF"),(AD51))))</formula>
    </cfRule>
    <cfRule type="containsText" priority="17407" operator="containsText" dxfId="0" text="ICU N">
      <formula>NOT(ISERROR(SEARCH(("ICU N"),(AD51))))</formula>
    </cfRule>
    <cfRule type="containsText" priority="17373" operator="containsText" dxfId="17" text="VACATION">
      <formula>NOT(ISERROR(SEARCH(("VACATION"),(AD51))))</formula>
    </cfRule>
    <cfRule type="containsText" priority="17374" operator="containsText" dxfId="16" text="ED">
      <formula>NOT(ISERROR(SEARCH(("ED"),(AD51))))</formula>
    </cfRule>
    <cfRule type="containsText" priority="17375" operator="containsText" dxfId="15" text="GERIATRIC">
      <formula>NOT(ISERROR(SEARCH(("GERIATRIC"),(AD51))))</formula>
    </cfRule>
    <cfRule type="containsText" priority="17376" operator="containsText" dxfId="7" text="PATH">
      <formula>NOT(ISERROR(SEARCH(("PATH"),(AD51))))</formula>
    </cfRule>
    <cfRule type="containsText" priority="17377" operator="containsText" dxfId="7" text="NEPHRO">
      <formula>NOT(ISERROR(SEARCH(("NEPHRO"),(AD51))))</formula>
    </cfRule>
    <cfRule type="containsText" priority="17378" operator="containsText" dxfId="7" text="PULM">
      <formula>NOT(ISERROR(SEARCH(("PULM"),(AD51))))</formula>
    </cfRule>
    <cfRule type="containsText" priority="17379" operator="containsText" dxfId="7" text="RADIOLOGY">
      <formula>NOT(ISERROR(SEARCH(("RADIOLOGY"),(AD51))))</formula>
    </cfRule>
    <cfRule type="containsText" priority="17380" operator="containsText" dxfId="7" text="HEM/ONC">
      <formula>NOT(ISERROR(SEARCH(("HEM/ONC"),(AD51))))</formula>
    </cfRule>
    <cfRule type="containsText" priority="17381" operator="containsText" dxfId="7" text="CARDIO">
      <formula>NOT(ISERROR(SEARCH(("CARDIO"),(AD51))))</formula>
    </cfRule>
    <cfRule type="containsText" priority="17382" operator="containsText" dxfId="7" text="ID">
      <formula>NOT(ISERROR(SEARCH(("ID"),(AD51))))</formula>
    </cfRule>
    <cfRule type="containsText" priority="17383" operator="containsText" dxfId="7" text="NEURO">
      <formula>NOT(ISERROR(SEARCH(("NEURO"),(AD51))))</formula>
    </cfRule>
    <cfRule type="containsText" priority="17384" operator="containsText" dxfId="6" text="NEURO">
      <formula>NOT(ISERROR(SEARCH(("NEURO"),(AD51))))</formula>
    </cfRule>
    <cfRule type="containsText" priority="17385" operator="containsText" dxfId="5" text="NEURO">
      <formula>NOT(ISERROR(SEARCH(("NEURO"),(AD51))))</formula>
    </cfRule>
    <cfRule type="containsText" priority="17386" operator="containsText" dxfId="0" text="ICU N">
      <formula>NOT(ISERROR(SEARCH(("ICU N"),(AD51))))</formula>
    </cfRule>
    <cfRule type="containsText" priority="17387" operator="containsText" dxfId="3" text="ICU">
      <formula>NOT(ISERROR(SEARCH(("ICU"),(AD51))))</formula>
    </cfRule>
    <cfRule type="containsText" priority="17388" operator="containsText" dxfId="0" text="SWING">
      <formula>NOT(ISERROR(SEARCH(("SWING"),(AD51))))</formula>
    </cfRule>
    <cfRule type="containsText" priority="17389" operator="containsText" dxfId="0" text="NF">
      <formula>NOT(ISERROR(SEARCH(("NF"),(AD51))))</formula>
    </cfRule>
    <cfRule type="containsText" priority="17358" operator="containsText" dxfId="7" text="PATH">
      <formula>NOT(ISERROR(SEARCH(("PATH"),(AD51))))</formula>
    </cfRule>
    <cfRule type="containsText" priority="17359" operator="containsText" dxfId="7" text="NEPHRO">
      <formula>NOT(ISERROR(SEARCH(("NEPHRO"),(AD51))))</formula>
    </cfRule>
    <cfRule type="containsText" priority="17360" operator="containsText" dxfId="7" text="PULM">
      <formula>NOT(ISERROR(SEARCH(("PULM"),(AD51))))</formula>
    </cfRule>
    <cfRule type="containsText" priority="17361" operator="containsText" dxfId="7" text="RADIOLOGY">
      <formula>NOT(ISERROR(SEARCH(("RADIOLOGY"),(AD51))))</formula>
    </cfRule>
    <cfRule type="containsText" priority="17362" operator="containsText" dxfId="7" text="HEM/ONC">
      <formula>NOT(ISERROR(SEARCH(("HEM/ONC"),(AD51))))</formula>
    </cfRule>
    <cfRule type="containsText" priority="17363" operator="containsText" dxfId="7" text="CARDIO">
      <formula>NOT(ISERROR(SEARCH(("CARDIO"),(AD51))))</formula>
    </cfRule>
    <cfRule type="containsText" priority="17364" operator="containsText" dxfId="7" text="ID">
      <formula>NOT(ISERROR(SEARCH(("ID"),(AD51))))</formula>
    </cfRule>
    <cfRule type="containsText" priority="17365" operator="containsText" dxfId="7" text="NEURO">
      <formula>NOT(ISERROR(SEARCH(("NEURO"),(AD51))))</formula>
    </cfRule>
    <cfRule type="containsText" priority="17366" operator="containsText" dxfId="6" text="NEURO">
      <formula>NOT(ISERROR(SEARCH(("NEURO"),(AD51))))</formula>
    </cfRule>
    <cfRule type="containsText" priority="17367" operator="containsText" dxfId="5" text="NEURO">
      <formula>NOT(ISERROR(SEARCH(("NEURO"),(AD51))))</formula>
    </cfRule>
    <cfRule type="containsText" priority="17368" operator="containsText" dxfId="0" text="ICU N">
      <formula>NOT(ISERROR(SEARCH(("ICU N"),(AD51))))</formula>
    </cfRule>
    <cfRule type="containsText" priority="17369" operator="containsText" dxfId="3" text="ICU">
      <formula>NOT(ISERROR(SEARCH(("ICU"),(AD51))))</formula>
    </cfRule>
    <cfRule type="containsText" priority="17370" operator="containsText" dxfId="0" text="SWING">
      <formula>NOT(ISERROR(SEARCH(("SWING"),(AD51))))</formula>
    </cfRule>
    <cfRule type="containsText" priority="17371" operator="containsText" dxfId="0" text="NF">
      <formula>NOT(ISERROR(SEARCH(("NF"),(AD51))))</formula>
    </cfRule>
    <cfRule type="containsText" priority="17372" operator="containsText" dxfId="0" text="ICU N">
      <formula>NOT(ISERROR(SEARCH(("ICU N"),(AD51))))</formula>
    </cfRule>
  </conditionalFormatting>
  <conditionalFormatting sqref="AF49:AG50 AF51:AI52 AG53:AI53 AI49:AI50">
    <cfRule type="containsText" priority="17340" operator="containsText" dxfId="16" text="ED">
      <formula>NOT(ISERROR(SEARCH(("ED"),(AF49))))</formula>
    </cfRule>
    <cfRule type="containsText" priority="17341" operator="containsText" dxfId="15" text="GERIATRIC">
      <formula>NOT(ISERROR(SEARCH(("GERIATRIC"),(AF49))))</formula>
    </cfRule>
    <cfRule type="containsText" priority="17342" operator="containsText" dxfId="17" text="VACATION">
      <formula>NOT(ISERROR(SEARCH(("VACATION"),(AF49))))</formula>
    </cfRule>
    <cfRule type="containsText" priority="17343" operator="containsText" dxfId="7" text="PATH">
      <formula>NOT(ISERROR(SEARCH(("PATH"),(AF49))))</formula>
    </cfRule>
    <cfRule type="containsText" priority="17344" operator="containsText" dxfId="7" text="NEPHRO">
      <formula>NOT(ISERROR(SEARCH(("NEPHRO"),(AF49))))</formula>
    </cfRule>
    <cfRule type="containsText" priority="17345" operator="containsText" dxfId="7" text="PULM">
      <formula>NOT(ISERROR(SEARCH(("PULM"),(AF49))))</formula>
    </cfRule>
    <cfRule type="containsText" priority="17346" operator="containsText" dxfId="7" text="RADIOLOGY">
      <formula>NOT(ISERROR(SEARCH(("RADIOLOGY"),(AF49))))</formula>
    </cfRule>
    <cfRule type="containsText" priority="17347" operator="containsText" dxfId="7" text="HEM/ONC">
      <formula>NOT(ISERROR(SEARCH(("HEM/ONC"),(AF49))))</formula>
    </cfRule>
    <cfRule type="containsText" priority="17348" operator="containsText" dxfId="7" text="CARDIO">
      <formula>NOT(ISERROR(SEARCH(("CARDIO"),(AF49))))</formula>
    </cfRule>
    <cfRule type="containsText" priority="17349" operator="containsText" dxfId="7" text="ID">
      <formula>NOT(ISERROR(SEARCH(("ID"),(AF49))))</formula>
    </cfRule>
    <cfRule type="containsText" priority="17350" operator="containsText" dxfId="7" text="NEURO">
      <formula>NOT(ISERROR(SEARCH(("NEURO"),(AF49))))</formula>
    </cfRule>
    <cfRule type="containsText" priority="17351" operator="containsText" dxfId="6" text="NEURO">
      <formula>NOT(ISERROR(SEARCH(("NEURO"),(AF49))))</formula>
    </cfRule>
    <cfRule type="containsText" priority="17352" operator="containsText" dxfId="5" text="NEURO">
      <formula>NOT(ISERROR(SEARCH(("NEURO"),(AF49))))</formula>
    </cfRule>
    <cfRule type="containsText" priority="17353" operator="containsText" dxfId="0" text="ICU N">
      <formula>NOT(ISERROR(SEARCH(("ICU N"),(AF49))))</formula>
    </cfRule>
    <cfRule type="containsText" priority="17354" operator="containsText" dxfId="3" text="ICU">
      <formula>NOT(ISERROR(SEARCH(("ICU"),(AF49))))</formula>
    </cfRule>
    <cfRule type="containsText" priority="17355" operator="containsText" dxfId="0" text="SWING">
      <formula>NOT(ISERROR(SEARCH(("SWING"),(AF49))))</formula>
    </cfRule>
    <cfRule type="containsText" priority="17356" operator="containsText" dxfId="0" text="NF">
      <formula>NOT(ISERROR(SEARCH(("NF"),(AF49))))</formula>
    </cfRule>
    <cfRule type="containsText" priority="17357" operator="containsText" dxfId="0" text="ICU N">
      <formula>NOT(ISERROR(SEARCH(("ICU N"),(AF49))))</formula>
    </cfRule>
    <cfRule type="containsText" priority="17323" operator="containsText" dxfId="17" text="VACATION">
      <formula>NOT(ISERROR(SEARCH(("VACATION"),(AF49))))</formula>
    </cfRule>
    <cfRule type="containsText" priority="17324" operator="containsText" dxfId="16" text="ED">
      <formula>NOT(ISERROR(SEARCH(("ED"),(AF49))))</formula>
    </cfRule>
    <cfRule type="containsText" priority="17325" operator="containsText" dxfId="15" text="GERIATRIC">
      <formula>NOT(ISERROR(SEARCH(("GERIATRIC"),(AF49))))</formula>
    </cfRule>
    <cfRule type="containsText" priority="17326" operator="containsText" dxfId="7" text="PATH">
      <formula>NOT(ISERROR(SEARCH(("PATH"),(AF49))))</formula>
    </cfRule>
    <cfRule type="containsText" priority="17327" operator="containsText" dxfId="7" text="NEPHRO">
      <formula>NOT(ISERROR(SEARCH(("NEPHRO"),(AF49))))</formula>
    </cfRule>
    <cfRule type="containsText" priority="17328" operator="containsText" dxfId="7" text="PULM">
      <formula>NOT(ISERROR(SEARCH(("PULM"),(AF49))))</formula>
    </cfRule>
    <cfRule type="containsText" priority="17329" operator="containsText" dxfId="7" text="RADIOLOGY">
      <formula>NOT(ISERROR(SEARCH(("RADIOLOGY"),(AF49))))</formula>
    </cfRule>
    <cfRule type="containsText" priority="17330" operator="containsText" dxfId="7" text="HEM/ONC">
      <formula>NOT(ISERROR(SEARCH(("HEM/ONC"),(AF49))))</formula>
    </cfRule>
    <cfRule type="containsText" priority="17331" operator="containsText" dxfId="7" text="CARDIO">
      <formula>NOT(ISERROR(SEARCH(("CARDIO"),(AF49))))</formula>
    </cfRule>
    <cfRule type="containsText" priority="17332" operator="containsText" dxfId="7" text="ID">
      <formula>NOT(ISERROR(SEARCH(("ID"),(AF49))))</formula>
    </cfRule>
    <cfRule type="containsText" priority="17333" operator="containsText" dxfId="7" text="NEURO">
      <formula>NOT(ISERROR(SEARCH(("NEURO"),(AF49))))</formula>
    </cfRule>
    <cfRule type="containsText" priority="17334" operator="containsText" dxfId="6" text="NEURO">
      <formula>NOT(ISERROR(SEARCH(("NEURO"),(AF49))))</formula>
    </cfRule>
    <cfRule type="containsText" priority="17335" operator="containsText" dxfId="5" text="NEURO">
      <formula>NOT(ISERROR(SEARCH(("NEURO"),(AF49))))</formula>
    </cfRule>
    <cfRule type="containsText" priority="17336" operator="containsText" dxfId="0" text="ICU N">
      <formula>NOT(ISERROR(SEARCH(("ICU N"),(AF49))))</formula>
    </cfRule>
    <cfRule type="containsText" priority="17337" operator="containsText" dxfId="3" text="ICU">
      <formula>NOT(ISERROR(SEARCH(("ICU"),(AF49))))</formula>
    </cfRule>
    <cfRule type="containsText" priority="17338" operator="containsText" dxfId="0" text="SWING">
      <formula>NOT(ISERROR(SEARCH(("SWING"),(AF49))))</formula>
    </cfRule>
    <cfRule type="containsText" priority="17339" operator="containsText" dxfId="0" text="NF">
      <formula>NOT(ISERROR(SEARCH(("NF"),(AF49))))</formula>
    </cfRule>
    <cfRule type="containsText" priority="17308" operator="containsText" dxfId="7" text="PATH">
      <formula>NOT(ISERROR(SEARCH(("PATH"),(AF49))))</formula>
    </cfRule>
    <cfRule type="containsText" priority="17309" operator="containsText" dxfId="7" text="NEPHRO">
      <formula>NOT(ISERROR(SEARCH(("NEPHRO"),(AF49))))</formula>
    </cfRule>
    <cfRule type="containsText" priority="17310" operator="containsText" dxfId="7" text="PULM">
      <formula>NOT(ISERROR(SEARCH(("PULM"),(AF49))))</formula>
    </cfRule>
    <cfRule type="containsText" priority="17311" operator="containsText" dxfId="7" text="RADIOLOGY">
      <formula>NOT(ISERROR(SEARCH(("RADIOLOGY"),(AF49))))</formula>
    </cfRule>
    <cfRule type="containsText" priority="17312" operator="containsText" dxfId="7" text="HEM/ONC">
      <formula>NOT(ISERROR(SEARCH(("HEM/ONC"),(AF49))))</formula>
    </cfRule>
    <cfRule type="containsText" priority="17313" operator="containsText" dxfId="7" text="CARDIO">
      <formula>NOT(ISERROR(SEARCH(("CARDIO"),(AF49))))</formula>
    </cfRule>
    <cfRule type="containsText" priority="17314" operator="containsText" dxfId="7" text="ID">
      <formula>NOT(ISERROR(SEARCH(("ID"),(AF49))))</formula>
    </cfRule>
    <cfRule type="containsText" priority="17315" operator="containsText" dxfId="7" text="NEURO">
      <formula>NOT(ISERROR(SEARCH(("NEURO"),(AF49))))</formula>
    </cfRule>
    <cfRule type="containsText" priority="17316" operator="containsText" dxfId="6" text="NEURO">
      <formula>NOT(ISERROR(SEARCH(("NEURO"),(AF49))))</formula>
    </cfRule>
    <cfRule type="containsText" priority="17317" operator="containsText" dxfId="5" text="NEURO">
      <formula>NOT(ISERROR(SEARCH(("NEURO"),(AF49))))</formula>
    </cfRule>
    <cfRule type="containsText" priority="17318" operator="containsText" dxfId="0" text="ICU N">
      <formula>NOT(ISERROR(SEARCH(("ICU N"),(AF49))))</formula>
    </cfRule>
    <cfRule type="containsText" priority="17319" operator="containsText" dxfId="3" text="ICU">
      <formula>NOT(ISERROR(SEARCH(("ICU"),(AF49))))</formula>
    </cfRule>
    <cfRule type="containsText" priority="17320" operator="containsText" dxfId="0" text="SWING">
      <formula>NOT(ISERROR(SEARCH(("SWING"),(AF49))))</formula>
    </cfRule>
    <cfRule type="containsText" priority="17321" operator="containsText" dxfId="0" text="NF">
      <formula>NOT(ISERROR(SEARCH(("NF"),(AF49))))</formula>
    </cfRule>
    <cfRule type="containsText" priority="17322" operator="containsText" dxfId="0" text="ICU N">
      <formula>NOT(ISERROR(SEARCH(("ICU N"),(AF49))))</formula>
    </cfRule>
  </conditionalFormatting>
  <conditionalFormatting sqref="AJ50:AM50 AJ51 AJ52:AM53 AL49:AM49 AM51">
    <cfRule type="containsText" priority="17290" operator="containsText" dxfId="16" text="ED">
      <formula>NOT(ISERROR(SEARCH(("ED"),(AJ49))))</formula>
    </cfRule>
    <cfRule type="containsText" priority="17291" operator="containsText" dxfId="15" text="GERIATRIC">
      <formula>NOT(ISERROR(SEARCH(("GERIATRIC"),(AJ49))))</formula>
    </cfRule>
    <cfRule type="containsText" priority="17292" operator="containsText" dxfId="17" text="VACATION">
      <formula>NOT(ISERROR(SEARCH(("VACATION"),(AJ49))))</formula>
    </cfRule>
    <cfRule type="containsText" priority="17293" operator="containsText" dxfId="7" text="PATH">
      <formula>NOT(ISERROR(SEARCH(("PATH"),(AJ49))))</formula>
    </cfRule>
    <cfRule type="containsText" priority="17294" operator="containsText" dxfId="7" text="NEPHRO">
      <formula>NOT(ISERROR(SEARCH(("NEPHRO"),(AJ49))))</formula>
    </cfRule>
    <cfRule type="containsText" priority="17295" operator="containsText" dxfId="7" text="PULM">
      <formula>NOT(ISERROR(SEARCH(("PULM"),(AJ49))))</formula>
    </cfRule>
    <cfRule type="containsText" priority="17296" operator="containsText" dxfId="7" text="RADIOLOGY">
      <formula>NOT(ISERROR(SEARCH(("RADIOLOGY"),(AJ49))))</formula>
    </cfRule>
    <cfRule type="containsText" priority="17297" operator="containsText" dxfId="7" text="HEM/ONC">
      <formula>NOT(ISERROR(SEARCH(("HEM/ONC"),(AJ49))))</formula>
    </cfRule>
    <cfRule type="containsText" priority="17298" operator="containsText" dxfId="7" text="CARDIO">
      <formula>NOT(ISERROR(SEARCH(("CARDIO"),(AJ49))))</formula>
    </cfRule>
    <cfRule type="containsText" priority="17299" operator="containsText" dxfId="7" text="ID">
      <formula>NOT(ISERROR(SEARCH(("ID"),(AJ49))))</formula>
    </cfRule>
    <cfRule type="containsText" priority="17300" operator="containsText" dxfId="7" text="NEURO">
      <formula>NOT(ISERROR(SEARCH(("NEURO"),(AJ49))))</formula>
    </cfRule>
    <cfRule type="containsText" priority="17301" operator="containsText" dxfId="6" text="NEURO">
      <formula>NOT(ISERROR(SEARCH(("NEURO"),(AJ49))))</formula>
    </cfRule>
    <cfRule type="containsText" priority="17302" operator="containsText" dxfId="5" text="NEURO">
      <formula>NOT(ISERROR(SEARCH(("NEURO"),(AJ49))))</formula>
    </cfRule>
    <cfRule type="containsText" priority="17303" operator="containsText" dxfId="0" text="ICU N">
      <formula>NOT(ISERROR(SEARCH(("ICU N"),(AJ49))))</formula>
    </cfRule>
    <cfRule type="containsText" priority="17304" operator="containsText" dxfId="3" text="ICU">
      <formula>NOT(ISERROR(SEARCH(("ICU"),(AJ49))))</formula>
    </cfRule>
    <cfRule type="containsText" priority="17305" operator="containsText" dxfId="0" text="SWING">
      <formula>NOT(ISERROR(SEARCH(("SWING"),(AJ49))))</formula>
    </cfRule>
    <cfRule type="containsText" priority="17306" operator="containsText" dxfId="0" text="NF">
      <formula>NOT(ISERROR(SEARCH(("NF"),(AJ49))))</formula>
    </cfRule>
    <cfRule type="containsText" priority="17307" operator="containsText" dxfId="0" text="ICU N">
      <formula>NOT(ISERROR(SEARCH(("ICU N"),(AJ49))))</formula>
    </cfRule>
    <cfRule type="containsText" priority="17273" operator="containsText" dxfId="17" text="VACATION">
      <formula>NOT(ISERROR(SEARCH(("VACATION"),(AJ49))))</formula>
    </cfRule>
    <cfRule type="containsText" priority="17274" operator="containsText" dxfId="16" text="ED">
      <formula>NOT(ISERROR(SEARCH(("ED"),(AJ49))))</formula>
    </cfRule>
    <cfRule type="containsText" priority="17275" operator="containsText" dxfId="15" text="GERIATRIC">
      <formula>NOT(ISERROR(SEARCH(("GERIATRIC"),(AJ49))))</formula>
    </cfRule>
    <cfRule type="containsText" priority="17276" operator="containsText" dxfId="7" text="PATH">
      <formula>NOT(ISERROR(SEARCH(("PATH"),(AJ49))))</formula>
    </cfRule>
    <cfRule type="containsText" priority="17277" operator="containsText" dxfId="7" text="NEPHRO">
      <formula>NOT(ISERROR(SEARCH(("NEPHRO"),(AJ49))))</formula>
    </cfRule>
    <cfRule type="containsText" priority="17278" operator="containsText" dxfId="7" text="PULM">
      <formula>NOT(ISERROR(SEARCH(("PULM"),(AJ49))))</formula>
    </cfRule>
    <cfRule type="containsText" priority="17279" operator="containsText" dxfId="7" text="RADIOLOGY">
      <formula>NOT(ISERROR(SEARCH(("RADIOLOGY"),(AJ49))))</formula>
    </cfRule>
    <cfRule type="containsText" priority="17280" operator="containsText" dxfId="7" text="HEM/ONC">
      <formula>NOT(ISERROR(SEARCH(("HEM/ONC"),(AJ49))))</formula>
    </cfRule>
    <cfRule type="containsText" priority="17281" operator="containsText" dxfId="7" text="CARDIO">
      <formula>NOT(ISERROR(SEARCH(("CARDIO"),(AJ49))))</formula>
    </cfRule>
    <cfRule type="containsText" priority="17282" operator="containsText" dxfId="7" text="ID">
      <formula>NOT(ISERROR(SEARCH(("ID"),(AJ49))))</formula>
    </cfRule>
    <cfRule type="containsText" priority="17283" operator="containsText" dxfId="7" text="NEURO">
      <formula>NOT(ISERROR(SEARCH(("NEURO"),(AJ49))))</formula>
    </cfRule>
    <cfRule type="containsText" priority="17284" operator="containsText" dxfId="6" text="NEURO">
      <formula>NOT(ISERROR(SEARCH(("NEURO"),(AJ49))))</formula>
    </cfRule>
    <cfRule type="containsText" priority="17285" operator="containsText" dxfId="5" text="NEURO">
      <formula>NOT(ISERROR(SEARCH(("NEURO"),(AJ49))))</formula>
    </cfRule>
    <cfRule type="containsText" priority="17286" operator="containsText" dxfId="0" text="ICU N">
      <formula>NOT(ISERROR(SEARCH(("ICU N"),(AJ49))))</formula>
    </cfRule>
    <cfRule type="containsText" priority="17287" operator="containsText" dxfId="3" text="ICU">
      <formula>NOT(ISERROR(SEARCH(("ICU"),(AJ49))))</formula>
    </cfRule>
    <cfRule type="containsText" priority="17288" operator="containsText" dxfId="0" text="SWING">
      <formula>NOT(ISERROR(SEARCH(("SWING"),(AJ49))))</formula>
    </cfRule>
    <cfRule type="containsText" priority="17289" operator="containsText" dxfId="0" text="NF">
      <formula>NOT(ISERROR(SEARCH(("NF"),(AJ49))))</formula>
    </cfRule>
    <cfRule type="containsText" priority="17258" operator="containsText" dxfId="7" text="PATH">
      <formula>NOT(ISERROR(SEARCH(("PATH"),(AJ49))))</formula>
    </cfRule>
    <cfRule type="containsText" priority="17259" operator="containsText" dxfId="7" text="NEPHRO">
      <formula>NOT(ISERROR(SEARCH(("NEPHRO"),(AJ49))))</formula>
    </cfRule>
    <cfRule type="containsText" priority="17260" operator="containsText" dxfId="7" text="PULM">
      <formula>NOT(ISERROR(SEARCH(("PULM"),(AJ49))))</formula>
    </cfRule>
    <cfRule type="containsText" priority="17261" operator="containsText" dxfId="7" text="RADIOLOGY">
      <formula>NOT(ISERROR(SEARCH(("RADIOLOGY"),(AJ49))))</formula>
    </cfRule>
    <cfRule type="containsText" priority="17262" operator="containsText" dxfId="7" text="HEM/ONC">
      <formula>NOT(ISERROR(SEARCH(("HEM/ONC"),(AJ49))))</formula>
    </cfRule>
    <cfRule type="containsText" priority="17263" operator="containsText" dxfId="7" text="CARDIO">
      <formula>NOT(ISERROR(SEARCH(("CARDIO"),(AJ49))))</formula>
    </cfRule>
    <cfRule type="containsText" priority="17264" operator="containsText" dxfId="7" text="ID">
      <formula>NOT(ISERROR(SEARCH(("ID"),(AJ49))))</formula>
    </cfRule>
    <cfRule type="containsText" priority="17265" operator="containsText" dxfId="7" text="NEURO">
      <formula>NOT(ISERROR(SEARCH(("NEURO"),(AJ49))))</formula>
    </cfRule>
    <cfRule type="containsText" priority="17266" operator="containsText" dxfId="6" text="NEURO">
      <formula>NOT(ISERROR(SEARCH(("NEURO"),(AJ49))))</formula>
    </cfRule>
    <cfRule type="containsText" priority="17267" operator="containsText" dxfId="5" text="NEURO">
      <formula>NOT(ISERROR(SEARCH(("NEURO"),(AJ49))))</formula>
    </cfRule>
    <cfRule type="containsText" priority="17268" operator="containsText" dxfId="0" text="ICU N">
      <formula>NOT(ISERROR(SEARCH(("ICU N"),(AJ49))))</formula>
    </cfRule>
    <cfRule type="containsText" priority="17269" operator="containsText" dxfId="3" text="ICU">
      <formula>NOT(ISERROR(SEARCH(("ICU"),(AJ49))))</formula>
    </cfRule>
    <cfRule type="containsText" priority="17270" operator="containsText" dxfId="0" text="SWING">
      <formula>NOT(ISERROR(SEARCH(("SWING"),(AJ49))))</formula>
    </cfRule>
    <cfRule type="containsText" priority="17271" operator="containsText" dxfId="0" text="NF">
      <formula>NOT(ISERROR(SEARCH(("NF"),(AJ49))))</formula>
    </cfRule>
    <cfRule type="containsText" priority="17272" operator="containsText" dxfId="0" text="ICU N">
      <formula>NOT(ISERROR(SEARCH(("ICU N"),(AJ49))))</formula>
    </cfRule>
  </conditionalFormatting>
  <conditionalFormatting sqref="AJ56:AM61">
    <cfRule type="containsText" priority="17240" operator="containsText" dxfId="16" text="ED">
      <formula>NOT(ISERROR(SEARCH(("ED"),(AJ56))))</formula>
    </cfRule>
    <cfRule type="containsText" priority="17241" operator="containsText" dxfId="15" text="GERIATRIC">
      <formula>NOT(ISERROR(SEARCH(("GERIATRIC"),(AJ56))))</formula>
    </cfRule>
    <cfRule type="containsText" priority="17242" operator="containsText" dxfId="17" text="VACATION">
      <formula>NOT(ISERROR(SEARCH(("VACATION"),(AJ56))))</formula>
    </cfRule>
    <cfRule type="containsText" priority="17243" operator="containsText" dxfId="7" text="PATH">
      <formula>NOT(ISERROR(SEARCH(("PATH"),(AJ56))))</formula>
    </cfRule>
    <cfRule type="containsText" priority="17244" operator="containsText" dxfId="7" text="NEPHRO">
      <formula>NOT(ISERROR(SEARCH(("NEPHRO"),(AJ56))))</formula>
    </cfRule>
    <cfRule type="containsText" priority="17245" operator="containsText" dxfId="7" text="PULM">
      <formula>NOT(ISERROR(SEARCH(("PULM"),(AJ56))))</formula>
    </cfRule>
    <cfRule type="containsText" priority="17246" operator="containsText" dxfId="7" text="RADIOLOGY">
      <formula>NOT(ISERROR(SEARCH(("RADIOLOGY"),(AJ56))))</formula>
    </cfRule>
    <cfRule type="containsText" priority="17247" operator="containsText" dxfId="7" text="HEM/ONC">
      <formula>NOT(ISERROR(SEARCH(("HEM/ONC"),(AJ56))))</formula>
    </cfRule>
    <cfRule type="containsText" priority="17248" operator="containsText" dxfId="7" text="CARDIO">
      <formula>NOT(ISERROR(SEARCH(("CARDIO"),(AJ56))))</formula>
    </cfRule>
    <cfRule type="containsText" priority="17249" operator="containsText" dxfId="7" text="ID">
      <formula>NOT(ISERROR(SEARCH(("ID"),(AJ56))))</formula>
    </cfRule>
    <cfRule type="containsText" priority="17250" operator="containsText" dxfId="7" text="NEURO">
      <formula>NOT(ISERROR(SEARCH(("NEURO"),(AJ56))))</formula>
    </cfRule>
    <cfRule type="containsText" priority="17251" operator="containsText" dxfId="6" text="NEURO">
      <formula>NOT(ISERROR(SEARCH(("NEURO"),(AJ56))))</formula>
    </cfRule>
    <cfRule type="containsText" priority="17252" operator="containsText" dxfId="5" text="NEURO">
      <formula>NOT(ISERROR(SEARCH(("NEURO"),(AJ56))))</formula>
    </cfRule>
    <cfRule type="containsText" priority="17253" operator="containsText" dxfId="0" text="ICU N">
      <formula>NOT(ISERROR(SEARCH(("ICU N"),(AJ56))))</formula>
    </cfRule>
    <cfRule type="containsText" priority="17254" operator="containsText" dxfId="3" text="ICU">
      <formula>NOT(ISERROR(SEARCH(("ICU"),(AJ56))))</formula>
    </cfRule>
    <cfRule type="containsText" priority="17255" operator="containsText" dxfId="0" text="SWING">
      <formula>NOT(ISERROR(SEARCH(("SWING"),(AJ56))))</formula>
    </cfRule>
    <cfRule type="containsText" priority="17256" operator="containsText" dxfId="0" text="NF">
      <formula>NOT(ISERROR(SEARCH(("NF"),(AJ56))))</formula>
    </cfRule>
    <cfRule type="containsText" priority="17257" operator="containsText" dxfId="0" text="ICU N">
      <formula>NOT(ISERROR(SEARCH(("ICU N"),(AJ56))))</formula>
    </cfRule>
    <cfRule type="containsText" priority="17223" operator="containsText" dxfId="17" text="VACATION">
      <formula>NOT(ISERROR(SEARCH(("VACATION"),(AJ56))))</formula>
    </cfRule>
    <cfRule type="containsText" priority="17224" operator="containsText" dxfId="16" text="ED">
      <formula>NOT(ISERROR(SEARCH(("ED"),(AJ56))))</formula>
    </cfRule>
    <cfRule type="containsText" priority="17225" operator="containsText" dxfId="15" text="GERIATRIC">
      <formula>NOT(ISERROR(SEARCH(("GERIATRIC"),(AJ56))))</formula>
    </cfRule>
    <cfRule type="containsText" priority="17226" operator="containsText" dxfId="7" text="PATH">
      <formula>NOT(ISERROR(SEARCH(("PATH"),(AJ56))))</formula>
    </cfRule>
    <cfRule type="containsText" priority="17227" operator="containsText" dxfId="7" text="NEPHRO">
      <formula>NOT(ISERROR(SEARCH(("NEPHRO"),(AJ56))))</formula>
    </cfRule>
    <cfRule type="containsText" priority="17228" operator="containsText" dxfId="7" text="PULM">
      <formula>NOT(ISERROR(SEARCH(("PULM"),(AJ56))))</formula>
    </cfRule>
    <cfRule type="containsText" priority="17229" operator="containsText" dxfId="7" text="RADIOLOGY">
      <formula>NOT(ISERROR(SEARCH(("RADIOLOGY"),(AJ56))))</formula>
    </cfRule>
    <cfRule type="containsText" priority="17230" operator="containsText" dxfId="7" text="HEM/ONC">
      <formula>NOT(ISERROR(SEARCH(("HEM/ONC"),(AJ56))))</formula>
    </cfRule>
    <cfRule type="containsText" priority="17231" operator="containsText" dxfId="7" text="CARDIO">
      <formula>NOT(ISERROR(SEARCH(("CARDIO"),(AJ56))))</formula>
    </cfRule>
    <cfRule type="containsText" priority="17232" operator="containsText" dxfId="7" text="ID">
      <formula>NOT(ISERROR(SEARCH(("ID"),(AJ56))))</formula>
    </cfRule>
    <cfRule type="containsText" priority="17233" operator="containsText" dxfId="7" text="NEURO">
      <formula>NOT(ISERROR(SEARCH(("NEURO"),(AJ56))))</formula>
    </cfRule>
    <cfRule type="containsText" priority="17234" operator="containsText" dxfId="6" text="NEURO">
      <formula>NOT(ISERROR(SEARCH(("NEURO"),(AJ56))))</formula>
    </cfRule>
    <cfRule type="containsText" priority="17235" operator="containsText" dxfId="5" text="NEURO">
      <formula>NOT(ISERROR(SEARCH(("NEURO"),(AJ56))))</formula>
    </cfRule>
    <cfRule type="containsText" priority="17236" operator="containsText" dxfId="0" text="ICU N">
      <formula>NOT(ISERROR(SEARCH(("ICU N"),(AJ56))))</formula>
    </cfRule>
    <cfRule type="containsText" priority="17237" operator="containsText" dxfId="3" text="ICU">
      <formula>NOT(ISERROR(SEARCH(("ICU"),(AJ56))))</formula>
    </cfRule>
    <cfRule type="containsText" priority="17238" operator="containsText" dxfId="0" text="SWING">
      <formula>NOT(ISERROR(SEARCH(("SWING"),(AJ56))))</formula>
    </cfRule>
    <cfRule type="containsText" priority="17239" operator="containsText" dxfId="0" text="NF">
      <formula>NOT(ISERROR(SEARCH(("NF"),(AJ56))))</formula>
    </cfRule>
    <cfRule type="containsText" priority="17208" operator="containsText" dxfId="7" text="PATH">
      <formula>NOT(ISERROR(SEARCH(("PATH"),(AJ56))))</formula>
    </cfRule>
    <cfRule type="containsText" priority="17209" operator="containsText" dxfId="7" text="NEPHRO">
      <formula>NOT(ISERROR(SEARCH(("NEPHRO"),(AJ56))))</formula>
    </cfRule>
    <cfRule type="containsText" priority="17210" operator="containsText" dxfId="7" text="PULM">
      <formula>NOT(ISERROR(SEARCH(("PULM"),(AJ56))))</formula>
    </cfRule>
    <cfRule type="containsText" priority="17211" operator="containsText" dxfId="7" text="RADIOLOGY">
      <formula>NOT(ISERROR(SEARCH(("RADIOLOGY"),(AJ56))))</formula>
    </cfRule>
    <cfRule type="containsText" priority="17212" operator="containsText" dxfId="7" text="HEM/ONC">
      <formula>NOT(ISERROR(SEARCH(("HEM/ONC"),(AJ56))))</formula>
    </cfRule>
    <cfRule type="containsText" priority="17213" operator="containsText" dxfId="7" text="CARDIO">
      <formula>NOT(ISERROR(SEARCH(("CARDIO"),(AJ56))))</formula>
    </cfRule>
    <cfRule type="containsText" priority="17214" operator="containsText" dxfId="7" text="ID">
      <formula>NOT(ISERROR(SEARCH(("ID"),(AJ56))))</formula>
    </cfRule>
    <cfRule type="containsText" priority="17215" operator="containsText" dxfId="7" text="NEURO">
      <formula>NOT(ISERROR(SEARCH(("NEURO"),(AJ56))))</formula>
    </cfRule>
    <cfRule type="containsText" priority="17216" operator="containsText" dxfId="6" text="NEURO">
      <formula>NOT(ISERROR(SEARCH(("NEURO"),(AJ56))))</formula>
    </cfRule>
    <cfRule type="containsText" priority="17217" operator="containsText" dxfId="5" text="NEURO">
      <formula>NOT(ISERROR(SEARCH(("NEURO"),(AJ56))))</formula>
    </cfRule>
    <cfRule type="containsText" priority="17218" operator="containsText" dxfId="0" text="ICU N">
      <formula>NOT(ISERROR(SEARCH(("ICU N"),(AJ56))))</formula>
    </cfRule>
    <cfRule type="containsText" priority="17219" operator="containsText" dxfId="3" text="ICU">
      <formula>NOT(ISERROR(SEARCH(("ICU"),(AJ56))))</formula>
    </cfRule>
    <cfRule type="containsText" priority="17220" operator="containsText" dxfId="0" text="SWING">
      <formula>NOT(ISERROR(SEARCH(("SWING"),(AJ56))))</formula>
    </cfRule>
    <cfRule type="containsText" priority="17221" operator="containsText" dxfId="0" text="NF">
      <formula>NOT(ISERROR(SEARCH(("NF"),(AJ56))))</formula>
    </cfRule>
    <cfRule type="containsText" priority="17222" operator="containsText" dxfId="0" text="ICU N">
      <formula>NOT(ISERROR(SEARCH(("ICU N"),(AJ56))))</formula>
    </cfRule>
  </conditionalFormatting>
  <conditionalFormatting sqref="AJ54">
    <cfRule type="containsText" priority="17205" operator="containsText" dxfId="16" text="ED">
      <formula>NOT(ISERROR(SEARCH(("ED"),(AJ54))))</formula>
    </cfRule>
    <cfRule type="containsText" priority="17206" operator="containsText" dxfId="17" text="VACATION">
      <formula>NOT(ISERROR(SEARCH(("VACATION"),(AJ54))))</formula>
    </cfRule>
    <cfRule type="containsText" priority="17207" operator="containsText" dxfId="0" text="ICU N">
      <formula>NOT(ISERROR(SEARCH(("ICU N"),(AJ54))))</formula>
    </cfRule>
    <cfRule type="containsText" priority="17187" operator="containsText" dxfId="16" text="ED">
      <formula>NOT(ISERROR(SEARCH(("ED"),(AJ54))))</formula>
    </cfRule>
    <cfRule type="containsText" priority="17188" operator="containsText" dxfId="15" text="GERIATRIC">
      <formula>NOT(ISERROR(SEARCH(("GERIATRIC"),(AJ54))))</formula>
    </cfRule>
    <cfRule type="containsText" priority="17189" operator="containsText" dxfId="17" text="VACATION">
      <formula>NOT(ISERROR(SEARCH(("VACATION"),(AJ54))))</formula>
    </cfRule>
    <cfRule type="containsText" priority="17190" operator="containsText" dxfId="7" text="PATH">
      <formula>NOT(ISERROR(SEARCH(("PATH"),(AJ54))))</formula>
    </cfRule>
    <cfRule type="containsText" priority="17191" operator="containsText" dxfId="7" text="NEPHRO">
      <formula>NOT(ISERROR(SEARCH(("NEPHRO"),(AJ54))))</formula>
    </cfRule>
    <cfRule type="containsText" priority="17192" operator="containsText" dxfId="7" text="PULM">
      <formula>NOT(ISERROR(SEARCH(("PULM"),(AJ54))))</formula>
    </cfRule>
    <cfRule type="containsText" priority="17193" operator="containsText" dxfId="7" text="RADIOLOGY">
      <formula>NOT(ISERROR(SEARCH(("RADIOLOGY"),(AJ54))))</formula>
    </cfRule>
    <cfRule type="containsText" priority="17194" operator="containsText" dxfId="7" text="HEM/ONC">
      <formula>NOT(ISERROR(SEARCH(("HEM/ONC"),(AJ54))))</formula>
    </cfRule>
    <cfRule type="containsText" priority="17195" operator="containsText" dxfId="7" text="CARDIO">
      <formula>NOT(ISERROR(SEARCH(("CARDIO"),(AJ54))))</formula>
    </cfRule>
    <cfRule type="containsText" priority="17196" operator="containsText" dxfId="7" text="ID">
      <formula>NOT(ISERROR(SEARCH(("ID"),(AJ54))))</formula>
    </cfRule>
    <cfRule type="containsText" priority="17197" operator="containsText" dxfId="7" text="NEURO">
      <formula>NOT(ISERROR(SEARCH(("NEURO"),(AJ54))))</formula>
    </cfRule>
    <cfRule type="containsText" priority="17198" operator="containsText" dxfId="6" text="NEURO">
      <formula>NOT(ISERROR(SEARCH(("NEURO"),(AJ54))))</formula>
    </cfRule>
    <cfRule type="containsText" priority="17199" operator="containsText" dxfId="5" text="NEURO">
      <formula>NOT(ISERROR(SEARCH(("NEURO"),(AJ54))))</formula>
    </cfRule>
    <cfRule type="containsText" priority="17200" operator="containsText" dxfId="0" text="ICU N">
      <formula>NOT(ISERROR(SEARCH(("ICU N"),(AJ54))))</formula>
    </cfRule>
    <cfRule type="containsText" priority="17201" operator="containsText" dxfId="3" text="ICU">
      <formula>NOT(ISERROR(SEARCH(("ICU"),(AJ54))))</formula>
    </cfRule>
    <cfRule type="containsText" priority="17202" operator="containsText" dxfId="0" text="SWING">
      <formula>NOT(ISERROR(SEARCH(("SWING"),(AJ54))))</formula>
    </cfRule>
    <cfRule type="containsText" priority="17203" operator="containsText" dxfId="0" text="NF">
      <formula>NOT(ISERROR(SEARCH(("NF"),(AJ54))))</formula>
    </cfRule>
    <cfRule type="containsText" priority="17204" operator="containsText" dxfId="0" text="ICU N">
      <formula>NOT(ISERROR(SEARCH(("ICU N"),(AJ54))))</formula>
    </cfRule>
    <cfRule type="containsText" priority="17170" operator="containsText" dxfId="17" text="VACATION">
      <formula>NOT(ISERROR(SEARCH(("VACATION"),(AJ54))))</formula>
    </cfRule>
    <cfRule type="containsText" priority="17171" operator="containsText" dxfId="16" text="ED">
      <formula>NOT(ISERROR(SEARCH(("ED"),(AJ54))))</formula>
    </cfRule>
    <cfRule type="containsText" priority="17172" operator="containsText" dxfId="15" text="GERIATRIC">
      <formula>NOT(ISERROR(SEARCH(("GERIATRIC"),(AJ54))))</formula>
    </cfRule>
    <cfRule type="containsText" priority="17173" operator="containsText" dxfId="7" text="PATH">
      <formula>NOT(ISERROR(SEARCH(("PATH"),(AJ54))))</formula>
    </cfRule>
    <cfRule type="containsText" priority="17174" operator="containsText" dxfId="7" text="NEPHRO">
      <formula>NOT(ISERROR(SEARCH(("NEPHRO"),(AJ54))))</formula>
    </cfRule>
    <cfRule type="containsText" priority="17175" operator="containsText" dxfId="7" text="PULM">
      <formula>NOT(ISERROR(SEARCH(("PULM"),(AJ54))))</formula>
    </cfRule>
    <cfRule type="containsText" priority="17176" operator="containsText" dxfId="7" text="RADIOLOGY">
      <formula>NOT(ISERROR(SEARCH(("RADIOLOGY"),(AJ54))))</formula>
    </cfRule>
    <cfRule type="containsText" priority="17177" operator="containsText" dxfId="7" text="HEM/ONC">
      <formula>NOT(ISERROR(SEARCH(("HEM/ONC"),(AJ54))))</formula>
    </cfRule>
    <cfRule type="containsText" priority="17178" operator="containsText" dxfId="7" text="CARDIO">
      <formula>NOT(ISERROR(SEARCH(("CARDIO"),(AJ54))))</formula>
    </cfRule>
    <cfRule type="containsText" priority="17179" operator="containsText" dxfId="7" text="ID">
      <formula>NOT(ISERROR(SEARCH(("ID"),(AJ54))))</formula>
    </cfRule>
    <cfRule type="containsText" priority="17180" operator="containsText" dxfId="7" text="NEURO">
      <formula>NOT(ISERROR(SEARCH(("NEURO"),(AJ54))))</formula>
    </cfRule>
    <cfRule type="containsText" priority="17181" operator="containsText" dxfId="6" text="NEURO">
      <formula>NOT(ISERROR(SEARCH(("NEURO"),(AJ54))))</formula>
    </cfRule>
    <cfRule type="containsText" priority="17182" operator="containsText" dxfId="5" text="NEURO">
      <formula>NOT(ISERROR(SEARCH(("NEURO"),(AJ54))))</formula>
    </cfRule>
    <cfRule type="containsText" priority="17183" operator="containsText" dxfId="0" text="ICU N">
      <formula>NOT(ISERROR(SEARCH(("ICU N"),(AJ54))))</formula>
    </cfRule>
    <cfRule type="containsText" priority="17184" operator="containsText" dxfId="3" text="ICU">
      <formula>NOT(ISERROR(SEARCH(("ICU"),(AJ54))))</formula>
    </cfRule>
    <cfRule type="containsText" priority="17185" operator="containsText" dxfId="0" text="SWING">
      <formula>NOT(ISERROR(SEARCH(("SWING"),(AJ54))))</formula>
    </cfRule>
    <cfRule type="containsText" priority="17186" operator="containsText" dxfId="0" text="NF">
      <formula>NOT(ISERROR(SEARCH(("NF"),(AJ54))))</formula>
    </cfRule>
    <cfRule type="containsText" priority="17155" operator="containsText" dxfId="7" text="PATH">
      <formula>NOT(ISERROR(SEARCH(("PATH"),(AJ54))))</formula>
    </cfRule>
    <cfRule type="containsText" priority="17156" operator="containsText" dxfId="7" text="NEPHRO">
      <formula>NOT(ISERROR(SEARCH(("NEPHRO"),(AJ54))))</formula>
    </cfRule>
    <cfRule type="containsText" priority="17157" operator="containsText" dxfId="7" text="PULM">
      <formula>NOT(ISERROR(SEARCH(("PULM"),(AJ54))))</formula>
    </cfRule>
    <cfRule type="containsText" priority="17158" operator="containsText" dxfId="7" text="RADIOLOGY">
      <formula>NOT(ISERROR(SEARCH(("RADIOLOGY"),(AJ54))))</formula>
    </cfRule>
    <cfRule type="containsText" priority="17159" operator="containsText" dxfId="7" text="HEM/ONC">
      <formula>NOT(ISERROR(SEARCH(("HEM/ONC"),(AJ54))))</formula>
    </cfRule>
    <cfRule type="containsText" priority="17160" operator="containsText" dxfId="7" text="CARDIO">
      <formula>NOT(ISERROR(SEARCH(("CARDIO"),(AJ54))))</formula>
    </cfRule>
    <cfRule type="containsText" priority="17161" operator="containsText" dxfId="7" text="ID">
      <formula>NOT(ISERROR(SEARCH(("ID"),(AJ54))))</formula>
    </cfRule>
    <cfRule type="containsText" priority="17162" operator="containsText" dxfId="7" text="NEURO">
      <formula>NOT(ISERROR(SEARCH(("NEURO"),(AJ54))))</formula>
    </cfRule>
    <cfRule type="containsText" priority="17163" operator="containsText" dxfId="6" text="NEURO">
      <formula>NOT(ISERROR(SEARCH(("NEURO"),(AJ54))))</formula>
    </cfRule>
    <cfRule type="containsText" priority="17164" operator="containsText" dxfId="5" text="NEURO">
      <formula>NOT(ISERROR(SEARCH(("NEURO"),(AJ54))))</formula>
    </cfRule>
    <cfRule type="containsText" priority="17165" operator="containsText" dxfId="0" text="ICU N">
      <formula>NOT(ISERROR(SEARCH(("ICU N"),(AJ54))))</formula>
    </cfRule>
    <cfRule type="containsText" priority="17166" operator="containsText" dxfId="3" text="ICU">
      <formula>NOT(ISERROR(SEARCH(("ICU"),(AJ54))))</formula>
    </cfRule>
    <cfRule type="containsText" priority="17167" operator="containsText" dxfId="0" text="SWING">
      <formula>NOT(ISERROR(SEARCH(("SWING"),(AJ54))))</formula>
    </cfRule>
    <cfRule type="containsText" priority="17168" operator="containsText" dxfId="0" text="NF">
      <formula>NOT(ISERROR(SEARCH(("NF"),(AJ54))))</formula>
    </cfRule>
    <cfRule type="containsText" priority="17169" operator="containsText" dxfId="0" text="ICU N">
      <formula>NOT(ISERROR(SEARCH(("ICU N"),(AJ54))))</formula>
    </cfRule>
  </conditionalFormatting>
  <conditionalFormatting sqref="AK54">
    <cfRule type="containsText" priority="17152" operator="containsText" dxfId="16" text="ED">
      <formula>NOT(ISERROR(SEARCH(("ED"),(AK54))))</formula>
    </cfRule>
    <cfRule type="containsText" priority="17153" operator="containsText" dxfId="17" text="VACATION">
      <formula>NOT(ISERROR(SEARCH(("VACATION"),(AK54))))</formula>
    </cfRule>
    <cfRule type="containsText" priority="17154" operator="containsText" dxfId="0" text="ICU N">
      <formula>NOT(ISERROR(SEARCH(("ICU N"),(AK54))))</formula>
    </cfRule>
    <cfRule type="containsText" priority="17134" operator="containsText" dxfId="16" text="ED">
      <formula>NOT(ISERROR(SEARCH(("ED"),(AK54))))</formula>
    </cfRule>
    <cfRule type="containsText" priority="17135" operator="containsText" dxfId="15" text="GERIATRIC">
      <formula>NOT(ISERROR(SEARCH(("GERIATRIC"),(AK54))))</formula>
    </cfRule>
    <cfRule type="containsText" priority="17136" operator="containsText" dxfId="17" text="VACATION">
      <formula>NOT(ISERROR(SEARCH(("VACATION"),(AK54))))</formula>
    </cfRule>
    <cfRule type="containsText" priority="17137" operator="containsText" dxfId="7" text="PATH">
      <formula>NOT(ISERROR(SEARCH(("PATH"),(AK54))))</formula>
    </cfRule>
    <cfRule type="containsText" priority="17138" operator="containsText" dxfId="7" text="NEPHRO">
      <formula>NOT(ISERROR(SEARCH(("NEPHRO"),(AK54))))</formula>
    </cfRule>
    <cfRule type="containsText" priority="17139" operator="containsText" dxfId="7" text="PULM">
      <formula>NOT(ISERROR(SEARCH(("PULM"),(AK54))))</formula>
    </cfRule>
    <cfRule type="containsText" priority="17140" operator="containsText" dxfId="7" text="RADIOLOGY">
      <formula>NOT(ISERROR(SEARCH(("RADIOLOGY"),(AK54))))</formula>
    </cfRule>
    <cfRule type="containsText" priority="17141" operator="containsText" dxfId="7" text="HEM/ONC">
      <formula>NOT(ISERROR(SEARCH(("HEM/ONC"),(AK54))))</formula>
    </cfRule>
    <cfRule type="containsText" priority="17142" operator="containsText" dxfId="7" text="CARDIO">
      <formula>NOT(ISERROR(SEARCH(("CARDIO"),(AK54))))</formula>
    </cfRule>
    <cfRule type="containsText" priority="17143" operator="containsText" dxfId="7" text="ID">
      <formula>NOT(ISERROR(SEARCH(("ID"),(AK54))))</formula>
    </cfRule>
    <cfRule type="containsText" priority="17144" operator="containsText" dxfId="7" text="NEURO">
      <formula>NOT(ISERROR(SEARCH(("NEURO"),(AK54))))</formula>
    </cfRule>
    <cfRule type="containsText" priority="17145" operator="containsText" dxfId="6" text="NEURO">
      <formula>NOT(ISERROR(SEARCH(("NEURO"),(AK54))))</formula>
    </cfRule>
    <cfRule type="containsText" priority="17146" operator="containsText" dxfId="5" text="NEURO">
      <formula>NOT(ISERROR(SEARCH(("NEURO"),(AK54))))</formula>
    </cfRule>
    <cfRule type="containsText" priority="17147" operator="containsText" dxfId="0" text="ICU N">
      <formula>NOT(ISERROR(SEARCH(("ICU N"),(AK54))))</formula>
    </cfRule>
    <cfRule type="containsText" priority="17148" operator="containsText" dxfId="3" text="ICU">
      <formula>NOT(ISERROR(SEARCH(("ICU"),(AK54))))</formula>
    </cfRule>
    <cfRule type="containsText" priority="17149" operator="containsText" dxfId="0" text="SWING">
      <formula>NOT(ISERROR(SEARCH(("SWING"),(AK54))))</formula>
    </cfRule>
    <cfRule type="containsText" priority="17150" operator="containsText" dxfId="0" text="NF">
      <formula>NOT(ISERROR(SEARCH(("NF"),(AK54))))</formula>
    </cfRule>
    <cfRule type="containsText" priority="17151" operator="containsText" dxfId="0" text="ICU N">
      <formula>NOT(ISERROR(SEARCH(("ICU N"),(AK54))))</formula>
    </cfRule>
    <cfRule type="containsText" priority="17117" operator="containsText" dxfId="17" text="VACATION">
      <formula>NOT(ISERROR(SEARCH(("VACATION"),(AK54))))</formula>
    </cfRule>
    <cfRule type="containsText" priority="17118" operator="containsText" dxfId="16" text="ED">
      <formula>NOT(ISERROR(SEARCH(("ED"),(AK54))))</formula>
    </cfRule>
    <cfRule type="containsText" priority="17119" operator="containsText" dxfId="15" text="GERIATRIC">
      <formula>NOT(ISERROR(SEARCH(("GERIATRIC"),(AK54))))</formula>
    </cfRule>
    <cfRule type="containsText" priority="17120" operator="containsText" dxfId="7" text="PATH">
      <formula>NOT(ISERROR(SEARCH(("PATH"),(AK54))))</formula>
    </cfRule>
    <cfRule type="containsText" priority="17121" operator="containsText" dxfId="7" text="NEPHRO">
      <formula>NOT(ISERROR(SEARCH(("NEPHRO"),(AK54))))</formula>
    </cfRule>
    <cfRule type="containsText" priority="17122" operator="containsText" dxfId="7" text="PULM">
      <formula>NOT(ISERROR(SEARCH(("PULM"),(AK54))))</formula>
    </cfRule>
    <cfRule type="containsText" priority="17123" operator="containsText" dxfId="7" text="RADIOLOGY">
      <formula>NOT(ISERROR(SEARCH(("RADIOLOGY"),(AK54))))</formula>
    </cfRule>
    <cfRule type="containsText" priority="17124" operator="containsText" dxfId="7" text="HEM/ONC">
      <formula>NOT(ISERROR(SEARCH(("HEM/ONC"),(AK54))))</formula>
    </cfRule>
    <cfRule type="containsText" priority="17125" operator="containsText" dxfId="7" text="CARDIO">
      <formula>NOT(ISERROR(SEARCH(("CARDIO"),(AK54))))</formula>
    </cfRule>
    <cfRule type="containsText" priority="17126" operator="containsText" dxfId="7" text="ID">
      <formula>NOT(ISERROR(SEARCH(("ID"),(AK54))))</formula>
    </cfRule>
    <cfRule type="containsText" priority="17127" operator="containsText" dxfId="7" text="NEURO">
      <formula>NOT(ISERROR(SEARCH(("NEURO"),(AK54))))</formula>
    </cfRule>
    <cfRule type="containsText" priority="17128" operator="containsText" dxfId="6" text="NEURO">
      <formula>NOT(ISERROR(SEARCH(("NEURO"),(AK54))))</formula>
    </cfRule>
    <cfRule type="containsText" priority="17129" operator="containsText" dxfId="5" text="NEURO">
      <formula>NOT(ISERROR(SEARCH(("NEURO"),(AK54))))</formula>
    </cfRule>
    <cfRule type="containsText" priority="17130" operator="containsText" dxfId="0" text="ICU N">
      <formula>NOT(ISERROR(SEARCH(("ICU N"),(AK54))))</formula>
    </cfRule>
    <cfRule type="containsText" priority="17131" operator="containsText" dxfId="3" text="ICU">
      <formula>NOT(ISERROR(SEARCH(("ICU"),(AK54))))</formula>
    </cfRule>
    <cfRule type="containsText" priority="17132" operator="containsText" dxfId="0" text="SWING">
      <formula>NOT(ISERROR(SEARCH(("SWING"),(AK54))))</formula>
    </cfRule>
    <cfRule type="containsText" priority="17133" operator="containsText" dxfId="0" text="NF">
      <formula>NOT(ISERROR(SEARCH(("NF"),(AK54))))</formula>
    </cfRule>
    <cfRule type="containsText" priority="17102" operator="containsText" dxfId="7" text="PATH">
      <formula>NOT(ISERROR(SEARCH(("PATH"),(AK54))))</formula>
    </cfRule>
    <cfRule type="containsText" priority="17103" operator="containsText" dxfId="7" text="NEPHRO">
      <formula>NOT(ISERROR(SEARCH(("NEPHRO"),(AK54))))</formula>
    </cfRule>
    <cfRule type="containsText" priority="17104" operator="containsText" dxfId="7" text="PULM">
      <formula>NOT(ISERROR(SEARCH(("PULM"),(AK54))))</formula>
    </cfRule>
    <cfRule type="containsText" priority="17105" operator="containsText" dxfId="7" text="RADIOLOGY">
      <formula>NOT(ISERROR(SEARCH(("RADIOLOGY"),(AK54))))</formula>
    </cfRule>
    <cfRule type="containsText" priority="17106" operator="containsText" dxfId="7" text="HEM/ONC">
      <formula>NOT(ISERROR(SEARCH(("HEM/ONC"),(AK54))))</formula>
    </cfRule>
    <cfRule type="containsText" priority="17107" operator="containsText" dxfId="7" text="CARDIO">
      <formula>NOT(ISERROR(SEARCH(("CARDIO"),(AK54))))</formula>
    </cfRule>
    <cfRule type="containsText" priority="17108" operator="containsText" dxfId="7" text="ID">
      <formula>NOT(ISERROR(SEARCH(("ID"),(AK54))))</formula>
    </cfRule>
    <cfRule type="containsText" priority="17109" operator="containsText" dxfId="7" text="NEURO">
      <formula>NOT(ISERROR(SEARCH(("NEURO"),(AK54))))</formula>
    </cfRule>
    <cfRule type="containsText" priority="17110" operator="containsText" dxfId="6" text="NEURO">
      <formula>NOT(ISERROR(SEARCH(("NEURO"),(AK54))))</formula>
    </cfRule>
    <cfRule type="containsText" priority="17111" operator="containsText" dxfId="5" text="NEURO">
      <formula>NOT(ISERROR(SEARCH(("NEURO"),(AK54))))</formula>
    </cfRule>
    <cfRule type="containsText" priority="17112" operator="containsText" dxfId="0" text="ICU N">
      <formula>NOT(ISERROR(SEARCH(("ICU N"),(AK54))))</formula>
    </cfRule>
    <cfRule type="containsText" priority="17113" operator="containsText" dxfId="3" text="ICU">
      <formula>NOT(ISERROR(SEARCH(("ICU"),(AK54))))</formula>
    </cfRule>
    <cfRule type="containsText" priority="17114" operator="containsText" dxfId="0" text="SWING">
      <formula>NOT(ISERROR(SEARCH(("SWING"),(AK54))))</formula>
    </cfRule>
    <cfRule type="containsText" priority="17115" operator="containsText" dxfId="0" text="NF">
      <formula>NOT(ISERROR(SEARCH(("NF"),(AK54))))</formula>
    </cfRule>
    <cfRule type="containsText" priority="17116" operator="containsText" dxfId="0" text="ICU N">
      <formula>NOT(ISERROR(SEARCH(("ICU N"),(AK54))))</formula>
    </cfRule>
  </conditionalFormatting>
  <conditionalFormatting sqref="AN51:AP51 AN56:AQ58 AP52:AQ52 AP54:AQ55">
    <cfRule type="containsText" priority="17084" operator="containsText" dxfId="16" text="ED">
      <formula>NOT(ISERROR(SEARCH(("ED"),(AN51))))</formula>
    </cfRule>
    <cfRule type="containsText" priority="17085" operator="containsText" dxfId="15" text="GERIATRIC">
      <formula>NOT(ISERROR(SEARCH(("GERIATRIC"),(AN51))))</formula>
    </cfRule>
    <cfRule type="containsText" priority="17086" operator="containsText" dxfId="17" text="VACATION">
      <formula>NOT(ISERROR(SEARCH(("VACATION"),(AN51))))</formula>
    </cfRule>
    <cfRule type="containsText" priority="17087" operator="containsText" dxfId="7" text="PATH">
      <formula>NOT(ISERROR(SEARCH(("PATH"),(AN51))))</formula>
    </cfRule>
    <cfRule type="containsText" priority="17088" operator="containsText" dxfId="7" text="NEPHRO">
      <formula>NOT(ISERROR(SEARCH(("NEPHRO"),(AN51))))</formula>
    </cfRule>
    <cfRule type="containsText" priority="17089" operator="containsText" dxfId="7" text="PULM">
      <formula>NOT(ISERROR(SEARCH(("PULM"),(AN51))))</formula>
    </cfRule>
    <cfRule type="containsText" priority="17090" operator="containsText" dxfId="7" text="RADIOLOGY">
      <formula>NOT(ISERROR(SEARCH(("RADIOLOGY"),(AN51))))</formula>
    </cfRule>
    <cfRule type="containsText" priority="17091" operator="containsText" dxfId="7" text="HEM/ONC">
      <formula>NOT(ISERROR(SEARCH(("HEM/ONC"),(AN51))))</formula>
    </cfRule>
    <cfRule type="containsText" priority="17092" operator="containsText" dxfId="7" text="CARDIO">
      <formula>NOT(ISERROR(SEARCH(("CARDIO"),(AN51))))</formula>
    </cfRule>
    <cfRule type="containsText" priority="17093" operator="containsText" dxfId="7" text="ID">
      <formula>NOT(ISERROR(SEARCH(("ID"),(AN51))))</formula>
    </cfRule>
    <cfRule type="containsText" priority="17094" operator="containsText" dxfId="7" text="NEURO">
      <formula>NOT(ISERROR(SEARCH(("NEURO"),(AN51))))</formula>
    </cfRule>
    <cfRule type="containsText" priority="17095" operator="containsText" dxfId="6" text="NEURO">
      <formula>NOT(ISERROR(SEARCH(("NEURO"),(AN51))))</formula>
    </cfRule>
    <cfRule type="containsText" priority="17096" operator="containsText" dxfId="5" text="NEURO">
      <formula>NOT(ISERROR(SEARCH(("NEURO"),(AN51))))</formula>
    </cfRule>
    <cfRule type="containsText" priority="17097" operator="containsText" dxfId="0" text="ICU N">
      <formula>NOT(ISERROR(SEARCH(("ICU N"),(AN51))))</formula>
    </cfRule>
    <cfRule type="containsText" priority="17098" operator="containsText" dxfId="3" text="ICU">
      <formula>NOT(ISERROR(SEARCH(("ICU"),(AN51))))</formula>
    </cfRule>
    <cfRule type="containsText" priority="17099" operator="containsText" dxfId="0" text="SWING">
      <formula>NOT(ISERROR(SEARCH(("SWING"),(AN51))))</formula>
    </cfRule>
    <cfRule type="containsText" priority="17100" operator="containsText" dxfId="0" text="NF">
      <formula>NOT(ISERROR(SEARCH(("NF"),(AN51))))</formula>
    </cfRule>
    <cfRule type="containsText" priority="17101" operator="containsText" dxfId="0" text="ICU N">
      <formula>NOT(ISERROR(SEARCH(("ICU N"),(AN51))))</formula>
    </cfRule>
    <cfRule type="containsText" priority="17067" operator="containsText" dxfId="17" text="VACATION">
      <formula>NOT(ISERROR(SEARCH(("VACATION"),(AN51))))</formula>
    </cfRule>
    <cfRule type="containsText" priority="17068" operator="containsText" dxfId="16" text="ED">
      <formula>NOT(ISERROR(SEARCH(("ED"),(AN51))))</formula>
    </cfRule>
    <cfRule type="containsText" priority="17069" operator="containsText" dxfId="15" text="GERIATRIC">
      <formula>NOT(ISERROR(SEARCH(("GERIATRIC"),(AN51))))</formula>
    </cfRule>
    <cfRule type="containsText" priority="17070" operator="containsText" dxfId="7" text="PATH">
      <formula>NOT(ISERROR(SEARCH(("PATH"),(AN51))))</formula>
    </cfRule>
    <cfRule type="containsText" priority="17071" operator="containsText" dxfId="7" text="NEPHRO">
      <formula>NOT(ISERROR(SEARCH(("NEPHRO"),(AN51))))</formula>
    </cfRule>
    <cfRule type="containsText" priority="17072" operator="containsText" dxfId="7" text="PULM">
      <formula>NOT(ISERROR(SEARCH(("PULM"),(AN51))))</formula>
    </cfRule>
    <cfRule type="containsText" priority="17073" operator="containsText" dxfId="7" text="RADIOLOGY">
      <formula>NOT(ISERROR(SEARCH(("RADIOLOGY"),(AN51))))</formula>
    </cfRule>
    <cfRule type="containsText" priority="17074" operator="containsText" dxfId="7" text="HEM/ONC">
      <formula>NOT(ISERROR(SEARCH(("HEM/ONC"),(AN51))))</formula>
    </cfRule>
    <cfRule type="containsText" priority="17075" operator="containsText" dxfId="7" text="CARDIO">
      <formula>NOT(ISERROR(SEARCH(("CARDIO"),(AN51))))</formula>
    </cfRule>
    <cfRule type="containsText" priority="17076" operator="containsText" dxfId="7" text="ID">
      <formula>NOT(ISERROR(SEARCH(("ID"),(AN51))))</formula>
    </cfRule>
    <cfRule type="containsText" priority="17077" operator="containsText" dxfId="7" text="NEURO">
      <formula>NOT(ISERROR(SEARCH(("NEURO"),(AN51))))</formula>
    </cfRule>
    <cfRule type="containsText" priority="17078" operator="containsText" dxfId="6" text="NEURO">
      <formula>NOT(ISERROR(SEARCH(("NEURO"),(AN51))))</formula>
    </cfRule>
    <cfRule type="containsText" priority="17079" operator="containsText" dxfId="5" text="NEURO">
      <formula>NOT(ISERROR(SEARCH(("NEURO"),(AN51))))</formula>
    </cfRule>
    <cfRule type="containsText" priority="17080" operator="containsText" dxfId="0" text="ICU N">
      <formula>NOT(ISERROR(SEARCH(("ICU N"),(AN51))))</formula>
    </cfRule>
    <cfRule type="containsText" priority="17081" operator="containsText" dxfId="3" text="ICU">
      <formula>NOT(ISERROR(SEARCH(("ICU"),(AN51))))</formula>
    </cfRule>
    <cfRule type="containsText" priority="17082" operator="containsText" dxfId="0" text="SWING">
      <formula>NOT(ISERROR(SEARCH(("SWING"),(AN51))))</formula>
    </cfRule>
    <cfRule type="containsText" priority="17083" operator="containsText" dxfId="0" text="NF">
      <formula>NOT(ISERROR(SEARCH(("NF"),(AN51))))</formula>
    </cfRule>
    <cfRule type="containsText" priority="17052" operator="containsText" dxfId="7" text="PATH">
      <formula>NOT(ISERROR(SEARCH(("PATH"),(AN51))))</formula>
    </cfRule>
    <cfRule type="containsText" priority="17053" operator="containsText" dxfId="7" text="NEPHRO">
      <formula>NOT(ISERROR(SEARCH(("NEPHRO"),(AN51))))</formula>
    </cfRule>
    <cfRule type="containsText" priority="17054" operator="containsText" dxfId="7" text="PULM">
      <formula>NOT(ISERROR(SEARCH(("PULM"),(AN51))))</formula>
    </cfRule>
    <cfRule type="containsText" priority="17055" operator="containsText" dxfId="7" text="RADIOLOGY">
      <formula>NOT(ISERROR(SEARCH(("RADIOLOGY"),(AN51))))</formula>
    </cfRule>
    <cfRule type="containsText" priority="17056" operator="containsText" dxfId="7" text="HEM/ONC">
      <formula>NOT(ISERROR(SEARCH(("HEM/ONC"),(AN51))))</formula>
    </cfRule>
    <cfRule type="containsText" priority="17057" operator="containsText" dxfId="7" text="CARDIO">
      <formula>NOT(ISERROR(SEARCH(("CARDIO"),(AN51))))</formula>
    </cfRule>
    <cfRule type="containsText" priority="17058" operator="containsText" dxfId="7" text="ID">
      <formula>NOT(ISERROR(SEARCH(("ID"),(AN51))))</formula>
    </cfRule>
    <cfRule type="containsText" priority="17059" operator="containsText" dxfId="7" text="NEURO">
      <formula>NOT(ISERROR(SEARCH(("NEURO"),(AN51))))</formula>
    </cfRule>
    <cfRule type="containsText" priority="17060" operator="containsText" dxfId="6" text="NEURO">
      <formula>NOT(ISERROR(SEARCH(("NEURO"),(AN51))))</formula>
    </cfRule>
    <cfRule type="containsText" priority="17061" operator="containsText" dxfId="5" text="NEURO">
      <formula>NOT(ISERROR(SEARCH(("NEURO"),(AN51))))</formula>
    </cfRule>
    <cfRule type="containsText" priority="17062" operator="containsText" dxfId="0" text="ICU N">
      <formula>NOT(ISERROR(SEARCH(("ICU N"),(AN51))))</formula>
    </cfRule>
    <cfRule type="containsText" priority="17063" operator="containsText" dxfId="3" text="ICU">
      <formula>NOT(ISERROR(SEARCH(("ICU"),(AN51))))</formula>
    </cfRule>
    <cfRule type="containsText" priority="17064" operator="containsText" dxfId="0" text="SWING">
      <formula>NOT(ISERROR(SEARCH(("SWING"),(AN51))))</formula>
    </cfRule>
    <cfRule type="containsText" priority="17065" operator="containsText" dxfId="0" text="NF">
      <formula>NOT(ISERROR(SEARCH(("NF"),(AN51))))</formula>
    </cfRule>
    <cfRule type="containsText" priority="17066" operator="containsText" dxfId="0" text="ICU N">
      <formula>NOT(ISERROR(SEARCH(("ICU N"),(AN51))))</formula>
    </cfRule>
  </conditionalFormatting>
  <conditionalFormatting sqref="AN61">
    <cfRule type="containsText" priority="17049" operator="containsText" dxfId="16" text="ED">
      <formula>NOT(ISERROR(SEARCH(("ED"),(AN61))))</formula>
    </cfRule>
    <cfRule type="containsText" priority="17050" operator="containsText" dxfId="17" text="VACATION">
      <formula>NOT(ISERROR(SEARCH(("VACATION"),(AN61))))</formula>
    </cfRule>
    <cfRule type="containsText" priority="17051" operator="containsText" dxfId="0" text="ICU N">
      <formula>NOT(ISERROR(SEARCH(("ICU N"),(AN61))))</formula>
    </cfRule>
    <cfRule type="containsText" priority="17031" operator="containsText" dxfId="16" text="ED">
      <formula>NOT(ISERROR(SEARCH(("ED"),(AN61))))</formula>
    </cfRule>
    <cfRule type="containsText" priority="17032" operator="containsText" dxfId="15" text="GERIATRIC">
      <formula>NOT(ISERROR(SEARCH(("GERIATRIC"),(AN61))))</formula>
    </cfRule>
    <cfRule type="containsText" priority="17033" operator="containsText" dxfId="17" text="VACATION">
      <formula>NOT(ISERROR(SEARCH(("VACATION"),(AN61))))</formula>
    </cfRule>
    <cfRule type="containsText" priority="17034" operator="containsText" dxfId="7" text="PATH">
      <formula>NOT(ISERROR(SEARCH(("PATH"),(AN61))))</formula>
    </cfRule>
    <cfRule type="containsText" priority="17035" operator="containsText" dxfId="7" text="NEPHRO">
      <formula>NOT(ISERROR(SEARCH(("NEPHRO"),(AN61))))</formula>
    </cfRule>
    <cfRule type="containsText" priority="17036" operator="containsText" dxfId="7" text="PULM">
      <formula>NOT(ISERROR(SEARCH(("PULM"),(AN61))))</formula>
    </cfRule>
    <cfRule type="containsText" priority="17037" operator="containsText" dxfId="7" text="RADIOLOGY">
      <formula>NOT(ISERROR(SEARCH(("RADIOLOGY"),(AN61))))</formula>
    </cfRule>
    <cfRule type="containsText" priority="17038" operator="containsText" dxfId="7" text="HEM/ONC">
      <formula>NOT(ISERROR(SEARCH(("HEM/ONC"),(AN61))))</formula>
    </cfRule>
    <cfRule type="containsText" priority="17039" operator="containsText" dxfId="7" text="CARDIO">
      <formula>NOT(ISERROR(SEARCH(("CARDIO"),(AN61))))</formula>
    </cfRule>
    <cfRule type="containsText" priority="17040" operator="containsText" dxfId="7" text="ID">
      <formula>NOT(ISERROR(SEARCH(("ID"),(AN61))))</formula>
    </cfRule>
    <cfRule type="containsText" priority="17041" operator="containsText" dxfId="7" text="NEURO">
      <formula>NOT(ISERROR(SEARCH(("NEURO"),(AN61))))</formula>
    </cfRule>
    <cfRule type="containsText" priority="17042" operator="containsText" dxfId="6" text="NEURO">
      <formula>NOT(ISERROR(SEARCH(("NEURO"),(AN61))))</formula>
    </cfRule>
    <cfRule type="containsText" priority="17043" operator="containsText" dxfId="5" text="NEURO">
      <formula>NOT(ISERROR(SEARCH(("NEURO"),(AN61))))</formula>
    </cfRule>
    <cfRule type="containsText" priority="17044" operator="containsText" dxfId="0" text="ICU N">
      <formula>NOT(ISERROR(SEARCH(("ICU N"),(AN61))))</formula>
    </cfRule>
    <cfRule type="containsText" priority="17045" operator="containsText" dxfId="3" text="ICU">
      <formula>NOT(ISERROR(SEARCH(("ICU"),(AN61))))</formula>
    </cfRule>
    <cfRule type="containsText" priority="17046" operator="containsText" dxfId="0" text="SWING">
      <formula>NOT(ISERROR(SEARCH(("SWING"),(AN61))))</formula>
    </cfRule>
    <cfRule type="containsText" priority="17047" operator="containsText" dxfId="0" text="NF">
      <formula>NOT(ISERROR(SEARCH(("NF"),(AN61))))</formula>
    </cfRule>
    <cfRule type="containsText" priority="17048" operator="containsText" dxfId="0" text="ICU N">
      <formula>NOT(ISERROR(SEARCH(("ICU N"),(AN61))))</formula>
    </cfRule>
    <cfRule type="containsText" priority="17014" operator="containsText" dxfId="17" text="VACATION">
      <formula>NOT(ISERROR(SEARCH(("VACATION"),(AN61))))</formula>
    </cfRule>
    <cfRule type="containsText" priority="17015" operator="containsText" dxfId="16" text="ED">
      <formula>NOT(ISERROR(SEARCH(("ED"),(AN61))))</formula>
    </cfRule>
    <cfRule type="containsText" priority="17016" operator="containsText" dxfId="15" text="GERIATRIC">
      <formula>NOT(ISERROR(SEARCH(("GERIATRIC"),(AN61))))</formula>
    </cfRule>
    <cfRule type="containsText" priority="17017" operator="containsText" dxfId="7" text="PATH">
      <formula>NOT(ISERROR(SEARCH(("PATH"),(AN61))))</formula>
    </cfRule>
    <cfRule type="containsText" priority="17018" operator="containsText" dxfId="7" text="NEPHRO">
      <formula>NOT(ISERROR(SEARCH(("NEPHRO"),(AN61))))</formula>
    </cfRule>
    <cfRule type="containsText" priority="17019" operator="containsText" dxfId="7" text="PULM">
      <formula>NOT(ISERROR(SEARCH(("PULM"),(AN61))))</formula>
    </cfRule>
    <cfRule type="containsText" priority="17020" operator="containsText" dxfId="7" text="RADIOLOGY">
      <formula>NOT(ISERROR(SEARCH(("RADIOLOGY"),(AN61))))</formula>
    </cfRule>
    <cfRule type="containsText" priority="17021" operator="containsText" dxfId="7" text="HEM/ONC">
      <formula>NOT(ISERROR(SEARCH(("HEM/ONC"),(AN61))))</formula>
    </cfRule>
    <cfRule type="containsText" priority="17022" operator="containsText" dxfId="7" text="CARDIO">
      <formula>NOT(ISERROR(SEARCH(("CARDIO"),(AN61))))</formula>
    </cfRule>
    <cfRule type="containsText" priority="17023" operator="containsText" dxfId="7" text="ID">
      <formula>NOT(ISERROR(SEARCH(("ID"),(AN61))))</formula>
    </cfRule>
    <cfRule type="containsText" priority="17024" operator="containsText" dxfId="7" text="NEURO">
      <formula>NOT(ISERROR(SEARCH(("NEURO"),(AN61))))</formula>
    </cfRule>
    <cfRule type="containsText" priority="17025" operator="containsText" dxfId="6" text="NEURO">
      <formula>NOT(ISERROR(SEARCH(("NEURO"),(AN61))))</formula>
    </cfRule>
    <cfRule type="containsText" priority="17026" operator="containsText" dxfId="5" text="NEURO">
      <formula>NOT(ISERROR(SEARCH(("NEURO"),(AN61))))</formula>
    </cfRule>
    <cfRule type="containsText" priority="17027" operator="containsText" dxfId="0" text="ICU N">
      <formula>NOT(ISERROR(SEARCH(("ICU N"),(AN61))))</formula>
    </cfRule>
    <cfRule type="containsText" priority="17028" operator="containsText" dxfId="3" text="ICU">
      <formula>NOT(ISERROR(SEARCH(("ICU"),(AN61))))</formula>
    </cfRule>
    <cfRule type="containsText" priority="17029" operator="containsText" dxfId="0" text="SWING">
      <formula>NOT(ISERROR(SEARCH(("SWING"),(AN61))))</formula>
    </cfRule>
    <cfRule type="containsText" priority="17030" operator="containsText" dxfId="0" text="NF">
      <formula>NOT(ISERROR(SEARCH(("NF"),(AN61))))</formula>
    </cfRule>
    <cfRule type="containsText" priority="16999" operator="containsText" dxfId="7" text="PATH">
      <formula>NOT(ISERROR(SEARCH(("PATH"),(AN61))))</formula>
    </cfRule>
    <cfRule type="containsText" priority="17000" operator="containsText" dxfId="7" text="NEPHRO">
      <formula>NOT(ISERROR(SEARCH(("NEPHRO"),(AN61))))</formula>
    </cfRule>
    <cfRule type="containsText" priority="17001" operator="containsText" dxfId="7" text="PULM">
      <formula>NOT(ISERROR(SEARCH(("PULM"),(AN61))))</formula>
    </cfRule>
    <cfRule type="containsText" priority="17002" operator="containsText" dxfId="7" text="RADIOLOGY">
      <formula>NOT(ISERROR(SEARCH(("RADIOLOGY"),(AN61))))</formula>
    </cfRule>
    <cfRule type="containsText" priority="17003" operator="containsText" dxfId="7" text="HEM/ONC">
      <formula>NOT(ISERROR(SEARCH(("HEM/ONC"),(AN61))))</formula>
    </cfRule>
    <cfRule type="containsText" priority="17004" operator="containsText" dxfId="7" text="CARDIO">
      <formula>NOT(ISERROR(SEARCH(("CARDIO"),(AN61))))</formula>
    </cfRule>
    <cfRule type="containsText" priority="17005" operator="containsText" dxfId="7" text="ID">
      <formula>NOT(ISERROR(SEARCH(("ID"),(AN61))))</formula>
    </cfRule>
    <cfRule type="containsText" priority="17006" operator="containsText" dxfId="7" text="NEURO">
      <formula>NOT(ISERROR(SEARCH(("NEURO"),(AN61))))</formula>
    </cfRule>
    <cfRule type="containsText" priority="17007" operator="containsText" dxfId="6" text="NEURO">
      <formula>NOT(ISERROR(SEARCH(("NEURO"),(AN61))))</formula>
    </cfRule>
    <cfRule type="containsText" priority="17008" operator="containsText" dxfId="5" text="NEURO">
      <formula>NOT(ISERROR(SEARCH(("NEURO"),(AN61))))</formula>
    </cfRule>
    <cfRule type="containsText" priority="17009" operator="containsText" dxfId="0" text="ICU N">
      <formula>NOT(ISERROR(SEARCH(("ICU N"),(AN61))))</formula>
    </cfRule>
    <cfRule type="containsText" priority="17010" operator="containsText" dxfId="3" text="ICU">
      <formula>NOT(ISERROR(SEARCH(("ICU"),(AN61))))</formula>
    </cfRule>
    <cfRule type="containsText" priority="17011" operator="containsText" dxfId="0" text="SWING">
      <formula>NOT(ISERROR(SEARCH(("SWING"),(AN61))))</formula>
    </cfRule>
    <cfRule type="containsText" priority="17012" operator="containsText" dxfId="0" text="NF">
      <formula>NOT(ISERROR(SEARCH(("NF"),(AN61))))</formula>
    </cfRule>
    <cfRule type="containsText" priority="17013" operator="containsText" dxfId="0" text="ICU N">
      <formula>NOT(ISERROR(SEARCH(("ICU N"),(AN61))))</formula>
    </cfRule>
  </conditionalFormatting>
  <conditionalFormatting sqref="AO61">
    <cfRule type="containsText" priority="16996" operator="containsText" dxfId="16" text="ED">
      <formula>NOT(ISERROR(SEARCH(("ED"),(AO61))))</formula>
    </cfRule>
    <cfRule type="containsText" priority="16997" operator="containsText" dxfId="17" text="VACATION">
      <formula>NOT(ISERROR(SEARCH(("VACATION"),(AO61))))</formula>
    </cfRule>
    <cfRule type="containsText" priority="16998" operator="containsText" dxfId="0" text="ICU N">
      <formula>NOT(ISERROR(SEARCH(("ICU N"),(AO61))))</formula>
    </cfRule>
    <cfRule type="containsText" priority="16978" operator="containsText" dxfId="16" text="ED">
      <formula>NOT(ISERROR(SEARCH(("ED"),(AO61))))</formula>
    </cfRule>
    <cfRule type="containsText" priority="16979" operator="containsText" dxfId="15" text="GERIATRIC">
      <formula>NOT(ISERROR(SEARCH(("GERIATRIC"),(AO61))))</formula>
    </cfRule>
    <cfRule type="containsText" priority="16980" operator="containsText" dxfId="17" text="VACATION">
      <formula>NOT(ISERROR(SEARCH(("VACATION"),(AO61))))</formula>
    </cfRule>
    <cfRule type="containsText" priority="16981" operator="containsText" dxfId="7" text="PATH">
      <formula>NOT(ISERROR(SEARCH(("PATH"),(AO61))))</formula>
    </cfRule>
    <cfRule type="containsText" priority="16982" operator="containsText" dxfId="7" text="NEPHRO">
      <formula>NOT(ISERROR(SEARCH(("NEPHRO"),(AO61))))</formula>
    </cfRule>
    <cfRule type="containsText" priority="16983" operator="containsText" dxfId="7" text="PULM">
      <formula>NOT(ISERROR(SEARCH(("PULM"),(AO61))))</formula>
    </cfRule>
    <cfRule type="containsText" priority="16984" operator="containsText" dxfId="7" text="RADIOLOGY">
      <formula>NOT(ISERROR(SEARCH(("RADIOLOGY"),(AO61))))</formula>
    </cfRule>
    <cfRule type="containsText" priority="16985" operator="containsText" dxfId="7" text="HEM/ONC">
      <formula>NOT(ISERROR(SEARCH(("HEM/ONC"),(AO61))))</formula>
    </cfRule>
    <cfRule type="containsText" priority="16986" operator="containsText" dxfId="7" text="CARDIO">
      <formula>NOT(ISERROR(SEARCH(("CARDIO"),(AO61))))</formula>
    </cfRule>
    <cfRule type="containsText" priority="16987" operator="containsText" dxfId="7" text="ID">
      <formula>NOT(ISERROR(SEARCH(("ID"),(AO61))))</formula>
    </cfRule>
    <cfRule type="containsText" priority="16988" operator="containsText" dxfId="7" text="NEURO">
      <formula>NOT(ISERROR(SEARCH(("NEURO"),(AO61))))</formula>
    </cfRule>
    <cfRule type="containsText" priority="16989" operator="containsText" dxfId="6" text="NEURO">
      <formula>NOT(ISERROR(SEARCH(("NEURO"),(AO61))))</formula>
    </cfRule>
    <cfRule type="containsText" priority="16990" operator="containsText" dxfId="5" text="NEURO">
      <formula>NOT(ISERROR(SEARCH(("NEURO"),(AO61))))</formula>
    </cfRule>
    <cfRule type="containsText" priority="16991" operator="containsText" dxfId="0" text="ICU N">
      <formula>NOT(ISERROR(SEARCH(("ICU N"),(AO61))))</formula>
    </cfRule>
    <cfRule type="containsText" priority="16992" operator="containsText" dxfId="3" text="ICU">
      <formula>NOT(ISERROR(SEARCH(("ICU"),(AO61))))</formula>
    </cfRule>
    <cfRule type="containsText" priority="16993" operator="containsText" dxfId="0" text="SWING">
      <formula>NOT(ISERROR(SEARCH(("SWING"),(AO61))))</formula>
    </cfRule>
    <cfRule type="containsText" priority="16994" operator="containsText" dxfId="0" text="NF">
      <formula>NOT(ISERROR(SEARCH(("NF"),(AO61))))</formula>
    </cfRule>
    <cfRule type="containsText" priority="16995" operator="containsText" dxfId="0" text="ICU N">
      <formula>NOT(ISERROR(SEARCH(("ICU N"),(AO61))))</formula>
    </cfRule>
    <cfRule type="containsText" priority="16961" operator="containsText" dxfId="17" text="VACATION">
      <formula>NOT(ISERROR(SEARCH(("VACATION"),(AO61))))</formula>
    </cfRule>
    <cfRule type="containsText" priority="16962" operator="containsText" dxfId="16" text="ED">
      <formula>NOT(ISERROR(SEARCH(("ED"),(AO61))))</formula>
    </cfRule>
    <cfRule type="containsText" priority="16963" operator="containsText" dxfId="15" text="GERIATRIC">
      <formula>NOT(ISERROR(SEARCH(("GERIATRIC"),(AO61))))</formula>
    </cfRule>
    <cfRule type="containsText" priority="16964" operator="containsText" dxfId="7" text="PATH">
      <formula>NOT(ISERROR(SEARCH(("PATH"),(AO61))))</formula>
    </cfRule>
    <cfRule type="containsText" priority="16965" operator="containsText" dxfId="7" text="NEPHRO">
      <formula>NOT(ISERROR(SEARCH(("NEPHRO"),(AO61))))</formula>
    </cfRule>
    <cfRule type="containsText" priority="16966" operator="containsText" dxfId="7" text="PULM">
      <formula>NOT(ISERROR(SEARCH(("PULM"),(AO61))))</formula>
    </cfRule>
    <cfRule type="containsText" priority="16967" operator="containsText" dxfId="7" text="RADIOLOGY">
      <formula>NOT(ISERROR(SEARCH(("RADIOLOGY"),(AO61))))</formula>
    </cfRule>
    <cfRule type="containsText" priority="16968" operator="containsText" dxfId="7" text="HEM/ONC">
      <formula>NOT(ISERROR(SEARCH(("HEM/ONC"),(AO61))))</formula>
    </cfRule>
    <cfRule type="containsText" priority="16969" operator="containsText" dxfId="7" text="CARDIO">
      <formula>NOT(ISERROR(SEARCH(("CARDIO"),(AO61))))</formula>
    </cfRule>
    <cfRule type="containsText" priority="16970" operator="containsText" dxfId="7" text="ID">
      <formula>NOT(ISERROR(SEARCH(("ID"),(AO61))))</formula>
    </cfRule>
    <cfRule type="containsText" priority="16971" operator="containsText" dxfId="7" text="NEURO">
      <formula>NOT(ISERROR(SEARCH(("NEURO"),(AO61))))</formula>
    </cfRule>
    <cfRule type="containsText" priority="16972" operator="containsText" dxfId="6" text="NEURO">
      <formula>NOT(ISERROR(SEARCH(("NEURO"),(AO61))))</formula>
    </cfRule>
    <cfRule type="containsText" priority="16973" operator="containsText" dxfId="5" text="NEURO">
      <formula>NOT(ISERROR(SEARCH(("NEURO"),(AO61))))</formula>
    </cfRule>
    <cfRule type="containsText" priority="16974" operator="containsText" dxfId="0" text="ICU N">
      <formula>NOT(ISERROR(SEARCH(("ICU N"),(AO61))))</formula>
    </cfRule>
    <cfRule type="containsText" priority="16975" operator="containsText" dxfId="3" text="ICU">
      <formula>NOT(ISERROR(SEARCH(("ICU"),(AO61))))</formula>
    </cfRule>
    <cfRule type="containsText" priority="16976" operator="containsText" dxfId="0" text="SWING">
      <formula>NOT(ISERROR(SEARCH(("SWING"),(AO61))))</formula>
    </cfRule>
    <cfRule type="containsText" priority="16977" operator="containsText" dxfId="0" text="NF">
      <formula>NOT(ISERROR(SEARCH(("NF"),(AO61))))</formula>
    </cfRule>
    <cfRule type="containsText" priority="16946" operator="containsText" dxfId="7" text="PATH">
      <formula>NOT(ISERROR(SEARCH(("PATH"),(AO61))))</formula>
    </cfRule>
    <cfRule type="containsText" priority="16947" operator="containsText" dxfId="7" text="NEPHRO">
      <formula>NOT(ISERROR(SEARCH(("NEPHRO"),(AO61))))</formula>
    </cfRule>
    <cfRule type="containsText" priority="16948" operator="containsText" dxfId="7" text="PULM">
      <formula>NOT(ISERROR(SEARCH(("PULM"),(AO61))))</formula>
    </cfRule>
    <cfRule type="containsText" priority="16949" operator="containsText" dxfId="7" text="RADIOLOGY">
      <formula>NOT(ISERROR(SEARCH(("RADIOLOGY"),(AO61))))</formula>
    </cfRule>
    <cfRule type="containsText" priority="16950" operator="containsText" dxfId="7" text="HEM/ONC">
      <formula>NOT(ISERROR(SEARCH(("HEM/ONC"),(AO61))))</formula>
    </cfRule>
    <cfRule type="containsText" priority="16951" operator="containsText" dxfId="7" text="CARDIO">
      <formula>NOT(ISERROR(SEARCH(("CARDIO"),(AO61))))</formula>
    </cfRule>
    <cfRule type="containsText" priority="16952" operator="containsText" dxfId="7" text="ID">
      <formula>NOT(ISERROR(SEARCH(("ID"),(AO61))))</formula>
    </cfRule>
    <cfRule type="containsText" priority="16953" operator="containsText" dxfId="7" text="NEURO">
      <formula>NOT(ISERROR(SEARCH(("NEURO"),(AO61))))</formula>
    </cfRule>
    <cfRule type="containsText" priority="16954" operator="containsText" dxfId="6" text="NEURO">
      <formula>NOT(ISERROR(SEARCH(("NEURO"),(AO61))))</formula>
    </cfRule>
    <cfRule type="containsText" priority="16955" operator="containsText" dxfId="5" text="NEURO">
      <formula>NOT(ISERROR(SEARCH(("NEURO"),(AO61))))</formula>
    </cfRule>
    <cfRule type="containsText" priority="16956" operator="containsText" dxfId="0" text="ICU N">
      <formula>NOT(ISERROR(SEARCH(("ICU N"),(AO61))))</formula>
    </cfRule>
    <cfRule type="containsText" priority="16957" operator="containsText" dxfId="3" text="ICU">
      <formula>NOT(ISERROR(SEARCH(("ICU"),(AO61))))</formula>
    </cfRule>
    <cfRule type="containsText" priority="16958" operator="containsText" dxfId="0" text="SWING">
      <formula>NOT(ISERROR(SEARCH(("SWING"),(AO61))))</formula>
    </cfRule>
    <cfRule type="containsText" priority="16959" operator="containsText" dxfId="0" text="NF">
      <formula>NOT(ISERROR(SEARCH(("NF"),(AO61))))</formula>
    </cfRule>
    <cfRule type="containsText" priority="16960" operator="containsText" dxfId="0" text="ICU N">
      <formula>NOT(ISERROR(SEARCH(("ICU N"),(AO61))))</formula>
    </cfRule>
  </conditionalFormatting>
  <conditionalFormatting sqref="AP60">
    <cfRule type="containsText" priority="16928" operator="containsText" dxfId="16" text="ED">
      <formula>NOT(ISERROR(SEARCH(("ED"),(AP60))))</formula>
    </cfRule>
    <cfRule type="containsText" priority="16929" operator="containsText" dxfId="15" text="GERIATRIC">
      <formula>NOT(ISERROR(SEARCH(("GERIATRIC"),(AP60))))</formula>
    </cfRule>
    <cfRule type="containsText" priority="16930" operator="containsText" dxfId="17" text="VACATION">
      <formula>NOT(ISERROR(SEARCH(("VACATION"),(AP60))))</formula>
    </cfRule>
    <cfRule type="containsText" priority="16931" operator="containsText" dxfId="7" text="PATH">
      <formula>NOT(ISERROR(SEARCH(("PATH"),(AP60))))</formula>
    </cfRule>
    <cfRule type="containsText" priority="16932" operator="containsText" dxfId="7" text="NEPHRO">
      <formula>NOT(ISERROR(SEARCH(("NEPHRO"),(AP60))))</formula>
    </cfRule>
    <cfRule type="containsText" priority="16933" operator="containsText" dxfId="7" text="PULM">
      <formula>NOT(ISERROR(SEARCH(("PULM"),(AP60))))</formula>
    </cfRule>
    <cfRule type="containsText" priority="16934" operator="containsText" dxfId="7" text="RADIOLOGY">
      <formula>NOT(ISERROR(SEARCH(("RADIOLOGY"),(AP60))))</formula>
    </cfRule>
    <cfRule type="containsText" priority="16935" operator="containsText" dxfId="7" text="HEM/ONC">
      <formula>NOT(ISERROR(SEARCH(("HEM/ONC"),(AP60))))</formula>
    </cfRule>
    <cfRule type="containsText" priority="16936" operator="containsText" dxfId="7" text="CARDIO">
      <formula>NOT(ISERROR(SEARCH(("CARDIO"),(AP60))))</formula>
    </cfRule>
    <cfRule type="containsText" priority="16937" operator="containsText" dxfId="7" text="ID">
      <formula>NOT(ISERROR(SEARCH(("ID"),(AP60))))</formula>
    </cfRule>
    <cfRule type="containsText" priority="16938" operator="containsText" dxfId="7" text="NEURO">
      <formula>NOT(ISERROR(SEARCH(("NEURO"),(AP60))))</formula>
    </cfRule>
    <cfRule type="containsText" priority="16939" operator="containsText" dxfId="6" text="NEURO">
      <formula>NOT(ISERROR(SEARCH(("NEURO"),(AP60))))</formula>
    </cfRule>
    <cfRule type="containsText" priority="16940" operator="containsText" dxfId="5" text="NEURO">
      <formula>NOT(ISERROR(SEARCH(("NEURO"),(AP60))))</formula>
    </cfRule>
    <cfRule type="containsText" priority="16941" operator="containsText" dxfId="0" text="ICU N">
      <formula>NOT(ISERROR(SEARCH(("ICU N"),(AP60))))</formula>
    </cfRule>
    <cfRule type="containsText" priority="16942" operator="containsText" dxfId="3" text="ICU">
      <formula>NOT(ISERROR(SEARCH(("ICU"),(AP60))))</formula>
    </cfRule>
    <cfRule type="containsText" priority="16943" operator="containsText" dxfId="0" text="SWING">
      <formula>NOT(ISERROR(SEARCH(("SWING"),(AP60))))</formula>
    </cfRule>
    <cfRule type="containsText" priority="16944" operator="containsText" dxfId="0" text="NF">
      <formula>NOT(ISERROR(SEARCH(("NF"),(AP60))))</formula>
    </cfRule>
    <cfRule type="containsText" priority="16945" operator="containsText" dxfId="0" text="ICU N">
      <formula>NOT(ISERROR(SEARCH(("ICU N"),(AP60))))</formula>
    </cfRule>
    <cfRule type="containsText" priority="16911" operator="containsText" dxfId="17" text="VACATION">
      <formula>NOT(ISERROR(SEARCH(("VACATION"),(AP60))))</formula>
    </cfRule>
    <cfRule type="containsText" priority="16912" operator="containsText" dxfId="16" text="ED">
      <formula>NOT(ISERROR(SEARCH(("ED"),(AP60))))</formula>
    </cfRule>
    <cfRule type="containsText" priority="16913" operator="containsText" dxfId="15" text="GERIATRIC">
      <formula>NOT(ISERROR(SEARCH(("GERIATRIC"),(AP60))))</formula>
    </cfRule>
    <cfRule type="containsText" priority="16914" operator="containsText" dxfId="7" text="PATH">
      <formula>NOT(ISERROR(SEARCH(("PATH"),(AP60))))</formula>
    </cfRule>
    <cfRule type="containsText" priority="16915" operator="containsText" dxfId="7" text="NEPHRO">
      <formula>NOT(ISERROR(SEARCH(("NEPHRO"),(AP60))))</formula>
    </cfRule>
    <cfRule type="containsText" priority="16916" operator="containsText" dxfId="7" text="PULM">
      <formula>NOT(ISERROR(SEARCH(("PULM"),(AP60))))</formula>
    </cfRule>
    <cfRule type="containsText" priority="16917" operator="containsText" dxfId="7" text="RADIOLOGY">
      <formula>NOT(ISERROR(SEARCH(("RADIOLOGY"),(AP60))))</formula>
    </cfRule>
    <cfRule type="containsText" priority="16918" operator="containsText" dxfId="7" text="HEM/ONC">
      <formula>NOT(ISERROR(SEARCH(("HEM/ONC"),(AP60))))</formula>
    </cfRule>
    <cfRule type="containsText" priority="16919" operator="containsText" dxfId="7" text="CARDIO">
      <formula>NOT(ISERROR(SEARCH(("CARDIO"),(AP60))))</formula>
    </cfRule>
    <cfRule type="containsText" priority="16920" operator="containsText" dxfId="7" text="ID">
      <formula>NOT(ISERROR(SEARCH(("ID"),(AP60))))</formula>
    </cfRule>
    <cfRule type="containsText" priority="16921" operator="containsText" dxfId="7" text="NEURO">
      <formula>NOT(ISERROR(SEARCH(("NEURO"),(AP60))))</formula>
    </cfRule>
    <cfRule type="containsText" priority="16922" operator="containsText" dxfId="6" text="NEURO">
      <formula>NOT(ISERROR(SEARCH(("NEURO"),(AP60))))</formula>
    </cfRule>
    <cfRule type="containsText" priority="16923" operator="containsText" dxfId="5" text="NEURO">
      <formula>NOT(ISERROR(SEARCH(("NEURO"),(AP60))))</formula>
    </cfRule>
    <cfRule type="containsText" priority="16924" operator="containsText" dxfId="0" text="ICU N">
      <formula>NOT(ISERROR(SEARCH(("ICU N"),(AP60))))</formula>
    </cfRule>
    <cfRule type="containsText" priority="16925" operator="containsText" dxfId="3" text="ICU">
      <formula>NOT(ISERROR(SEARCH(("ICU"),(AP60))))</formula>
    </cfRule>
    <cfRule type="containsText" priority="16926" operator="containsText" dxfId="0" text="SWING">
      <formula>NOT(ISERROR(SEARCH(("SWING"),(AP60))))</formula>
    </cfRule>
    <cfRule type="containsText" priority="16927" operator="containsText" dxfId="0" text="NF">
      <formula>NOT(ISERROR(SEARCH(("NF"),(AP60))))</formula>
    </cfRule>
    <cfRule type="containsText" priority="16896" operator="containsText" dxfId="7" text="PATH">
      <formula>NOT(ISERROR(SEARCH(("PATH"),(AP60))))</formula>
    </cfRule>
    <cfRule type="containsText" priority="16897" operator="containsText" dxfId="7" text="NEPHRO">
      <formula>NOT(ISERROR(SEARCH(("NEPHRO"),(AP60))))</formula>
    </cfRule>
    <cfRule type="containsText" priority="16898" operator="containsText" dxfId="7" text="PULM">
      <formula>NOT(ISERROR(SEARCH(("PULM"),(AP60))))</formula>
    </cfRule>
    <cfRule type="containsText" priority="16899" operator="containsText" dxfId="7" text="RADIOLOGY">
      <formula>NOT(ISERROR(SEARCH(("RADIOLOGY"),(AP60))))</formula>
    </cfRule>
    <cfRule type="containsText" priority="16900" operator="containsText" dxfId="7" text="HEM/ONC">
      <formula>NOT(ISERROR(SEARCH(("HEM/ONC"),(AP60))))</formula>
    </cfRule>
    <cfRule type="containsText" priority="16901" operator="containsText" dxfId="7" text="CARDIO">
      <formula>NOT(ISERROR(SEARCH(("CARDIO"),(AP60))))</formula>
    </cfRule>
    <cfRule type="containsText" priority="16902" operator="containsText" dxfId="7" text="ID">
      <formula>NOT(ISERROR(SEARCH(("ID"),(AP60))))</formula>
    </cfRule>
    <cfRule type="containsText" priority="16903" operator="containsText" dxfId="7" text="NEURO">
      <formula>NOT(ISERROR(SEARCH(("NEURO"),(AP60))))</formula>
    </cfRule>
    <cfRule type="containsText" priority="16904" operator="containsText" dxfId="6" text="NEURO">
      <formula>NOT(ISERROR(SEARCH(("NEURO"),(AP60))))</formula>
    </cfRule>
    <cfRule type="containsText" priority="16905" operator="containsText" dxfId="5" text="NEURO">
      <formula>NOT(ISERROR(SEARCH(("NEURO"),(AP60))))</formula>
    </cfRule>
    <cfRule type="containsText" priority="16906" operator="containsText" dxfId="0" text="ICU N">
      <formula>NOT(ISERROR(SEARCH(("ICU N"),(AP60))))</formula>
    </cfRule>
    <cfRule type="containsText" priority="16907" operator="containsText" dxfId="3" text="ICU">
      <formula>NOT(ISERROR(SEARCH(("ICU"),(AP60))))</formula>
    </cfRule>
    <cfRule type="containsText" priority="16908" operator="containsText" dxfId="0" text="SWING">
      <formula>NOT(ISERROR(SEARCH(("SWING"),(AP60))))</formula>
    </cfRule>
    <cfRule type="containsText" priority="16909" operator="containsText" dxfId="0" text="NF">
      <formula>NOT(ISERROR(SEARCH(("NF"),(AP60))))</formula>
    </cfRule>
    <cfRule type="containsText" priority="16910" operator="containsText" dxfId="0" text="ICU N">
      <formula>NOT(ISERROR(SEARCH(("ICU N"),(AP60))))</formula>
    </cfRule>
  </conditionalFormatting>
  <conditionalFormatting sqref="AQ60">
    <cfRule type="containsText" priority="16878" operator="containsText" dxfId="16" text="ED">
      <formula>NOT(ISERROR(SEARCH(("ED"),(AQ60))))</formula>
    </cfRule>
    <cfRule type="containsText" priority="16879" operator="containsText" dxfId="15" text="GERIATRIC">
      <formula>NOT(ISERROR(SEARCH(("GERIATRIC"),(AQ60))))</formula>
    </cfRule>
    <cfRule type="containsText" priority="16880" operator="containsText" dxfId="17" text="VACATION">
      <formula>NOT(ISERROR(SEARCH(("VACATION"),(AQ60))))</formula>
    </cfRule>
    <cfRule type="containsText" priority="16881" operator="containsText" dxfId="7" text="PATH">
      <formula>NOT(ISERROR(SEARCH(("PATH"),(AQ60))))</formula>
    </cfRule>
    <cfRule type="containsText" priority="16882" operator="containsText" dxfId="7" text="NEPHRO">
      <formula>NOT(ISERROR(SEARCH(("NEPHRO"),(AQ60))))</formula>
    </cfRule>
    <cfRule type="containsText" priority="16883" operator="containsText" dxfId="7" text="PULM">
      <formula>NOT(ISERROR(SEARCH(("PULM"),(AQ60))))</formula>
    </cfRule>
    <cfRule type="containsText" priority="16884" operator="containsText" dxfId="7" text="RADIOLOGY">
      <formula>NOT(ISERROR(SEARCH(("RADIOLOGY"),(AQ60))))</formula>
    </cfRule>
    <cfRule type="containsText" priority="16885" operator="containsText" dxfId="7" text="HEM/ONC">
      <formula>NOT(ISERROR(SEARCH(("HEM/ONC"),(AQ60))))</formula>
    </cfRule>
    <cfRule type="containsText" priority="16886" operator="containsText" dxfId="7" text="CARDIO">
      <formula>NOT(ISERROR(SEARCH(("CARDIO"),(AQ60))))</formula>
    </cfRule>
    <cfRule type="containsText" priority="16887" operator="containsText" dxfId="7" text="ID">
      <formula>NOT(ISERROR(SEARCH(("ID"),(AQ60))))</formula>
    </cfRule>
    <cfRule type="containsText" priority="16888" operator="containsText" dxfId="7" text="NEURO">
      <formula>NOT(ISERROR(SEARCH(("NEURO"),(AQ60))))</formula>
    </cfRule>
    <cfRule type="containsText" priority="16889" operator="containsText" dxfId="6" text="NEURO">
      <formula>NOT(ISERROR(SEARCH(("NEURO"),(AQ60))))</formula>
    </cfRule>
    <cfRule type="containsText" priority="16890" operator="containsText" dxfId="5" text="NEURO">
      <formula>NOT(ISERROR(SEARCH(("NEURO"),(AQ60))))</formula>
    </cfRule>
    <cfRule type="containsText" priority="16891" operator="containsText" dxfId="0" text="ICU N">
      <formula>NOT(ISERROR(SEARCH(("ICU N"),(AQ60))))</formula>
    </cfRule>
    <cfRule type="containsText" priority="16892" operator="containsText" dxfId="3" text="ICU">
      <formula>NOT(ISERROR(SEARCH(("ICU"),(AQ60))))</formula>
    </cfRule>
    <cfRule type="containsText" priority="16893" operator="containsText" dxfId="0" text="SWING">
      <formula>NOT(ISERROR(SEARCH(("SWING"),(AQ60))))</formula>
    </cfRule>
    <cfRule type="containsText" priority="16894" operator="containsText" dxfId="0" text="NF">
      <formula>NOT(ISERROR(SEARCH(("NF"),(AQ60))))</formula>
    </cfRule>
    <cfRule type="containsText" priority="16895" operator="containsText" dxfId="0" text="ICU N">
      <formula>NOT(ISERROR(SEARCH(("ICU N"),(AQ60))))</formula>
    </cfRule>
    <cfRule type="containsText" priority="16861" operator="containsText" dxfId="17" text="VACATION">
      <formula>NOT(ISERROR(SEARCH(("VACATION"),(AQ60))))</formula>
    </cfRule>
    <cfRule type="containsText" priority="16862" operator="containsText" dxfId="16" text="ED">
      <formula>NOT(ISERROR(SEARCH(("ED"),(AQ60))))</formula>
    </cfRule>
    <cfRule type="containsText" priority="16863" operator="containsText" dxfId="15" text="GERIATRIC">
      <formula>NOT(ISERROR(SEARCH(("GERIATRIC"),(AQ60))))</formula>
    </cfRule>
    <cfRule type="containsText" priority="16864" operator="containsText" dxfId="7" text="PATH">
      <formula>NOT(ISERROR(SEARCH(("PATH"),(AQ60))))</formula>
    </cfRule>
    <cfRule type="containsText" priority="16865" operator="containsText" dxfId="7" text="NEPHRO">
      <formula>NOT(ISERROR(SEARCH(("NEPHRO"),(AQ60))))</formula>
    </cfRule>
    <cfRule type="containsText" priority="16866" operator="containsText" dxfId="7" text="PULM">
      <formula>NOT(ISERROR(SEARCH(("PULM"),(AQ60))))</formula>
    </cfRule>
    <cfRule type="containsText" priority="16867" operator="containsText" dxfId="7" text="RADIOLOGY">
      <formula>NOT(ISERROR(SEARCH(("RADIOLOGY"),(AQ60))))</formula>
    </cfRule>
    <cfRule type="containsText" priority="16868" operator="containsText" dxfId="7" text="HEM/ONC">
      <formula>NOT(ISERROR(SEARCH(("HEM/ONC"),(AQ60))))</formula>
    </cfRule>
    <cfRule type="containsText" priority="16869" operator="containsText" dxfId="7" text="CARDIO">
      <formula>NOT(ISERROR(SEARCH(("CARDIO"),(AQ60))))</formula>
    </cfRule>
    <cfRule type="containsText" priority="16870" operator="containsText" dxfId="7" text="ID">
      <formula>NOT(ISERROR(SEARCH(("ID"),(AQ60))))</formula>
    </cfRule>
    <cfRule type="containsText" priority="16871" operator="containsText" dxfId="7" text="NEURO">
      <formula>NOT(ISERROR(SEARCH(("NEURO"),(AQ60))))</formula>
    </cfRule>
    <cfRule type="containsText" priority="16872" operator="containsText" dxfId="6" text="NEURO">
      <formula>NOT(ISERROR(SEARCH(("NEURO"),(AQ60))))</formula>
    </cfRule>
    <cfRule type="containsText" priority="16873" operator="containsText" dxfId="5" text="NEURO">
      <formula>NOT(ISERROR(SEARCH(("NEURO"),(AQ60))))</formula>
    </cfRule>
    <cfRule type="containsText" priority="16874" operator="containsText" dxfId="0" text="ICU N">
      <formula>NOT(ISERROR(SEARCH(("ICU N"),(AQ60))))</formula>
    </cfRule>
    <cfRule type="containsText" priority="16875" operator="containsText" dxfId="3" text="ICU">
      <formula>NOT(ISERROR(SEARCH(("ICU"),(AQ60))))</formula>
    </cfRule>
    <cfRule type="containsText" priority="16876" operator="containsText" dxfId="0" text="SWING">
      <formula>NOT(ISERROR(SEARCH(("SWING"),(AQ60))))</formula>
    </cfRule>
    <cfRule type="containsText" priority="16877" operator="containsText" dxfId="0" text="NF">
      <formula>NOT(ISERROR(SEARCH(("NF"),(AQ60))))</formula>
    </cfRule>
    <cfRule type="containsText" priority="16846" operator="containsText" dxfId="7" text="PATH">
      <formula>NOT(ISERROR(SEARCH(("PATH"),(AQ60))))</formula>
    </cfRule>
    <cfRule type="containsText" priority="16847" operator="containsText" dxfId="7" text="NEPHRO">
      <formula>NOT(ISERROR(SEARCH(("NEPHRO"),(AQ60))))</formula>
    </cfRule>
    <cfRule type="containsText" priority="16848" operator="containsText" dxfId="7" text="PULM">
      <formula>NOT(ISERROR(SEARCH(("PULM"),(AQ60))))</formula>
    </cfRule>
    <cfRule type="containsText" priority="16849" operator="containsText" dxfId="7" text="RADIOLOGY">
      <formula>NOT(ISERROR(SEARCH(("RADIOLOGY"),(AQ60))))</formula>
    </cfRule>
    <cfRule type="containsText" priority="16850" operator="containsText" dxfId="7" text="HEM/ONC">
      <formula>NOT(ISERROR(SEARCH(("HEM/ONC"),(AQ60))))</formula>
    </cfRule>
    <cfRule type="containsText" priority="16851" operator="containsText" dxfId="7" text="CARDIO">
      <formula>NOT(ISERROR(SEARCH(("CARDIO"),(AQ60))))</formula>
    </cfRule>
    <cfRule type="containsText" priority="16852" operator="containsText" dxfId="7" text="ID">
      <formula>NOT(ISERROR(SEARCH(("ID"),(AQ60))))</formula>
    </cfRule>
    <cfRule type="containsText" priority="16853" operator="containsText" dxfId="7" text="NEURO">
      <formula>NOT(ISERROR(SEARCH(("NEURO"),(AQ60))))</formula>
    </cfRule>
    <cfRule type="containsText" priority="16854" operator="containsText" dxfId="6" text="NEURO">
      <formula>NOT(ISERROR(SEARCH(("NEURO"),(AQ60))))</formula>
    </cfRule>
    <cfRule type="containsText" priority="16855" operator="containsText" dxfId="5" text="NEURO">
      <formula>NOT(ISERROR(SEARCH(("NEURO"),(AQ60))))</formula>
    </cfRule>
    <cfRule type="containsText" priority="16856" operator="containsText" dxfId="0" text="ICU N">
      <formula>NOT(ISERROR(SEARCH(("ICU N"),(AQ60))))</formula>
    </cfRule>
    <cfRule type="containsText" priority="16857" operator="containsText" dxfId="3" text="ICU">
      <formula>NOT(ISERROR(SEARCH(("ICU"),(AQ60))))</formula>
    </cfRule>
    <cfRule type="containsText" priority="16858" operator="containsText" dxfId="0" text="SWING">
      <formula>NOT(ISERROR(SEARCH(("SWING"),(AQ60))))</formula>
    </cfRule>
    <cfRule type="containsText" priority="16859" operator="containsText" dxfId="0" text="NF">
      <formula>NOT(ISERROR(SEARCH(("NF"),(AQ60))))</formula>
    </cfRule>
    <cfRule type="containsText" priority="16860" operator="containsText" dxfId="0" text="ICU N">
      <formula>NOT(ISERROR(SEARCH(("ICU N"),(AQ60))))</formula>
    </cfRule>
  </conditionalFormatting>
  <conditionalFormatting sqref="AQ61">
    <cfRule type="containsText" priority="16828" operator="containsText" dxfId="16" text="ED">
      <formula>NOT(ISERROR(SEARCH(("ED"),(AQ61))))</formula>
    </cfRule>
    <cfRule type="containsText" priority="16829" operator="containsText" dxfId="15" text="GERIATRIC">
      <formula>NOT(ISERROR(SEARCH(("GERIATRIC"),(AQ61))))</formula>
    </cfRule>
    <cfRule type="containsText" priority="16830" operator="containsText" dxfId="17" text="VACATION">
      <formula>NOT(ISERROR(SEARCH(("VACATION"),(AQ61))))</formula>
    </cfRule>
    <cfRule type="containsText" priority="16831" operator="containsText" dxfId="7" text="PATH">
      <formula>NOT(ISERROR(SEARCH(("PATH"),(AQ61))))</formula>
    </cfRule>
    <cfRule type="containsText" priority="16832" operator="containsText" dxfId="7" text="NEPHRO">
      <formula>NOT(ISERROR(SEARCH(("NEPHRO"),(AQ61))))</formula>
    </cfRule>
    <cfRule type="containsText" priority="16833" operator="containsText" dxfId="7" text="PULM">
      <formula>NOT(ISERROR(SEARCH(("PULM"),(AQ61))))</formula>
    </cfRule>
    <cfRule type="containsText" priority="16834" operator="containsText" dxfId="7" text="RADIOLOGY">
      <formula>NOT(ISERROR(SEARCH(("RADIOLOGY"),(AQ61))))</formula>
    </cfRule>
    <cfRule type="containsText" priority="16835" operator="containsText" dxfId="7" text="HEM/ONC">
      <formula>NOT(ISERROR(SEARCH(("HEM/ONC"),(AQ61))))</formula>
    </cfRule>
    <cfRule type="containsText" priority="16836" operator="containsText" dxfId="7" text="CARDIO">
      <formula>NOT(ISERROR(SEARCH(("CARDIO"),(AQ61))))</formula>
    </cfRule>
    <cfRule type="containsText" priority="16837" operator="containsText" dxfId="7" text="ID">
      <formula>NOT(ISERROR(SEARCH(("ID"),(AQ61))))</formula>
    </cfRule>
    <cfRule type="containsText" priority="16838" operator="containsText" dxfId="7" text="NEURO">
      <formula>NOT(ISERROR(SEARCH(("NEURO"),(AQ61))))</formula>
    </cfRule>
    <cfRule type="containsText" priority="16839" operator="containsText" dxfId="6" text="NEURO">
      <formula>NOT(ISERROR(SEARCH(("NEURO"),(AQ61))))</formula>
    </cfRule>
    <cfRule type="containsText" priority="16840" operator="containsText" dxfId="5" text="NEURO">
      <formula>NOT(ISERROR(SEARCH(("NEURO"),(AQ61))))</formula>
    </cfRule>
    <cfRule type="containsText" priority="16841" operator="containsText" dxfId="0" text="ICU N">
      <formula>NOT(ISERROR(SEARCH(("ICU N"),(AQ61))))</formula>
    </cfRule>
    <cfRule type="containsText" priority="16842" operator="containsText" dxfId="3" text="ICU">
      <formula>NOT(ISERROR(SEARCH(("ICU"),(AQ61))))</formula>
    </cfRule>
    <cfRule type="containsText" priority="16843" operator="containsText" dxfId="0" text="SWING">
      <formula>NOT(ISERROR(SEARCH(("SWING"),(AQ61))))</formula>
    </cfRule>
    <cfRule type="containsText" priority="16844" operator="containsText" dxfId="0" text="NF">
      <formula>NOT(ISERROR(SEARCH(("NF"),(AQ61))))</formula>
    </cfRule>
    <cfRule type="containsText" priority="16845" operator="containsText" dxfId="0" text="ICU N">
      <formula>NOT(ISERROR(SEARCH(("ICU N"),(AQ61))))</formula>
    </cfRule>
    <cfRule type="containsText" priority="16811" operator="containsText" dxfId="17" text="VACATION">
      <formula>NOT(ISERROR(SEARCH(("VACATION"),(AQ61))))</formula>
    </cfRule>
    <cfRule type="containsText" priority="16812" operator="containsText" dxfId="16" text="ED">
      <formula>NOT(ISERROR(SEARCH(("ED"),(AQ61))))</formula>
    </cfRule>
    <cfRule type="containsText" priority="16813" operator="containsText" dxfId="15" text="GERIATRIC">
      <formula>NOT(ISERROR(SEARCH(("GERIATRIC"),(AQ61))))</formula>
    </cfRule>
    <cfRule type="containsText" priority="16814" operator="containsText" dxfId="7" text="PATH">
      <formula>NOT(ISERROR(SEARCH(("PATH"),(AQ61))))</formula>
    </cfRule>
    <cfRule type="containsText" priority="16815" operator="containsText" dxfId="7" text="NEPHRO">
      <formula>NOT(ISERROR(SEARCH(("NEPHRO"),(AQ61))))</formula>
    </cfRule>
    <cfRule type="containsText" priority="16816" operator="containsText" dxfId="7" text="PULM">
      <formula>NOT(ISERROR(SEARCH(("PULM"),(AQ61))))</formula>
    </cfRule>
    <cfRule type="containsText" priority="16817" operator="containsText" dxfId="7" text="RADIOLOGY">
      <formula>NOT(ISERROR(SEARCH(("RADIOLOGY"),(AQ61))))</formula>
    </cfRule>
    <cfRule type="containsText" priority="16818" operator="containsText" dxfId="7" text="HEM/ONC">
      <formula>NOT(ISERROR(SEARCH(("HEM/ONC"),(AQ61))))</formula>
    </cfRule>
    <cfRule type="containsText" priority="16819" operator="containsText" dxfId="7" text="CARDIO">
      <formula>NOT(ISERROR(SEARCH(("CARDIO"),(AQ61))))</formula>
    </cfRule>
    <cfRule type="containsText" priority="16820" operator="containsText" dxfId="7" text="ID">
      <formula>NOT(ISERROR(SEARCH(("ID"),(AQ61))))</formula>
    </cfRule>
    <cfRule type="containsText" priority="16821" operator="containsText" dxfId="7" text="NEURO">
      <formula>NOT(ISERROR(SEARCH(("NEURO"),(AQ61))))</formula>
    </cfRule>
    <cfRule type="containsText" priority="16822" operator="containsText" dxfId="6" text="NEURO">
      <formula>NOT(ISERROR(SEARCH(("NEURO"),(AQ61))))</formula>
    </cfRule>
    <cfRule type="containsText" priority="16823" operator="containsText" dxfId="5" text="NEURO">
      <formula>NOT(ISERROR(SEARCH(("NEURO"),(AQ61))))</formula>
    </cfRule>
    <cfRule type="containsText" priority="16824" operator="containsText" dxfId="0" text="ICU N">
      <formula>NOT(ISERROR(SEARCH(("ICU N"),(AQ61))))</formula>
    </cfRule>
    <cfRule type="containsText" priority="16825" operator="containsText" dxfId="3" text="ICU">
      <formula>NOT(ISERROR(SEARCH(("ICU"),(AQ61))))</formula>
    </cfRule>
    <cfRule type="containsText" priority="16826" operator="containsText" dxfId="0" text="SWING">
      <formula>NOT(ISERROR(SEARCH(("SWING"),(AQ61))))</formula>
    </cfRule>
    <cfRule type="containsText" priority="16827" operator="containsText" dxfId="0" text="NF">
      <formula>NOT(ISERROR(SEARCH(("NF"),(AQ61))))</formula>
    </cfRule>
    <cfRule type="containsText" priority="16796" operator="containsText" dxfId="7" text="PATH">
      <formula>NOT(ISERROR(SEARCH(("PATH"),(AQ61))))</formula>
    </cfRule>
    <cfRule type="containsText" priority="16797" operator="containsText" dxfId="7" text="NEPHRO">
      <formula>NOT(ISERROR(SEARCH(("NEPHRO"),(AQ61))))</formula>
    </cfRule>
    <cfRule type="containsText" priority="16798" operator="containsText" dxfId="7" text="PULM">
      <formula>NOT(ISERROR(SEARCH(("PULM"),(AQ61))))</formula>
    </cfRule>
    <cfRule type="containsText" priority="16799" operator="containsText" dxfId="7" text="RADIOLOGY">
      <formula>NOT(ISERROR(SEARCH(("RADIOLOGY"),(AQ61))))</formula>
    </cfRule>
    <cfRule type="containsText" priority="16800" operator="containsText" dxfId="7" text="HEM/ONC">
      <formula>NOT(ISERROR(SEARCH(("HEM/ONC"),(AQ61))))</formula>
    </cfRule>
    <cfRule type="containsText" priority="16801" operator="containsText" dxfId="7" text="CARDIO">
      <formula>NOT(ISERROR(SEARCH(("CARDIO"),(AQ61))))</formula>
    </cfRule>
    <cfRule type="containsText" priority="16802" operator="containsText" dxfId="7" text="ID">
      <formula>NOT(ISERROR(SEARCH(("ID"),(AQ61))))</formula>
    </cfRule>
    <cfRule type="containsText" priority="16803" operator="containsText" dxfId="7" text="NEURO">
      <formula>NOT(ISERROR(SEARCH(("NEURO"),(AQ61))))</formula>
    </cfRule>
    <cfRule type="containsText" priority="16804" operator="containsText" dxfId="6" text="NEURO">
      <formula>NOT(ISERROR(SEARCH(("NEURO"),(AQ61))))</formula>
    </cfRule>
    <cfRule type="containsText" priority="16805" operator="containsText" dxfId="5" text="NEURO">
      <formula>NOT(ISERROR(SEARCH(("NEURO"),(AQ61))))</formula>
    </cfRule>
    <cfRule type="containsText" priority="16806" operator="containsText" dxfId="0" text="ICU N">
      <formula>NOT(ISERROR(SEARCH(("ICU N"),(AQ61))))</formula>
    </cfRule>
    <cfRule type="containsText" priority="16807" operator="containsText" dxfId="3" text="ICU">
      <formula>NOT(ISERROR(SEARCH(("ICU"),(AQ61))))</formula>
    </cfRule>
    <cfRule type="containsText" priority="16808" operator="containsText" dxfId="0" text="SWING">
      <formula>NOT(ISERROR(SEARCH(("SWING"),(AQ61))))</formula>
    </cfRule>
    <cfRule type="containsText" priority="16809" operator="containsText" dxfId="0" text="NF">
      <formula>NOT(ISERROR(SEARCH(("NF"),(AQ61))))</formula>
    </cfRule>
    <cfRule type="containsText" priority="16810" operator="containsText" dxfId="0" text="ICU N">
      <formula>NOT(ISERROR(SEARCH(("ICU N"),(AQ61))))</formula>
    </cfRule>
  </conditionalFormatting>
  <conditionalFormatting sqref="AR53:AU54 AR55:AS55 AR57:AU61 AS51:AU52 AU55:AU56">
    <cfRule type="containsText" priority="16775" operator="containsText" dxfId="16" text="ED">
      <formula>NOT(ISERROR(SEARCH(("ED"),(AR51))))</formula>
    </cfRule>
    <cfRule type="containsText" priority="16776" operator="containsText" dxfId="15" text="GERIATRIC">
      <formula>NOT(ISERROR(SEARCH(("GERIATRIC"),(AR51))))</formula>
    </cfRule>
    <cfRule type="containsText" priority="16777" operator="containsText" dxfId="17" text="VACATION">
      <formula>NOT(ISERROR(SEARCH(("VACATION"),(AR51))))</formula>
    </cfRule>
    <cfRule type="containsText" priority="16778" operator="containsText" dxfId="7" text="PATH">
      <formula>NOT(ISERROR(SEARCH(("PATH"),(AR51))))</formula>
    </cfRule>
    <cfRule type="containsText" priority="16779" operator="containsText" dxfId="7" text="NEPHRO">
      <formula>NOT(ISERROR(SEARCH(("NEPHRO"),(AR51))))</formula>
    </cfRule>
    <cfRule type="containsText" priority="16780" operator="containsText" dxfId="7" text="PULM">
      <formula>NOT(ISERROR(SEARCH(("PULM"),(AR51))))</formula>
    </cfRule>
    <cfRule type="containsText" priority="16781" operator="containsText" dxfId="7" text="RADIOLOGY">
      <formula>NOT(ISERROR(SEARCH(("RADIOLOGY"),(AR51))))</formula>
    </cfRule>
    <cfRule type="containsText" priority="16782" operator="containsText" dxfId="7" text="HEM/ONC">
      <formula>NOT(ISERROR(SEARCH(("HEM/ONC"),(AR51))))</formula>
    </cfRule>
    <cfRule type="containsText" priority="16783" operator="containsText" dxfId="7" text="CARDIO">
      <formula>NOT(ISERROR(SEARCH(("CARDIO"),(AR51))))</formula>
    </cfRule>
    <cfRule type="containsText" priority="16784" operator="containsText" dxfId="7" text="ID">
      <formula>NOT(ISERROR(SEARCH(("ID"),(AR51))))</formula>
    </cfRule>
    <cfRule type="containsText" priority="16785" operator="containsText" dxfId="7" text="NEURO">
      <formula>NOT(ISERROR(SEARCH(("NEURO"),(AR51))))</formula>
    </cfRule>
    <cfRule type="containsText" priority="16786" operator="containsText" dxfId="6" text="NEURO">
      <formula>NOT(ISERROR(SEARCH(("NEURO"),(AR51))))</formula>
    </cfRule>
    <cfRule type="containsText" priority="16787" operator="containsText" dxfId="5" text="NEURO">
      <formula>NOT(ISERROR(SEARCH(("NEURO"),(AR51))))</formula>
    </cfRule>
    <cfRule type="containsText" priority="16788" operator="containsText" dxfId="0" text="ICU N">
      <formula>NOT(ISERROR(SEARCH(("ICU N"),(AR51))))</formula>
    </cfRule>
    <cfRule type="containsText" priority="16789" operator="containsText" dxfId="3" text="ICU">
      <formula>NOT(ISERROR(SEARCH(("ICU"),(AR51))))</formula>
    </cfRule>
    <cfRule type="containsText" priority="16790" operator="containsText" dxfId="0" text="SWING">
      <formula>NOT(ISERROR(SEARCH(("SWING"),(AR51))))</formula>
    </cfRule>
    <cfRule type="containsText" priority="16791" operator="containsText" dxfId="0" text="NF">
      <formula>NOT(ISERROR(SEARCH(("NF"),(AR51))))</formula>
    </cfRule>
    <cfRule type="containsText" priority="16792" operator="containsText" dxfId="0" text="ICU N">
      <formula>NOT(ISERROR(SEARCH(("ICU N"),(AR51))))</formula>
    </cfRule>
    <cfRule type="containsText" priority="16758" operator="containsText" dxfId="17" text="VACATION">
      <formula>NOT(ISERROR(SEARCH(("VACATION"),(AR51))))</formula>
    </cfRule>
    <cfRule type="containsText" priority="16759" operator="containsText" dxfId="16" text="ED">
      <formula>NOT(ISERROR(SEARCH(("ED"),(AR51))))</formula>
    </cfRule>
    <cfRule type="containsText" priority="16760" operator="containsText" dxfId="15" text="GERIATRIC">
      <formula>NOT(ISERROR(SEARCH(("GERIATRIC"),(AR51))))</formula>
    </cfRule>
    <cfRule type="containsText" priority="16761" operator="containsText" dxfId="7" text="PATH">
      <formula>NOT(ISERROR(SEARCH(("PATH"),(AR51))))</formula>
    </cfRule>
    <cfRule type="containsText" priority="16762" operator="containsText" dxfId="7" text="NEPHRO">
      <formula>NOT(ISERROR(SEARCH(("NEPHRO"),(AR51))))</formula>
    </cfRule>
    <cfRule type="containsText" priority="16763" operator="containsText" dxfId="7" text="PULM">
      <formula>NOT(ISERROR(SEARCH(("PULM"),(AR51))))</formula>
    </cfRule>
    <cfRule type="containsText" priority="16764" operator="containsText" dxfId="7" text="RADIOLOGY">
      <formula>NOT(ISERROR(SEARCH(("RADIOLOGY"),(AR51))))</formula>
    </cfRule>
    <cfRule type="containsText" priority="16765" operator="containsText" dxfId="7" text="HEM/ONC">
      <formula>NOT(ISERROR(SEARCH(("HEM/ONC"),(AR51))))</formula>
    </cfRule>
    <cfRule type="containsText" priority="16766" operator="containsText" dxfId="7" text="CARDIO">
      <formula>NOT(ISERROR(SEARCH(("CARDIO"),(AR51))))</formula>
    </cfRule>
    <cfRule type="containsText" priority="16767" operator="containsText" dxfId="7" text="ID">
      <formula>NOT(ISERROR(SEARCH(("ID"),(AR51))))</formula>
    </cfRule>
    <cfRule type="containsText" priority="16768" operator="containsText" dxfId="7" text="NEURO">
      <formula>NOT(ISERROR(SEARCH(("NEURO"),(AR51))))</formula>
    </cfRule>
    <cfRule type="containsText" priority="16769" operator="containsText" dxfId="6" text="NEURO">
      <formula>NOT(ISERROR(SEARCH(("NEURO"),(AR51))))</formula>
    </cfRule>
    <cfRule type="containsText" priority="16770" operator="containsText" dxfId="5" text="NEURO">
      <formula>NOT(ISERROR(SEARCH(("NEURO"),(AR51))))</formula>
    </cfRule>
    <cfRule type="containsText" priority="16771" operator="containsText" dxfId="0" text="ICU N">
      <formula>NOT(ISERROR(SEARCH(("ICU N"),(AR51))))</formula>
    </cfRule>
    <cfRule type="containsText" priority="16772" operator="containsText" dxfId="3" text="ICU">
      <formula>NOT(ISERROR(SEARCH(("ICU"),(AR51))))</formula>
    </cfRule>
    <cfRule type="containsText" priority="16773" operator="containsText" dxfId="0" text="SWING">
      <formula>NOT(ISERROR(SEARCH(("SWING"),(AR51))))</formula>
    </cfRule>
    <cfRule type="containsText" priority="16774" operator="containsText" dxfId="0" text="NF">
      <formula>NOT(ISERROR(SEARCH(("NF"),(AR51))))</formula>
    </cfRule>
    <cfRule type="containsText" priority="16743" operator="containsText" dxfId="7" text="PATH">
      <formula>NOT(ISERROR(SEARCH(("PATH"),(AR51))))</formula>
    </cfRule>
    <cfRule type="containsText" priority="16744" operator="containsText" dxfId="7" text="NEPHRO">
      <formula>NOT(ISERROR(SEARCH(("NEPHRO"),(AR51))))</formula>
    </cfRule>
    <cfRule type="containsText" priority="16745" operator="containsText" dxfId="7" text="PULM">
      <formula>NOT(ISERROR(SEARCH(("PULM"),(AR51))))</formula>
    </cfRule>
    <cfRule type="containsText" priority="16746" operator="containsText" dxfId="7" text="RADIOLOGY">
      <formula>NOT(ISERROR(SEARCH(("RADIOLOGY"),(AR51))))</formula>
    </cfRule>
    <cfRule type="containsText" priority="16747" operator="containsText" dxfId="7" text="HEM/ONC">
      <formula>NOT(ISERROR(SEARCH(("HEM/ONC"),(AR51))))</formula>
    </cfRule>
    <cfRule type="containsText" priority="16748" operator="containsText" dxfId="7" text="CARDIO">
      <formula>NOT(ISERROR(SEARCH(("CARDIO"),(AR51))))</formula>
    </cfRule>
    <cfRule type="containsText" priority="16749" operator="containsText" dxfId="7" text="ID">
      <formula>NOT(ISERROR(SEARCH(("ID"),(AR51))))</formula>
    </cfRule>
    <cfRule type="containsText" priority="16750" operator="containsText" dxfId="7" text="NEURO">
      <formula>NOT(ISERROR(SEARCH(("NEURO"),(AR51))))</formula>
    </cfRule>
    <cfRule type="containsText" priority="16751" operator="containsText" dxfId="6" text="NEURO">
      <formula>NOT(ISERROR(SEARCH(("NEURO"),(AR51))))</formula>
    </cfRule>
    <cfRule type="containsText" priority="16752" operator="containsText" dxfId="5" text="NEURO">
      <formula>NOT(ISERROR(SEARCH(("NEURO"),(AR51))))</formula>
    </cfRule>
    <cfRule type="containsText" priority="16753" operator="containsText" dxfId="0" text="ICU N">
      <formula>NOT(ISERROR(SEARCH(("ICU N"),(AR51))))</formula>
    </cfRule>
    <cfRule type="containsText" priority="16754" operator="containsText" dxfId="3" text="ICU">
      <formula>NOT(ISERROR(SEARCH(("ICU"),(AR51))))</formula>
    </cfRule>
    <cfRule type="containsText" priority="16755" operator="containsText" dxfId="0" text="SWING">
      <formula>NOT(ISERROR(SEARCH(("SWING"),(AR51))))</formula>
    </cfRule>
    <cfRule type="containsText" priority="16756" operator="containsText" dxfId="0" text="NF">
      <formula>NOT(ISERROR(SEARCH(("NF"),(AR51))))</formula>
    </cfRule>
    <cfRule type="containsText" priority="16757" operator="containsText" dxfId="0" text="ICU N">
      <formula>NOT(ISERROR(SEARCH(("ICU N"),(AR51))))</formula>
    </cfRule>
  </conditionalFormatting>
  <conditionalFormatting sqref="N59">
    <cfRule type="containsText" priority="16740" operator="containsText" dxfId="16" text="ED">
      <formula>NOT(ISERROR(SEARCH(("ED"),(N59))))</formula>
    </cfRule>
    <cfRule type="containsText" priority="16741" operator="containsText" dxfId="17" text="VACATION">
      <formula>NOT(ISERROR(SEARCH(("VACATION"),(N59))))</formula>
    </cfRule>
    <cfRule type="containsText" priority="16742" operator="containsText" dxfId="0" text="ICU N">
      <formula>NOT(ISERROR(SEARCH(("ICU N"),(N59))))</formula>
    </cfRule>
  </conditionalFormatting>
  <conditionalFormatting sqref="K61">
    <cfRule type="containsText" priority="16737" operator="containsText" dxfId="16" text="ED">
      <formula>NOT(ISERROR(SEARCH(("ED"),(K61))))</formula>
    </cfRule>
    <cfRule type="containsText" priority="16738" operator="containsText" dxfId="17" text="VACATION">
      <formula>NOT(ISERROR(SEARCH(("VACATION"),(K61))))</formula>
    </cfRule>
    <cfRule type="containsText" priority="16739" operator="containsText" dxfId="0" text="ICU N">
      <formula>NOT(ISERROR(SEARCH(("ICU N"),(K61))))</formula>
    </cfRule>
  </conditionalFormatting>
  <conditionalFormatting sqref="AV54:AY60">
    <cfRule type="containsText" priority="16719" operator="containsText" dxfId="16" text="ED">
      <formula>NOT(ISERROR(SEARCH(("ED"),(AV54))))</formula>
    </cfRule>
    <cfRule type="containsText" priority="16720" operator="containsText" dxfId="15" text="GERIATRIC">
      <formula>NOT(ISERROR(SEARCH(("GERIATRIC"),(AV54))))</formula>
    </cfRule>
    <cfRule type="containsText" priority="16721" operator="containsText" dxfId="17" text="VACATION">
      <formula>NOT(ISERROR(SEARCH(("VACATION"),(AV54))))</formula>
    </cfRule>
    <cfRule type="containsText" priority="16722" operator="containsText" dxfId="7" text="PATH">
      <formula>NOT(ISERROR(SEARCH(("PATH"),(AV54))))</formula>
    </cfRule>
    <cfRule type="containsText" priority="16723" operator="containsText" dxfId="7" text="NEPHRO">
      <formula>NOT(ISERROR(SEARCH(("NEPHRO"),(AV54))))</formula>
    </cfRule>
    <cfRule type="containsText" priority="16724" operator="containsText" dxfId="7" text="PULM">
      <formula>NOT(ISERROR(SEARCH(("PULM"),(AV54))))</formula>
    </cfRule>
    <cfRule type="containsText" priority="16725" operator="containsText" dxfId="7" text="RADIOLOGY">
      <formula>NOT(ISERROR(SEARCH(("RADIOLOGY"),(AV54))))</formula>
    </cfRule>
    <cfRule type="containsText" priority="16726" operator="containsText" dxfId="7" text="HEM/ONC">
      <formula>NOT(ISERROR(SEARCH(("HEM/ONC"),(AV54))))</formula>
    </cfRule>
    <cfRule type="containsText" priority="16727" operator="containsText" dxfId="7" text="CARDIO">
      <formula>NOT(ISERROR(SEARCH(("CARDIO"),(AV54))))</formula>
    </cfRule>
    <cfRule type="containsText" priority="16728" operator="containsText" dxfId="7" text="ID">
      <formula>NOT(ISERROR(SEARCH(("ID"),(AV54))))</formula>
    </cfRule>
    <cfRule type="containsText" priority="16729" operator="containsText" dxfId="7" text="NEURO">
      <formula>NOT(ISERROR(SEARCH(("NEURO"),(AV54))))</formula>
    </cfRule>
    <cfRule type="containsText" priority="16730" operator="containsText" dxfId="6" text="NEURO">
      <formula>NOT(ISERROR(SEARCH(("NEURO"),(AV54))))</formula>
    </cfRule>
    <cfRule type="containsText" priority="16731" operator="containsText" dxfId="5" text="NEURO">
      <formula>NOT(ISERROR(SEARCH(("NEURO"),(AV54))))</formula>
    </cfRule>
    <cfRule type="containsText" priority="16732" operator="containsText" dxfId="0" text="ICU N">
      <formula>NOT(ISERROR(SEARCH(("ICU N"),(AV54))))</formula>
    </cfRule>
    <cfRule type="containsText" priority="16733" operator="containsText" dxfId="3" text="ICU">
      <formula>NOT(ISERROR(SEARCH(("ICU"),(AV54))))</formula>
    </cfRule>
    <cfRule type="containsText" priority="16734" operator="containsText" dxfId="0" text="SWING">
      <formula>NOT(ISERROR(SEARCH(("SWING"),(AV54))))</formula>
    </cfRule>
    <cfRule type="containsText" priority="16735" operator="containsText" dxfId="0" text="NF">
      <formula>NOT(ISERROR(SEARCH(("NF"),(AV54))))</formula>
    </cfRule>
    <cfRule type="containsText" priority="16736" operator="containsText" dxfId="0" text="ICU N">
      <formula>NOT(ISERROR(SEARCH(("ICU N"),(AV54))))</formula>
    </cfRule>
    <cfRule type="containsText" priority="16702" operator="containsText" dxfId="17" text="VACATION">
      <formula>NOT(ISERROR(SEARCH(("VACATION"),(AV54))))</formula>
    </cfRule>
    <cfRule type="containsText" priority="16703" operator="containsText" dxfId="16" text="ED">
      <formula>NOT(ISERROR(SEARCH(("ED"),(AV54))))</formula>
    </cfRule>
    <cfRule type="containsText" priority="16704" operator="containsText" dxfId="15" text="GERIATRIC">
      <formula>NOT(ISERROR(SEARCH(("GERIATRIC"),(AV54))))</formula>
    </cfRule>
    <cfRule type="containsText" priority="16705" operator="containsText" dxfId="7" text="PATH">
      <formula>NOT(ISERROR(SEARCH(("PATH"),(AV54))))</formula>
    </cfRule>
    <cfRule type="containsText" priority="16706" operator="containsText" dxfId="7" text="NEPHRO">
      <formula>NOT(ISERROR(SEARCH(("NEPHRO"),(AV54))))</formula>
    </cfRule>
    <cfRule type="containsText" priority="16707" operator="containsText" dxfId="7" text="PULM">
      <formula>NOT(ISERROR(SEARCH(("PULM"),(AV54))))</formula>
    </cfRule>
    <cfRule type="containsText" priority="16708" operator="containsText" dxfId="7" text="RADIOLOGY">
      <formula>NOT(ISERROR(SEARCH(("RADIOLOGY"),(AV54))))</formula>
    </cfRule>
    <cfRule type="containsText" priority="16709" operator="containsText" dxfId="7" text="HEM/ONC">
      <formula>NOT(ISERROR(SEARCH(("HEM/ONC"),(AV54))))</formula>
    </cfRule>
    <cfRule type="containsText" priority="16710" operator="containsText" dxfId="7" text="CARDIO">
      <formula>NOT(ISERROR(SEARCH(("CARDIO"),(AV54))))</formula>
    </cfRule>
    <cfRule type="containsText" priority="16711" operator="containsText" dxfId="7" text="ID">
      <formula>NOT(ISERROR(SEARCH(("ID"),(AV54))))</formula>
    </cfRule>
    <cfRule type="containsText" priority="16712" operator="containsText" dxfId="7" text="NEURO">
      <formula>NOT(ISERROR(SEARCH(("NEURO"),(AV54))))</formula>
    </cfRule>
    <cfRule type="containsText" priority="16713" operator="containsText" dxfId="6" text="NEURO">
      <formula>NOT(ISERROR(SEARCH(("NEURO"),(AV54))))</formula>
    </cfRule>
    <cfRule type="containsText" priority="16714" operator="containsText" dxfId="5" text="NEURO">
      <formula>NOT(ISERROR(SEARCH(("NEURO"),(AV54))))</formula>
    </cfRule>
    <cfRule type="containsText" priority="16715" operator="containsText" dxfId="0" text="ICU N">
      <formula>NOT(ISERROR(SEARCH(("ICU N"),(AV54))))</formula>
    </cfRule>
    <cfRule type="containsText" priority="16716" operator="containsText" dxfId="3" text="ICU">
      <formula>NOT(ISERROR(SEARCH(("ICU"),(AV54))))</formula>
    </cfRule>
    <cfRule type="containsText" priority="16717" operator="containsText" dxfId="0" text="SWING">
      <formula>NOT(ISERROR(SEARCH(("SWING"),(AV54))))</formula>
    </cfRule>
    <cfRule type="containsText" priority="16718" operator="containsText" dxfId="0" text="NF">
      <formula>NOT(ISERROR(SEARCH(("NF"),(AV54))))</formula>
    </cfRule>
    <cfRule type="containsText" priority="16687" operator="containsText" dxfId="7" text="PATH">
      <formula>NOT(ISERROR(SEARCH(("PATH"),(AV54))))</formula>
    </cfRule>
    <cfRule type="containsText" priority="16688" operator="containsText" dxfId="7" text="NEPHRO">
      <formula>NOT(ISERROR(SEARCH(("NEPHRO"),(AV54))))</formula>
    </cfRule>
    <cfRule type="containsText" priority="16689" operator="containsText" dxfId="7" text="PULM">
      <formula>NOT(ISERROR(SEARCH(("PULM"),(AV54))))</formula>
    </cfRule>
    <cfRule type="containsText" priority="16690" operator="containsText" dxfId="7" text="RADIOLOGY">
      <formula>NOT(ISERROR(SEARCH(("RADIOLOGY"),(AV54))))</formula>
    </cfRule>
    <cfRule type="containsText" priority="16691" operator="containsText" dxfId="7" text="HEM/ONC">
      <formula>NOT(ISERROR(SEARCH(("HEM/ONC"),(AV54))))</formula>
    </cfRule>
    <cfRule type="containsText" priority="16692" operator="containsText" dxfId="7" text="CARDIO">
      <formula>NOT(ISERROR(SEARCH(("CARDIO"),(AV54))))</formula>
    </cfRule>
    <cfRule type="containsText" priority="16693" operator="containsText" dxfId="7" text="ID">
      <formula>NOT(ISERROR(SEARCH(("ID"),(AV54))))</formula>
    </cfRule>
    <cfRule type="containsText" priority="16694" operator="containsText" dxfId="7" text="NEURO">
      <formula>NOT(ISERROR(SEARCH(("NEURO"),(AV54))))</formula>
    </cfRule>
    <cfRule type="containsText" priority="16695" operator="containsText" dxfId="6" text="NEURO">
      <formula>NOT(ISERROR(SEARCH(("NEURO"),(AV54))))</formula>
    </cfRule>
    <cfRule type="containsText" priority="16696" operator="containsText" dxfId="5" text="NEURO">
      <formula>NOT(ISERROR(SEARCH(("NEURO"),(AV54))))</formula>
    </cfRule>
    <cfRule type="containsText" priority="16697" operator="containsText" dxfId="0" text="ICU N">
      <formula>NOT(ISERROR(SEARCH(("ICU N"),(AV54))))</formula>
    </cfRule>
    <cfRule type="containsText" priority="16698" operator="containsText" dxfId="3" text="ICU">
      <formula>NOT(ISERROR(SEARCH(("ICU"),(AV54))))</formula>
    </cfRule>
    <cfRule type="containsText" priority="16699" operator="containsText" dxfId="0" text="SWING">
      <formula>NOT(ISERROR(SEARCH(("SWING"),(AV54))))</formula>
    </cfRule>
    <cfRule type="containsText" priority="16700" operator="containsText" dxfId="0" text="NF">
      <formula>NOT(ISERROR(SEARCH(("NF"),(AV54))))</formula>
    </cfRule>
    <cfRule type="containsText" priority="16701" operator="containsText" dxfId="0" text="ICU N">
      <formula>NOT(ISERROR(SEARCH(("ICU N"),(AV54))))</formula>
    </cfRule>
  </conditionalFormatting>
  <conditionalFormatting sqref="AX53">
    <cfRule type="containsText" priority="16669" operator="containsText" dxfId="16" text="ED">
      <formula>NOT(ISERROR(SEARCH(("ED"),(AX53))))</formula>
    </cfRule>
    <cfRule type="containsText" priority="16670" operator="containsText" dxfId="15" text="GERIATRIC">
      <formula>NOT(ISERROR(SEARCH(("GERIATRIC"),(AX53))))</formula>
    </cfRule>
    <cfRule type="containsText" priority="16671" operator="containsText" dxfId="17" text="VACATION">
      <formula>NOT(ISERROR(SEARCH(("VACATION"),(AX53))))</formula>
    </cfRule>
    <cfRule type="containsText" priority="16672" operator="containsText" dxfId="7" text="PATH">
      <formula>NOT(ISERROR(SEARCH(("PATH"),(AX53))))</formula>
    </cfRule>
    <cfRule type="containsText" priority="16673" operator="containsText" dxfId="7" text="NEPHRO">
      <formula>NOT(ISERROR(SEARCH(("NEPHRO"),(AX53))))</formula>
    </cfRule>
    <cfRule type="containsText" priority="16674" operator="containsText" dxfId="7" text="PULM">
      <formula>NOT(ISERROR(SEARCH(("PULM"),(AX53))))</formula>
    </cfRule>
    <cfRule type="containsText" priority="16675" operator="containsText" dxfId="7" text="RADIOLOGY">
      <formula>NOT(ISERROR(SEARCH(("RADIOLOGY"),(AX53))))</formula>
    </cfRule>
    <cfRule type="containsText" priority="16676" operator="containsText" dxfId="7" text="HEM/ONC">
      <formula>NOT(ISERROR(SEARCH(("HEM/ONC"),(AX53))))</formula>
    </cfRule>
    <cfRule type="containsText" priority="16677" operator="containsText" dxfId="7" text="CARDIO">
      <formula>NOT(ISERROR(SEARCH(("CARDIO"),(AX53))))</formula>
    </cfRule>
    <cfRule type="containsText" priority="16678" operator="containsText" dxfId="7" text="ID">
      <formula>NOT(ISERROR(SEARCH(("ID"),(AX53))))</formula>
    </cfRule>
    <cfRule type="containsText" priority="16679" operator="containsText" dxfId="7" text="NEURO">
      <formula>NOT(ISERROR(SEARCH(("NEURO"),(AX53))))</formula>
    </cfRule>
    <cfRule type="containsText" priority="16680" operator="containsText" dxfId="6" text="NEURO">
      <formula>NOT(ISERROR(SEARCH(("NEURO"),(AX53))))</formula>
    </cfRule>
    <cfRule type="containsText" priority="16681" operator="containsText" dxfId="5" text="NEURO">
      <formula>NOT(ISERROR(SEARCH(("NEURO"),(AX53))))</formula>
    </cfRule>
    <cfRule type="containsText" priority="16682" operator="containsText" dxfId="0" text="ICU N">
      <formula>NOT(ISERROR(SEARCH(("ICU N"),(AX53))))</formula>
    </cfRule>
    <cfRule type="containsText" priority="16683" operator="containsText" dxfId="3" text="ICU">
      <formula>NOT(ISERROR(SEARCH(("ICU"),(AX53))))</formula>
    </cfRule>
    <cfRule type="containsText" priority="16684" operator="containsText" dxfId="0" text="SWING">
      <formula>NOT(ISERROR(SEARCH(("SWING"),(AX53))))</formula>
    </cfRule>
    <cfRule type="containsText" priority="16685" operator="containsText" dxfId="0" text="NF">
      <formula>NOT(ISERROR(SEARCH(("NF"),(AX53))))</formula>
    </cfRule>
    <cfRule type="containsText" priority="16686" operator="containsText" dxfId="0" text="ICU N">
      <formula>NOT(ISERROR(SEARCH(("ICU N"),(AX53))))</formula>
    </cfRule>
    <cfRule type="containsText" priority="16652" operator="containsText" dxfId="17" text="VACATION">
      <formula>NOT(ISERROR(SEARCH(("VACATION"),(AX53))))</formula>
    </cfRule>
    <cfRule type="containsText" priority="16653" operator="containsText" dxfId="16" text="ED">
      <formula>NOT(ISERROR(SEARCH(("ED"),(AX53))))</formula>
    </cfRule>
    <cfRule type="containsText" priority="16654" operator="containsText" dxfId="15" text="GERIATRIC">
      <formula>NOT(ISERROR(SEARCH(("GERIATRIC"),(AX53))))</formula>
    </cfRule>
    <cfRule type="containsText" priority="16655" operator="containsText" dxfId="7" text="PATH">
      <formula>NOT(ISERROR(SEARCH(("PATH"),(AX53))))</formula>
    </cfRule>
    <cfRule type="containsText" priority="16656" operator="containsText" dxfId="7" text="NEPHRO">
      <formula>NOT(ISERROR(SEARCH(("NEPHRO"),(AX53))))</formula>
    </cfRule>
    <cfRule type="containsText" priority="16657" operator="containsText" dxfId="7" text="PULM">
      <formula>NOT(ISERROR(SEARCH(("PULM"),(AX53))))</formula>
    </cfRule>
    <cfRule type="containsText" priority="16658" operator="containsText" dxfId="7" text="RADIOLOGY">
      <formula>NOT(ISERROR(SEARCH(("RADIOLOGY"),(AX53))))</formula>
    </cfRule>
    <cfRule type="containsText" priority="16659" operator="containsText" dxfId="7" text="HEM/ONC">
      <formula>NOT(ISERROR(SEARCH(("HEM/ONC"),(AX53))))</formula>
    </cfRule>
    <cfRule type="containsText" priority="16660" operator="containsText" dxfId="7" text="CARDIO">
      <formula>NOT(ISERROR(SEARCH(("CARDIO"),(AX53))))</formula>
    </cfRule>
    <cfRule type="containsText" priority="16661" operator="containsText" dxfId="7" text="ID">
      <formula>NOT(ISERROR(SEARCH(("ID"),(AX53))))</formula>
    </cfRule>
    <cfRule type="containsText" priority="16662" operator="containsText" dxfId="7" text="NEURO">
      <formula>NOT(ISERROR(SEARCH(("NEURO"),(AX53))))</formula>
    </cfRule>
    <cfRule type="containsText" priority="16663" operator="containsText" dxfId="6" text="NEURO">
      <formula>NOT(ISERROR(SEARCH(("NEURO"),(AX53))))</formula>
    </cfRule>
    <cfRule type="containsText" priority="16664" operator="containsText" dxfId="5" text="NEURO">
      <formula>NOT(ISERROR(SEARCH(("NEURO"),(AX53))))</formula>
    </cfRule>
    <cfRule type="containsText" priority="16665" operator="containsText" dxfId="0" text="ICU N">
      <formula>NOT(ISERROR(SEARCH(("ICU N"),(AX53))))</formula>
    </cfRule>
    <cfRule type="containsText" priority="16666" operator="containsText" dxfId="3" text="ICU">
      <formula>NOT(ISERROR(SEARCH(("ICU"),(AX53))))</formula>
    </cfRule>
    <cfRule type="containsText" priority="16667" operator="containsText" dxfId="0" text="SWING">
      <formula>NOT(ISERROR(SEARCH(("SWING"),(AX53))))</formula>
    </cfRule>
    <cfRule type="containsText" priority="16668" operator="containsText" dxfId="0" text="NF">
      <formula>NOT(ISERROR(SEARCH(("NF"),(AX53))))</formula>
    </cfRule>
    <cfRule type="containsText" priority="16637" operator="containsText" dxfId="7" text="PATH">
      <formula>NOT(ISERROR(SEARCH(("PATH"),(AX53))))</formula>
    </cfRule>
    <cfRule type="containsText" priority="16638" operator="containsText" dxfId="7" text="NEPHRO">
      <formula>NOT(ISERROR(SEARCH(("NEPHRO"),(AX53))))</formula>
    </cfRule>
    <cfRule type="containsText" priority="16639" operator="containsText" dxfId="7" text="PULM">
      <formula>NOT(ISERROR(SEARCH(("PULM"),(AX53))))</formula>
    </cfRule>
    <cfRule type="containsText" priority="16640" operator="containsText" dxfId="7" text="RADIOLOGY">
      <formula>NOT(ISERROR(SEARCH(("RADIOLOGY"),(AX53))))</formula>
    </cfRule>
    <cfRule type="containsText" priority="16641" operator="containsText" dxfId="7" text="HEM/ONC">
      <formula>NOT(ISERROR(SEARCH(("HEM/ONC"),(AX53))))</formula>
    </cfRule>
    <cfRule type="containsText" priority="16642" operator="containsText" dxfId="7" text="CARDIO">
      <formula>NOT(ISERROR(SEARCH(("CARDIO"),(AX53))))</formula>
    </cfRule>
    <cfRule type="containsText" priority="16643" operator="containsText" dxfId="7" text="ID">
      <formula>NOT(ISERROR(SEARCH(("ID"),(AX53))))</formula>
    </cfRule>
    <cfRule type="containsText" priority="16644" operator="containsText" dxfId="7" text="NEURO">
      <formula>NOT(ISERROR(SEARCH(("NEURO"),(AX53))))</formula>
    </cfRule>
    <cfRule type="containsText" priority="16645" operator="containsText" dxfId="6" text="NEURO">
      <formula>NOT(ISERROR(SEARCH(("NEURO"),(AX53))))</formula>
    </cfRule>
    <cfRule type="containsText" priority="16646" operator="containsText" dxfId="5" text="NEURO">
      <formula>NOT(ISERROR(SEARCH(("NEURO"),(AX53))))</formula>
    </cfRule>
    <cfRule type="containsText" priority="16647" operator="containsText" dxfId="0" text="ICU N">
      <formula>NOT(ISERROR(SEARCH(("ICU N"),(AX53))))</formula>
    </cfRule>
    <cfRule type="containsText" priority="16648" operator="containsText" dxfId="3" text="ICU">
      <formula>NOT(ISERROR(SEARCH(("ICU"),(AX53))))</formula>
    </cfRule>
    <cfRule type="containsText" priority="16649" operator="containsText" dxfId="0" text="SWING">
      <formula>NOT(ISERROR(SEARCH(("SWING"),(AX53))))</formula>
    </cfRule>
    <cfRule type="containsText" priority="16650" operator="containsText" dxfId="0" text="NF">
      <formula>NOT(ISERROR(SEARCH(("NF"),(AX53))))</formula>
    </cfRule>
    <cfRule type="containsText" priority="16651" operator="containsText" dxfId="0" text="ICU N">
      <formula>NOT(ISERROR(SEARCH(("ICU N"),(AX53))))</formula>
    </cfRule>
  </conditionalFormatting>
  <conditionalFormatting sqref="AY53">
    <cfRule type="containsText" priority="16619" operator="containsText" dxfId="16" text="ED">
      <formula>NOT(ISERROR(SEARCH(("ED"),(AY53))))</formula>
    </cfRule>
    <cfRule type="containsText" priority="16620" operator="containsText" dxfId="15" text="GERIATRIC">
      <formula>NOT(ISERROR(SEARCH(("GERIATRIC"),(AY53))))</formula>
    </cfRule>
    <cfRule type="containsText" priority="16621" operator="containsText" dxfId="17" text="VACATION">
      <formula>NOT(ISERROR(SEARCH(("VACATION"),(AY53))))</formula>
    </cfRule>
    <cfRule type="containsText" priority="16622" operator="containsText" dxfId="7" text="PATH">
      <formula>NOT(ISERROR(SEARCH(("PATH"),(AY53))))</formula>
    </cfRule>
    <cfRule type="containsText" priority="16623" operator="containsText" dxfId="7" text="NEPHRO">
      <formula>NOT(ISERROR(SEARCH(("NEPHRO"),(AY53))))</formula>
    </cfRule>
    <cfRule type="containsText" priority="16624" operator="containsText" dxfId="7" text="PULM">
      <formula>NOT(ISERROR(SEARCH(("PULM"),(AY53))))</formula>
    </cfRule>
    <cfRule type="containsText" priority="16625" operator="containsText" dxfId="7" text="RADIOLOGY">
      <formula>NOT(ISERROR(SEARCH(("RADIOLOGY"),(AY53))))</formula>
    </cfRule>
    <cfRule type="containsText" priority="16626" operator="containsText" dxfId="7" text="HEM/ONC">
      <formula>NOT(ISERROR(SEARCH(("HEM/ONC"),(AY53))))</formula>
    </cfRule>
    <cfRule type="containsText" priority="16627" operator="containsText" dxfId="7" text="CARDIO">
      <formula>NOT(ISERROR(SEARCH(("CARDIO"),(AY53))))</formula>
    </cfRule>
    <cfRule type="containsText" priority="16628" operator="containsText" dxfId="7" text="ID">
      <formula>NOT(ISERROR(SEARCH(("ID"),(AY53))))</formula>
    </cfRule>
    <cfRule type="containsText" priority="16629" operator="containsText" dxfId="7" text="NEURO">
      <formula>NOT(ISERROR(SEARCH(("NEURO"),(AY53))))</formula>
    </cfRule>
    <cfRule type="containsText" priority="16630" operator="containsText" dxfId="6" text="NEURO">
      <formula>NOT(ISERROR(SEARCH(("NEURO"),(AY53))))</formula>
    </cfRule>
    <cfRule type="containsText" priority="16631" operator="containsText" dxfId="5" text="NEURO">
      <formula>NOT(ISERROR(SEARCH(("NEURO"),(AY53))))</formula>
    </cfRule>
    <cfRule type="containsText" priority="16632" operator="containsText" dxfId="0" text="ICU N">
      <formula>NOT(ISERROR(SEARCH(("ICU N"),(AY53))))</formula>
    </cfRule>
    <cfRule type="containsText" priority="16633" operator="containsText" dxfId="3" text="ICU">
      <formula>NOT(ISERROR(SEARCH(("ICU"),(AY53))))</formula>
    </cfRule>
    <cfRule type="containsText" priority="16634" operator="containsText" dxfId="0" text="SWING">
      <formula>NOT(ISERROR(SEARCH(("SWING"),(AY53))))</formula>
    </cfRule>
    <cfRule type="containsText" priority="16635" operator="containsText" dxfId="0" text="NF">
      <formula>NOT(ISERROR(SEARCH(("NF"),(AY53))))</formula>
    </cfRule>
    <cfRule type="containsText" priority="16636" operator="containsText" dxfId="0" text="ICU N">
      <formula>NOT(ISERROR(SEARCH(("ICU N"),(AY53))))</formula>
    </cfRule>
    <cfRule type="containsText" priority="16602" operator="containsText" dxfId="17" text="VACATION">
      <formula>NOT(ISERROR(SEARCH(("VACATION"),(AY53))))</formula>
    </cfRule>
    <cfRule type="containsText" priority="16603" operator="containsText" dxfId="16" text="ED">
      <formula>NOT(ISERROR(SEARCH(("ED"),(AY53))))</formula>
    </cfRule>
    <cfRule type="containsText" priority="16604" operator="containsText" dxfId="15" text="GERIATRIC">
      <formula>NOT(ISERROR(SEARCH(("GERIATRIC"),(AY53))))</formula>
    </cfRule>
    <cfRule type="containsText" priority="16605" operator="containsText" dxfId="7" text="PATH">
      <formula>NOT(ISERROR(SEARCH(("PATH"),(AY53))))</formula>
    </cfRule>
    <cfRule type="containsText" priority="16606" operator="containsText" dxfId="7" text="NEPHRO">
      <formula>NOT(ISERROR(SEARCH(("NEPHRO"),(AY53))))</formula>
    </cfRule>
    <cfRule type="containsText" priority="16607" operator="containsText" dxfId="7" text="PULM">
      <formula>NOT(ISERROR(SEARCH(("PULM"),(AY53))))</formula>
    </cfRule>
    <cfRule type="containsText" priority="16608" operator="containsText" dxfId="7" text="RADIOLOGY">
      <formula>NOT(ISERROR(SEARCH(("RADIOLOGY"),(AY53))))</formula>
    </cfRule>
    <cfRule type="containsText" priority="16609" operator="containsText" dxfId="7" text="HEM/ONC">
      <formula>NOT(ISERROR(SEARCH(("HEM/ONC"),(AY53))))</formula>
    </cfRule>
    <cfRule type="containsText" priority="16610" operator="containsText" dxfId="7" text="CARDIO">
      <formula>NOT(ISERROR(SEARCH(("CARDIO"),(AY53))))</formula>
    </cfRule>
    <cfRule type="containsText" priority="16611" operator="containsText" dxfId="7" text="ID">
      <formula>NOT(ISERROR(SEARCH(("ID"),(AY53))))</formula>
    </cfRule>
    <cfRule type="containsText" priority="16612" operator="containsText" dxfId="7" text="NEURO">
      <formula>NOT(ISERROR(SEARCH(("NEURO"),(AY53))))</formula>
    </cfRule>
    <cfRule type="containsText" priority="16613" operator="containsText" dxfId="6" text="NEURO">
      <formula>NOT(ISERROR(SEARCH(("NEURO"),(AY53))))</formula>
    </cfRule>
    <cfRule type="containsText" priority="16614" operator="containsText" dxfId="5" text="NEURO">
      <formula>NOT(ISERROR(SEARCH(("NEURO"),(AY53))))</formula>
    </cfRule>
    <cfRule type="containsText" priority="16615" operator="containsText" dxfId="0" text="ICU N">
      <formula>NOT(ISERROR(SEARCH(("ICU N"),(AY53))))</formula>
    </cfRule>
    <cfRule type="containsText" priority="16616" operator="containsText" dxfId="3" text="ICU">
      <formula>NOT(ISERROR(SEARCH(("ICU"),(AY53))))</formula>
    </cfRule>
    <cfRule type="containsText" priority="16617" operator="containsText" dxfId="0" text="SWING">
      <formula>NOT(ISERROR(SEARCH(("SWING"),(AY53))))</formula>
    </cfRule>
    <cfRule type="containsText" priority="16618" operator="containsText" dxfId="0" text="NF">
      <formula>NOT(ISERROR(SEARCH(("NF"),(AY53))))</formula>
    </cfRule>
    <cfRule type="containsText" priority="16587" operator="containsText" dxfId="7" text="PATH">
      <formula>NOT(ISERROR(SEARCH(("PATH"),(AY53))))</formula>
    </cfRule>
    <cfRule type="containsText" priority="16588" operator="containsText" dxfId="7" text="NEPHRO">
      <formula>NOT(ISERROR(SEARCH(("NEPHRO"),(AY53))))</formula>
    </cfRule>
    <cfRule type="containsText" priority="16589" operator="containsText" dxfId="7" text="PULM">
      <formula>NOT(ISERROR(SEARCH(("PULM"),(AY53))))</formula>
    </cfRule>
    <cfRule type="containsText" priority="16590" operator="containsText" dxfId="7" text="RADIOLOGY">
      <formula>NOT(ISERROR(SEARCH(("RADIOLOGY"),(AY53))))</formula>
    </cfRule>
    <cfRule type="containsText" priority="16591" operator="containsText" dxfId="7" text="HEM/ONC">
      <formula>NOT(ISERROR(SEARCH(("HEM/ONC"),(AY53))))</formula>
    </cfRule>
    <cfRule type="containsText" priority="16592" operator="containsText" dxfId="7" text="CARDIO">
      <formula>NOT(ISERROR(SEARCH(("CARDIO"),(AY53))))</formula>
    </cfRule>
    <cfRule type="containsText" priority="16593" operator="containsText" dxfId="7" text="ID">
      <formula>NOT(ISERROR(SEARCH(("ID"),(AY53))))</formula>
    </cfRule>
    <cfRule type="containsText" priority="16594" operator="containsText" dxfId="7" text="NEURO">
      <formula>NOT(ISERROR(SEARCH(("NEURO"),(AY53))))</formula>
    </cfRule>
    <cfRule type="containsText" priority="16595" operator="containsText" dxfId="6" text="NEURO">
      <formula>NOT(ISERROR(SEARCH(("NEURO"),(AY53))))</formula>
    </cfRule>
    <cfRule type="containsText" priority="16596" operator="containsText" dxfId="5" text="NEURO">
      <formula>NOT(ISERROR(SEARCH(("NEURO"),(AY53))))</formula>
    </cfRule>
    <cfRule type="containsText" priority="16597" operator="containsText" dxfId="0" text="ICU N">
      <formula>NOT(ISERROR(SEARCH(("ICU N"),(AY53))))</formula>
    </cfRule>
    <cfRule type="containsText" priority="16598" operator="containsText" dxfId="3" text="ICU">
      <formula>NOT(ISERROR(SEARCH(("ICU"),(AY53))))</formula>
    </cfRule>
    <cfRule type="containsText" priority="16599" operator="containsText" dxfId="0" text="SWING">
      <formula>NOT(ISERROR(SEARCH(("SWING"),(AY53))))</formula>
    </cfRule>
    <cfRule type="containsText" priority="16600" operator="containsText" dxfId="0" text="NF">
      <formula>NOT(ISERROR(SEARCH(("NF"),(AY53))))</formula>
    </cfRule>
    <cfRule type="containsText" priority="16601" operator="containsText" dxfId="0" text="ICU N">
      <formula>NOT(ISERROR(SEARCH(("ICU N"),(AY53))))</formula>
    </cfRule>
  </conditionalFormatting>
  <conditionalFormatting sqref="AV49:AY50 AV51:AW51 AV52:AY52">
    <cfRule type="containsText" priority="16569" operator="containsText" dxfId="16" text="ED">
      <formula>NOT(ISERROR(SEARCH(("ED"),(AV49))))</formula>
    </cfRule>
    <cfRule type="containsText" priority="16570" operator="containsText" dxfId="15" text="GERIATRIC">
      <formula>NOT(ISERROR(SEARCH(("GERIATRIC"),(AV49))))</formula>
    </cfRule>
    <cfRule type="containsText" priority="16571" operator="containsText" dxfId="17" text="VACATION">
      <formula>NOT(ISERROR(SEARCH(("VACATION"),(AV49))))</formula>
    </cfRule>
    <cfRule type="containsText" priority="16572" operator="containsText" dxfId="7" text="PATH">
      <formula>NOT(ISERROR(SEARCH(("PATH"),(AV49))))</formula>
    </cfRule>
    <cfRule type="containsText" priority="16573" operator="containsText" dxfId="7" text="NEPHRO">
      <formula>NOT(ISERROR(SEARCH(("NEPHRO"),(AV49))))</formula>
    </cfRule>
    <cfRule type="containsText" priority="16574" operator="containsText" dxfId="7" text="PULM">
      <formula>NOT(ISERROR(SEARCH(("PULM"),(AV49))))</formula>
    </cfRule>
    <cfRule type="containsText" priority="16575" operator="containsText" dxfId="7" text="RADIOLOGY">
      <formula>NOT(ISERROR(SEARCH(("RADIOLOGY"),(AV49))))</formula>
    </cfRule>
    <cfRule type="containsText" priority="16576" operator="containsText" dxfId="7" text="HEM/ONC">
      <formula>NOT(ISERROR(SEARCH(("HEM/ONC"),(AV49))))</formula>
    </cfRule>
    <cfRule type="containsText" priority="16577" operator="containsText" dxfId="7" text="CARDIO">
      <formula>NOT(ISERROR(SEARCH(("CARDIO"),(AV49))))</formula>
    </cfRule>
    <cfRule type="containsText" priority="16578" operator="containsText" dxfId="7" text="ID">
      <formula>NOT(ISERROR(SEARCH(("ID"),(AV49))))</formula>
    </cfRule>
    <cfRule type="containsText" priority="16579" operator="containsText" dxfId="7" text="NEURO">
      <formula>NOT(ISERROR(SEARCH(("NEURO"),(AV49))))</formula>
    </cfRule>
    <cfRule type="containsText" priority="16580" operator="containsText" dxfId="6" text="NEURO">
      <formula>NOT(ISERROR(SEARCH(("NEURO"),(AV49))))</formula>
    </cfRule>
    <cfRule type="containsText" priority="16581" operator="containsText" dxfId="5" text="NEURO">
      <formula>NOT(ISERROR(SEARCH(("NEURO"),(AV49))))</formula>
    </cfRule>
    <cfRule type="containsText" priority="16582" operator="containsText" dxfId="0" text="ICU N">
      <formula>NOT(ISERROR(SEARCH(("ICU N"),(AV49))))</formula>
    </cfRule>
    <cfRule type="containsText" priority="16583" operator="containsText" dxfId="3" text="ICU">
      <formula>NOT(ISERROR(SEARCH(("ICU"),(AV49))))</formula>
    </cfRule>
    <cfRule type="containsText" priority="16584" operator="containsText" dxfId="0" text="SWING">
      <formula>NOT(ISERROR(SEARCH(("SWING"),(AV49))))</formula>
    </cfRule>
    <cfRule type="containsText" priority="16585" operator="containsText" dxfId="0" text="NF">
      <formula>NOT(ISERROR(SEARCH(("NF"),(AV49))))</formula>
    </cfRule>
    <cfRule type="containsText" priority="16586" operator="containsText" dxfId="0" text="ICU N">
      <formula>NOT(ISERROR(SEARCH(("ICU N"),(AV49))))</formula>
    </cfRule>
    <cfRule type="containsText" priority="16552" operator="containsText" dxfId="17" text="VACATION">
      <formula>NOT(ISERROR(SEARCH(("VACATION"),(AV49))))</formula>
    </cfRule>
    <cfRule type="containsText" priority="16553" operator="containsText" dxfId="16" text="ED">
      <formula>NOT(ISERROR(SEARCH(("ED"),(AV49))))</formula>
    </cfRule>
    <cfRule type="containsText" priority="16554" operator="containsText" dxfId="15" text="GERIATRIC">
      <formula>NOT(ISERROR(SEARCH(("GERIATRIC"),(AV49))))</formula>
    </cfRule>
    <cfRule type="containsText" priority="16555" operator="containsText" dxfId="7" text="PATH">
      <formula>NOT(ISERROR(SEARCH(("PATH"),(AV49))))</formula>
    </cfRule>
    <cfRule type="containsText" priority="16556" operator="containsText" dxfId="7" text="NEPHRO">
      <formula>NOT(ISERROR(SEARCH(("NEPHRO"),(AV49))))</formula>
    </cfRule>
    <cfRule type="containsText" priority="16557" operator="containsText" dxfId="7" text="PULM">
      <formula>NOT(ISERROR(SEARCH(("PULM"),(AV49))))</formula>
    </cfRule>
    <cfRule type="containsText" priority="16558" operator="containsText" dxfId="7" text="RADIOLOGY">
      <formula>NOT(ISERROR(SEARCH(("RADIOLOGY"),(AV49))))</formula>
    </cfRule>
    <cfRule type="containsText" priority="16559" operator="containsText" dxfId="7" text="HEM/ONC">
      <formula>NOT(ISERROR(SEARCH(("HEM/ONC"),(AV49))))</formula>
    </cfRule>
    <cfRule type="containsText" priority="16560" operator="containsText" dxfId="7" text="CARDIO">
      <formula>NOT(ISERROR(SEARCH(("CARDIO"),(AV49))))</formula>
    </cfRule>
    <cfRule type="containsText" priority="16561" operator="containsText" dxfId="7" text="ID">
      <formula>NOT(ISERROR(SEARCH(("ID"),(AV49))))</formula>
    </cfRule>
    <cfRule type="containsText" priority="16562" operator="containsText" dxfId="7" text="NEURO">
      <formula>NOT(ISERROR(SEARCH(("NEURO"),(AV49))))</formula>
    </cfRule>
    <cfRule type="containsText" priority="16563" operator="containsText" dxfId="6" text="NEURO">
      <formula>NOT(ISERROR(SEARCH(("NEURO"),(AV49))))</formula>
    </cfRule>
    <cfRule type="containsText" priority="16564" operator="containsText" dxfId="5" text="NEURO">
      <formula>NOT(ISERROR(SEARCH(("NEURO"),(AV49))))</formula>
    </cfRule>
    <cfRule type="containsText" priority="16565" operator="containsText" dxfId="0" text="ICU N">
      <formula>NOT(ISERROR(SEARCH(("ICU N"),(AV49))))</formula>
    </cfRule>
    <cfRule type="containsText" priority="16566" operator="containsText" dxfId="3" text="ICU">
      <formula>NOT(ISERROR(SEARCH(("ICU"),(AV49))))</formula>
    </cfRule>
    <cfRule type="containsText" priority="16567" operator="containsText" dxfId="0" text="SWING">
      <formula>NOT(ISERROR(SEARCH(("SWING"),(AV49))))</formula>
    </cfRule>
    <cfRule type="containsText" priority="16568" operator="containsText" dxfId="0" text="NF">
      <formula>NOT(ISERROR(SEARCH(("NF"),(AV49))))</formula>
    </cfRule>
    <cfRule type="containsText" priority="16537" operator="containsText" dxfId="7" text="PATH">
      <formula>NOT(ISERROR(SEARCH(("PATH"),(AV49))))</formula>
    </cfRule>
    <cfRule type="containsText" priority="16538" operator="containsText" dxfId="7" text="NEPHRO">
      <formula>NOT(ISERROR(SEARCH(("NEPHRO"),(AV49))))</formula>
    </cfRule>
    <cfRule type="containsText" priority="16539" operator="containsText" dxfId="7" text="PULM">
      <formula>NOT(ISERROR(SEARCH(("PULM"),(AV49))))</formula>
    </cfRule>
    <cfRule type="containsText" priority="16540" operator="containsText" dxfId="7" text="RADIOLOGY">
      <formula>NOT(ISERROR(SEARCH(("RADIOLOGY"),(AV49))))</formula>
    </cfRule>
    <cfRule type="containsText" priority="16541" operator="containsText" dxfId="7" text="HEM/ONC">
      <formula>NOT(ISERROR(SEARCH(("HEM/ONC"),(AV49))))</formula>
    </cfRule>
    <cfRule type="containsText" priority="16542" operator="containsText" dxfId="7" text="CARDIO">
      <formula>NOT(ISERROR(SEARCH(("CARDIO"),(AV49))))</formula>
    </cfRule>
    <cfRule type="containsText" priority="16543" operator="containsText" dxfId="7" text="ID">
      <formula>NOT(ISERROR(SEARCH(("ID"),(AV49))))</formula>
    </cfRule>
    <cfRule type="containsText" priority="16544" operator="containsText" dxfId="7" text="NEURO">
      <formula>NOT(ISERROR(SEARCH(("NEURO"),(AV49))))</formula>
    </cfRule>
    <cfRule type="containsText" priority="16545" operator="containsText" dxfId="6" text="NEURO">
      <formula>NOT(ISERROR(SEARCH(("NEURO"),(AV49))))</formula>
    </cfRule>
    <cfRule type="containsText" priority="16546" operator="containsText" dxfId="5" text="NEURO">
      <formula>NOT(ISERROR(SEARCH(("NEURO"),(AV49))))</formula>
    </cfRule>
    <cfRule type="containsText" priority="16547" operator="containsText" dxfId="0" text="ICU N">
      <formula>NOT(ISERROR(SEARCH(("ICU N"),(AV49))))</formula>
    </cfRule>
    <cfRule type="containsText" priority="16548" operator="containsText" dxfId="3" text="ICU">
      <formula>NOT(ISERROR(SEARCH(("ICU"),(AV49))))</formula>
    </cfRule>
    <cfRule type="containsText" priority="16549" operator="containsText" dxfId="0" text="SWING">
      <formula>NOT(ISERROR(SEARCH(("SWING"),(AV49))))</formula>
    </cfRule>
    <cfRule type="containsText" priority="16550" operator="containsText" dxfId="0" text="NF">
      <formula>NOT(ISERROR(SEARCH(("NF"),(AV49))))</formula>
    </cfRule>
    <cfRule type="containsText" priority="16551" operator="containsText" dxfId="0" text="ICU N">
      <formula>NOT(ISERROR(SEARCH(("ICU N"),(AV49))))</formula>
    </cfRule>
  </conditionalFormatting>
  <conditionalFormatting sqref="AT49">
    <cfRule type="containsText" priority="16519" operator="containsText" dxfId="16" text="ED">
      <formula>NOT(ISERROR(SEARCH(("ED"),(AT49))))</formula>
    </cfRule>
    <cfRule type="containsText" priority="16520" operator="containsText" dxfId="15" text="GERIATRIC">
      <formula>NOT(ISERROR(SEARCH(("GERIATRIC"),(AT49))))</formula>
    </cfRule>
    <cfRule type="containsText" priority="16521" operator="containsText" dxfId="17" text="VACATION">
      <formula>NOT(ISERROR(SEARCH(("VACATION"),(AT49))))</formula>
    </cfRule>
    <cfRule type="containsText" priority="16522" operator="containsText" dxfId="7" text="PATH">
      <formula>NOT(ISERROR(SEARCH(("PATH"),(AT49))))</formula>
    </cfRule>
    <cfRule type="containsText" priority="16523" operator="containsText" dxfId="7" text="NEPHRO">
      <formula>NOT(ISERROR(SEARCH(("NEPHRO"),(AT49))))</formula>
    </cfRule>
    <cfRule type="containsText" priority="16524" operator="containsText" dxfId="7" text="PULM">
      <formula>NOT(ISERROR(SEARCH(("PULM"),(AT49))))</formula>
    </cfRule>
    <cfRule type="containsText" priority="16525" operator="containsText" dxfId="7" text="RADIOLOGY">
      <formula>NOT(ISERROR(SEARCH(("RADIOLOGY"),(AT49))))</formula>
    </cfRule>
    <cfRule type="containsText" priority="16526" operator="containsText" dxfId="7" text="HEM/ONC">
      <formula>NOT(ISERROR(SEARCH(("HEM/ONC"),(AT49))))</formula>
    </cfRule>
    <cfRule type="containsText" priority="16527" operator="containsText" dxfId="7" text="CARDIO">
      <formula>NOT(ISERROR(SEARCH(("CARDIO"),(AT49))))</formula>
    </cfRule>
    <cfRule type="containsText" priority="16528" operator="containsText" dxfId="7" text="ID">
      <formula>NOT(ISERROR(SEARCH(("ID"),(AT49))))</formula>
    </cfRule>
    <cfRule type="containsText" priority="16529" operator="containsText" dxfId="7" text="NEURO">
      <formula>NOT(ISERROR(SEARCH(("NEURO"),(AT49))))</formula>
    </cfRule>
    <cfRule type="containsText" priority="16530" operator="containsText" dxfId="6" text="NEURO">
      <formula>NOT(ISERROR(SEARCH(("NEURO"),(AT49))))</formula>
    </cfRule>
    <cfRule type="containsText" priority="16531" operator="containsText" dxfId="5" text="NEURO">
      <formula>NOT(ISERROR(SEARCH(("NEURO"),(AT49))))</formula>
    </cfRule>
    <cfRule type="containsText" priority="16532" operator="containsText" dxfId="0" text="ICU N">
      <formula>NOT(ISERROR(SEARCH(("ICU N"),(AT49))))</formula>
    </cfRule>
    <cfRule type="containsText" priority="16533" operator="containsText" dxfId="3" text="ICU">
      <formula>NOT(ISERROR(SEARCH(("ICU"),(AT49))))</formula>
    </cfRule>
    <cfRule type="containsText" priority="16534" operator="containsText" dxfId="0" text="SWING">
      <formula>NOT(ISERROR(SEARCH(("SWING"),(AT49))))</formula>
    </cfRule>
    <cfRule type="containsText" priority="16535" operator="containsText" dxfId="0" text="NF">
      <formula>NOT(ISERROR(SEARCH(("NF"),(AT49))))</formula>
    </cfRule>
    <cfRule type="containsText" priority="16536" operator="containsText" dxfId="0" text="ICU N">
      <formula>NOT(ISERROR(SEARCH(("ICU N"),(AT49))))</formula>
    </cfRule>
    <cfRule type="containsText" priority="16502" operator="containsText" dxfId="17" text="VACATION">
      <formula>NOT(ISERROR(SEARCH(("VACATION"),(AT49))))</formula>
    </cfRule>
    <cfRule type="containsText" priority="16503" operator="containsText" dxfId="16" text="ED">
      <formula>NOT(ISERROR(SEARCH(("ED"),(AT49))))</formula>
    </cfRule>
    <cfRule type="containsText" priority="16504" operator="containsText" dxfId="15" text="GERIATRIC">
      <formula>NOT(ISERROR(SEARCH(("GERIATRIC"),(AT49))))</formula>
    </cfRule>
    <cfRule type="containsText" priority="16505" operator="containsText" dxfId="7" text="PATH">
      <formula>NOT(ISERROR(SEARCH(("PATH"),(AT49))))</formula>
    </cfRule>
    <cfRule type="containsText" priority="16506" operator="containsText" dxfId="7" text="NEPHRO">
      <formula>NOT(ISERROR(SEARCH(("NEPHRO"),(AT49))))</formula>
    </cfRule>
    <cfRule type="containsText" priority="16507" operator="containsText" dxfId="7" text="PULM">
      <formula>NOT(ISERROR(SEARCH(("PULM"),(AT49))))</formula>
    </cfRule>
    <cfRule type="containsText" priority="16508" operator="containsText" dxfId="7" text="RADIOLOGY">
      <formula>NOT(ISERROR(SEARCH(("RADIOLOGY"),(AT49))))</formula>
    </cfRule>
    <cfRule type="containsText" priority="16509" operator="containsText" dxfId="7" text="HEM/ONC">
      <formula>NOT(ISERROR(SEARCH(("HEM/ONC"),(AT49))))</formula>
    </cfRule>
    <cfRule type="containsText" priority="16510" operator="containsText" dxfId="7" text="CARDIO">
      <formula>NOT(ISERROR(SEARCH(("CARDIO"),(AT49))))</formula>
    </cfRule>
    <cfRule type="containsText" priority="16511" operator="containsText" dxfId="7" text="ID">
      <formula>NOT(ISERROR(SEARCH(("ID"),(AT49))))</formula>
    </cfRule>
    <cfRule type="containsText" priority="16512" operator="containsText" dxfId="7" text="NEURO">
      <formula>NOT(ISERROR(SEARCH(("NEURO"),(AT49))))</formula>
    </cfRule>
    <cfRule type="containsText" priority="16513" operator="containsText" dxfId="6" text="NEURO">
      <formula>NOT(ISERROR(SEARCH(("NEURO"),(AT49))))</formula>
    </cfRule>
    <cfRule type="containsText" priority="16514" operator="containsText" dxfId="5" text="NEURO">
      <formula>NOT(ISERROR(SEARCH(("NEURO"),(AT49))))</formula>
    </cfRule>
    <cfRule type="containsText" priority="16515" operator="containsText" dxfId="0" text="ICU N">
      <formula>NOT(ISERROR(SEARCH(("ICU N"),(AT49))))</formula>
    </cfRule>
    <cfRule type="containsText" priority="16516" operator="containsText" dxfId="3" text="ICU">
      <formula>NOT(ISERROR(SEARCH(("ICU"),(AT49))))</formula>
    </cfRule>
    <cfRule type="containsText" priority="16517" operator="containsText" dxfId="0" text="SWING">
      <formula>NOT(ISERROR(SEARCH(("SWING"),(AT49))))</formula>
    </cfRule>
    <cfRule type="containsText" priority="16518" operator="containsText" dxfId="0" text="NF">
      <formula>NOT(ISERROR(SEARCH(("NF"),(AT49))))</formula>
    </cfRule>
    <cfRule type="containsText" priority="16487" operator="containsText" dxfId="7" text="PATH">
      <formula>NOT(ISERROR(SEARCH(("PATH"),(AT49))))</formula>
    </cfRule>
    <cfRule type="containsText" priority="16488" operator="containsText" dxfId="7" text="NEPHRO">
      <formula>NOT(ISERROR(SEARCH(("NEPHRO"),(AT49))))</formula>
    </cfRule>
    <cfRule type="containsText" priority="16489" operator="containsText" dxfId="7" text="PULM">
      <formula>NOT(ISERROR(SEARCH(("PULM"),(AT49))))</formula>
    </cfRule>
    <cfRule type="containsText" priority="16490" operator="containsText" dxfId="7" text="RADIOLOGY">
      <formula>NOT(ISERROR(SEARCH(("RADIOLOGY"),(AT49))))</formula>
    </cfRule>
    <cfRule type="containsText" priority="16491" operator="containsText" dxfId="7" text="HEM/ONC">
      <formula>NOT(ISERROR(SEARCH(("HEM/ONC"),(AT49))))</formula>
    </cfRule>
    <cfRule type="containsText" priority="16492" operator="containsText" dxfId="7" text="CARDIO">
      <formula>NOT(ISERROR(SEARCH(("CARDIO"),(AT49))))</formula>
    </cfRule>
    <cfRule type="containsText" priority="16493" operator="containsText" dxfId="7" text="ID">
      <formula>NOT(ISERROR(SEARCH(("ID"),(AT49))))</formula>
    </cfRule>
    <cfRule type="containsText" priority="16494" operator="containsText" dxfId="7" text="NEURO">
      <formula>NOT(ISERROR(SEARCH(("NEURO"),(AT49))))</formula>
    </cfRule>
    <cfRule type="containsText" priority="16495" operator="containsText" dxfId="6" text="NEURO">
      <formula>NOT(ISERROR(SEARCH(("NEURO"),(AT49))))</formula>
    </cfRule>
    <cfRule type="containsText" priority="16496" operator="containsText" dxfId="5" text="NEURO">
      <formula>NOT(ISERROR(SEARCH(("NEURO"),(AT49))))</formula>
    </cfRule>
    <cfRule type="containsText" priority="16497" operator="containsText" dxfId="0" text="ICU N">
      <formula>NOT(ISERROR(SEARCH(("ICU N"),(AT49))))</formula>
    </cfRule>
    <cfRule type="containsText" priority="16498" operator="containsText" dxfId="3" text="ICU">
      <formula>NOT(ISERROR(SEARCH(("ICU"),(AT49))))</formula>
    </cfRule>
    <cfRule type="containsText" priority="16499" operator="containsText" dxfId="0" text="SWING">
      <formula>NOT(ISERROR(SEARCH(("SWING"),(AT49))))</formula>
    </cfRule>
    <cfRule type="containsText" priority="16500" operator="containsText" dxfId="0" text="NF">
      <formula>NOT(ISERROR(SEARCH(("NF"),(AT49))))</formula>
    </cfRule>
    <cfRule type="containsText" priority="16501" operator="containsText" dxfId="0" text="ICU N">
      <formula>NOT(ISERROR(SEARCH(("ICU N"),(AT49))))</formula>
    </cfRule>
  </conditionalFormatting>
  <conditionalFormatting sqref="AT49:AU49">
    <cfRule type="containsText" priority="16469" operator="containsText" dxfId="16" text="ED">
      <formula>NOT(ISERROR(SEARCH(("ED"),(AT49))))</formula>
    </cfRule>
    <cfRule type="containsText" priority="16470" operator="containsText" dxfId="15" text="GERIATRIC">
      <formula>NOT(ISERROR(SEARCH(("GERIATRIC"),(AT49))))</formula>
    </cfRule>
    <cfRule type="containsText" priority="16471" operator="containsText" dxfId="17" text="VACATION">
      <formula>NOT(ISERROR(SEARCH(("VACATION"),(AT49))))</formula>
    </cfRule>
    <cfRule type="containsText" priority="16472" operator="containsText" dxfId="7" text="PATH">
      <formula>NOT(ISERROR(SEARCH(("PATH"),(AT49))))</formula>
    </cfRule>
    <cfRule type="containsText" priority="16473" operator="containsText" dxfId="7" text="NEPHRO">
      <formula>NOT(ISERROR(SEARCH(("NEPHRO"),(AT49))))</formula>
    </cfRule>
    <cfRule type="containsText" priority="16474" operator="containsText" dxfId="7" text="PULM">
      <formula>NOT(ISERROR(SEARCH(("PULM"),(AT49))))</formula>
    </cfRule>
    <cfRule type="containsText" priority="16475" operator="containsText" dxfId="7" text="RADIOLOGY">
      <formula>NOT(ISERROR(SEARCH(("RADIOLOGY"),(AT49))))</formula>
    </cfRule>
    <cfRule type="containsText" priority="16476" operator="containsText" dxfId="7" text="HEM/ONC">
      <formula>NOT(ISERROR(SEARCH(("HEM/ONC"),(AT49))))</formula>
    </cfRule>
    <cfRule type="containsText" priority="16477" operator="containsText" dxfId="7" text="CARDIO">
      <formula>NOT(ISERROR(SEARCH(("CARDIO"),(AT49))))</formula>
    </cfRule>
    <cfRule type="containsText" priority="16478" operator="containsText" dxfId="7" text="ID">
      <formula>NOT(ISERROR(SEARCH(("ID"),(AT49))))</formula>
    </cfRule>
    <cfRule type="containsText" priority="16479" operator="containsText" dxfId="7" text="NEURO">
      <formula>NOT(ISERROR(SEARCH(("NEURO"),(AT49))))</formula>
    </cfRule>
    <cfRule type="containsText" priority="16480" operator="containsText" dxfId="6" text="NEURO">
      <formula>NOT(ISERROR(SEARCH(("NEURO"),(AT49))))</formula>
    </cfRule>
    <cfRule type="containsText" priority="16481" operator="containsText" dxfId="5" text="NEURO">
      <formula>NOT(ISERROR(SEARCH(("NEURO"),(AT49))))</formula>
    </cfRule>
    <cfRule type="containsText" priority="16482" operator="containsText" dxfId="0" text="ICU N">
      <formula>NOT(ISERROR(SEARCH(("ICU N"),(AT49))))</formula>
    </cfRule>
    <cfRule type="containsText" priority="16483" operator="containsText" dxfId="3" text="ICU">
      <formula>NOT(ISERROR(SEARCH(("ICU"),(AT49))))</formula>
    </cfRule>
    <cfRule type="containsText" priority="16484" operator="containsText" dxfId="0" text="SWING">
      <formula>NOT(ISERROR(SEARCH(("SWING"),(AT49))))</formula>
    </cfRule>
    <cfRule type="containsText" priority="16485" operator="containsText" dxfId="0" text="NF">
      <formula>NOT(ISERROR(SEARCH(("NF"),(AT49))))</formula>
    </cfRule>
    <cfRule type="containsText" priority="16486" operator="containsText" dxfId="0" text="ICU N">
      <formula>NOT(ISERROR(SEARCH(("ICU N"),(AT49))))</formula>
    </cfRule>
    <cfRule type="containsText" priority="16452" operator="containsText" dxfId="17" text="VACATION">
      <formula>NOT(ISERROR(SEARCH(("VACATION"),(AT49))))</formula>
    </cfRule>
    <cfRule type="containsText" priority="16453" operator="containsText" dxfId="16" text="ED">
      <formula>NOT(ISERROR(SEARCH(("ED"),(AT49))))</formula>
    </cfRule>
    <cfRule type="containsText" priority="16454" operator="containsText" dxfId="15" text="GERIATRIC">
      <formula>NOT(ISERROR(SEARCH(("GERIATRIC"),(AT49))))</formula>
    </cfRule>
    <cfRule type="containsText" priority="16455" operator="containsText" dxfId="7" text="PATH">
      <formula>NOT(ISERROR(SEARCH(("PATH"),(AT49))))</formula>
    </cfRule>
    <cfRule type="containsText" priority="16456" operator="containsText" dxfId="7" text="NEPHRO">
      <formula>NOT(ISERROR(SEARCH(("NEPHRO"),(AT49))))</formula>
    </cfRule>
    <cfRule type="containsText" priority="16457" operator="containsText" dxfId="7" text="PULM">
      <formula>NOT(ISERROR(SEARCH(("PULM"),(AT49))))</formula>
    </cfRule>
    <cfRule type="containsText" priority="16458" operator="containsText" dxfId="7" text="RADIOLOGY">
      <formula>NOT(ISERROR(SEARCH(("RADIOLOGY"),(AT49))))</formula>
    </cfRule>
    <cfRule type="containsText" priority="16459" operator="containsText" dxfId="7" text="HEM/ONC">
      <formula>NOT(ISERROR(SEARCH(("HEM/ONC"),(AT49))))</formula>
    </cfRule>
    <cfRule type="containsText" priority="16460" operator="containsText" dxfId="7" text="CARDIO">
      <formula>NOT(ISERROR(SEARCH(("CARDIO"),(AT49))))</formula>
    </cfRule>
    <cfRule type="containsText" priority="16461" operator="containsText" dxfId="7" text="ID">
      <formula>NOT(ISERROR(SEARCH(("ID"),(AT49))))</formula>
    </cfRule>
    <cfRule type="containsText" priority="16462" operator="containsText" dxfId="7" text="NEURO">
      <formula>NOT(ISERROR(SEARCH(("NEURO"),(AT49))))</formula>
    </cfRule>
    <cfRule type="containsText" priority="16463" operator="containsText" dxfId="6" text="NEURO">
      <formula>NOT(ISERROR(SEARCH(("NEURO"),(AT49))))</formula>
    </cfRule>
    <cfRule type="containsText" priority="16464" operator="containsText" dxfId="5" text="NEURO">
      <formula>NOT(ISERROR(SEARCH(("NEURO"),(AT49))))</formula>
    </cfRule>
    <cfRule type="containsText" priority="16465" operator="containsText" dxfId="0" text="ICU N">
      <formula>NOT(ISERROR(SEARCH(("ICU N"),(AT49))))</formula>
    </cfRule>
    <cfRule type="containsText" priority="16466" operator="containsText" dxfId="3" text="ICU">
      <formula>NOT(ISERROR(SEARCH(("ICU"),(AT49))))</formula>
    </cfRule>
    <cfRule type="containsText" priority="16467" operator="containsText" dxfId="0" text="SWING">
      <formula>NOT(ISERROR(SEARCH(("SWING"),(AT49))))</formula>
    </cfRule>
    <cfRule type="containsText" priority="16468" operator="containsText" dxfId="0" text="NF">
      <formula>NOT(ISERROR(SEARCH(("NF"),(AT49))))</formula>
    </cfRule>
    <cfRule type="containsText" priority="16437" operator="containsText" dxfId="7" text="PATH">
      <formula>NOT(ISERROR(SEARCH(("PATH"),(AT49))))</formula>
    </cfRule>
    <cfRule type="containsText" priority="16438" operator="containsText" dxfId="7" text="NEPHRO">
      <formula>NOT(ISERROR(SEARCH(("NEPHRO"),(AT49))))</formula>
    </cfRule>
    <cfRule type="containsText" priority="16439" operator="containsText" dxfId="7" text="PULM">
      <formula>NOT(ISERROR(SEARCH(("PULM"),(AT49))))</formula>
    </cfRule>
    <cfRule type="containsText" priority="16440" operator="containsText" dxfId="7" text="RADIOLOGY">
      <formula>NOT(ISERROR(SEARCH(("RADIOLOGY"),(AT49))))</formula>
    </cfRule>
    <cfRule type="containsText" priority="16441" operator="containsText" dxfId="7" text="HEM/ONC">
      <formula>NOT(ISERROR(SEARCH(("HEM/ONC"),(AT49))))</formula>
    </cfRule>
    <cfRule type="containsText" priority="16442" operator="containsText" dxfId="7" text="CARDIO">
      <formula>NOT(ISERROR(SEARCH(("CARDIO"),(AT49))))</formula>
    </cfRule>
    <cfRule type="containsText" priority="16443" operator="containsText" dxfId="7" text="ID">
      <formula>NOT(ISERROR(SEARCH(("ID"),(AT49))))</formula>
    </cfRule>
    <cfRule type="containsText" priority="16444" operator="containsText" dxfId="7" text="NEURO">
      <formula>NOT(ISERROR(SEARCH(("NEURO"),(AT49))))</formula>
    </cfRule>
    <cfRule type="containsText" priority="16445" operator="containsText" dxfId="6" text="NEURO">
      <formula>NOT(ISERROR(SEARCH(("NEURO"),(AT49))))</formula>
    </cfRule>
    <cfRule type="containsText" priority="16446" operator="containsText" dxfId="5" text="NEURO">
      <formula>NOT(ISERROR(SEARCH(("NEURO"),(AT49))))</formula>
    </cfRule>
    <cfRule type="containsText" priority="16447" operator="containsText" dxfId="0" text="ICU N">
      <formula>NOT(ISERROR(SEARCH(("ICU N"),(AT49))))</formula>
    </cfRule>
    <cfRule type="containsText" priority="16448" operator="containsText" dxfId="3" text="ICU">
      <formula>NOT(ISERROR(SEARCH(("ICU"),(AT49))))</formula>
    </cfRule>
    <cfRule type="containsText" priority="16449" operator="containsText" dxfId="0" text="SWING">
      <formula>NOT(ISERROR(SEARCH(("SWING"),(AT49))))</formula>
    </cfRule>
    <cfRule type="containsText" priority="16450" operator="containsText" dxfId="0" text="NF">
      <formula>NOT(ISERROR(SEARCH(("NF"),(AT49))))</formula>
    </cfRule>
    <cfRule type="containsText" priority="16451" operator="containsText" dxfId="0" text="ICU N">
      <formula>NOT(ISERROR(SEARCH(("ICU N"),(AT49))))</formula>
    </cfRule>
  </conditionalFormatting>
  <conditionalFormatting sqref="AS50 AT49:AU49">
    <cfRule type="containsText" priority="16419" operator="containsText" dxfId="16" text="ED">
      <formula>NOT(ISERROR(SEARCH(("ED"),(AS49))))</formula>
    </cfRule>
    <cfRule type="containsText" priority="16420" operator="containsText" dxfId="15" text="GERIATRIC">
      <formula>NOT(ISERROR(SEARCH(("GERIATRIC"),(AS49))))</formula>
    </cfRule>
    <cfRule type="containsText" priority="16421" operator="containsText" dxfId="17" text="VACATION">
      <formula>NOT(ISERROR(SEARCH(("VACATION"),(AS49))))</formula>
    </cfRule>
    <cfRule type="containsText" priority="16422" operator="containsText" dxfId="7" text="PATH">
      <formula>NOT(ISERROR(SEARCH(("PATH"),(AS49))))</formula>
    </cfRule>
    <cfRule type="containsText" priority="16423" operator="containsText" dxfId="7" text="NEPHRO">
      <formula>NOT(ISERROR(SEARCH(("NEPHRO"),(AS49))))</formula>
    </cfRule>
    <cfRule type="containsText" priority="16424" operator="containsText" dxfId="7" text="PULM">
      <formula>NOT(ISERROR(SEARCH(("PULM"),(AS49))))</formula>
    </cfRule>
    <cfRule type="containsText" priority="16425" operator="containsText" dxfId="7" text="RADIOLOGY">
      <formula>NOT(ISERROR(SEARCH(("RADIOLOGY"),(AS49))))</formula>
    </cfRule>
    <cfRule type="containsText" priority="16426" operator="containsText" dxfId="7" text="HEM/ONC">
      <formula>NOT(ISERROR(SEARCH(("HEM/ONC"),(AS49))))</formula>
    </cfRule>
    <cfRule type="containsText" priority="16427" operator="containsText" dxfId="7" text="CARDIO">
      <formula>NOT(ISERROR(SEARCH(("CARDIO"),(AS49))))</formula>
    </cfRule>
    <cfRule type="containsText" priority="16428" operator="containsText" dxfId="7" text="ID">
      <formula>NOT(ISERROR(SEARCH(("ID"),(AS49))))</formula>
    </cfRule>
    <cfRule type="containsText" priority="16429" operator="containsText" dxfId="7" text="NEURO">
      <formula>NOT(ISERROR(SEARCH(("NEURO"),(AS49))))</formula>
    </cfRule>
    <cfRule type="containsText" priority="16430" operator="containsText" dxfId="6" text="NEURO">
      <formula>NOT(ISERROR(SEARCH(("NEURO"),(AS49))))</formula>
    </cfRule>
    <cfRule type="containsText" priority="16431" operator="containsText" dxfId="5" text="NEURO">
      <formula>NOT(ISERROR(SEARCH(("NEURO"),(AS49))))</formula>
    </cfRule>
    <cfRule type="containsText" priority="16432" operator="containsText" dxfId="0" text="ICU N">
      <formula>NOT(ISERROR(SEARCH(("ICU N"),(AS49))))</formula>
    </cfRule>
    <cfRule type="containsText" priority="16433" operator="containsText" dxfId="3" text="ICU">
      <formula>NOT(ISERROR(SEARCH(("ICU"),(AS49))))</formula>
    </cfRule>
    <cfRule type="containsText" priority="16434" operator="containsText" dxfId="0" text="SWING">
      <formula>NOT(ISERROR(SEARCH(("SWING"),(AS49))))</formula>
    </cfRule>
    <cfRule type="containsText" priority="16435" operator="containsText" dxfId="0" text="NF">
      <formula>NOT(ISERROR(SEARCH(("NF"),(AS49))))</formula>
    </cfRule>
    <cfRule type="containsText" priority="16436" operator="containsText" dxfId="0" text="ICU N">
      <formula>NOT(ISERROR(SEARCH(("ICU N"),(AS49))))</formula>
    </cfRule>
    <cfRule type="containsText" priority="16402" operator="containsText" dxfId="17" text="VACATION">
      <formula>NOT(ISERROR(SEARCH(("VACATION"),(AS49))))</formula>
    </cfRule>
    <cfRule type="containsText" priority="16403" operator="containsText" dxfId="16" text="ED">
      <formula>NOT(ISERROR(SEARCH(("ED"),(AS49))))</formula>
    </cfRule>
    <cfRule type="containsText" priority="16404" operator="containsText" dxfId="15" text="GERIATRIC">
      <formula>NOT(ISERROR(SEARCH(("GERIATRIC"),(AS49))))</formula>
    </cfRule>
    <cfRule type="containsText" priority="16405" operator="containsText" dxfId="7" text="PATH">
      <formula>NOT(ISERROR(SEARCH(("PATH"),(AS49))))</formula>
    </cfRule>
    <cfRule type="containsText" priority="16406" operator="containsText" dxfId="7" text="NEPHRO">
      <formula>NOT(ISERROR(SEARCH(("NEPHRO"),(AS49))))</formula>
    </cfRule>
    <cfRule type="containsText" priority="16407" operator="containsText" dxfId="7" text="PULM">
      <formula>NOT(ISERROR(SEARCH(("PULM"),(AS49))))</formula>
    </cfRule>
    <cfRule type="containsText" priority="16408" operator="containsText" dxfId="7" text="RADIOLOGY">
      <formula>NOT(ISERROR(SEARCH(("RADIOLOGY"),(AS49))))</formula>
    </cfRule>
    <cfRule type="containsText" priority="16409" operator="containsText" dxfId="7" text="HEM/ONC">
      <formula>NOT(ISERROR(SEARCH(("HEM/ONC"),(AS49))))</formula>
    </cfRule>
    <cfRule type="containsText" priority="16410" operator="containsText" dxfId="7" text="CARDIO">
      <formula>NOT(ISERROR(SEARCH(("CARDIO"),(AS49))))</formula>
    </cfRule>
    <cfRule type="containsText" priority="16411" operator="containsText" dxfId="7" text="ID">
      <formula>NOT(ISERROR(SEARCH(("ID"),(AS49))))</formula>
    </cfRule>
    <cfRule type="containsText" priority="16412" operator="containsText" dxfId="7" text="NEURO">
      <formula>NOT(ISERROR(SEARCH(("NEURO"),(AS49))))</formula>
    </cfRule>
    <cfRule type="containsText" priority="16413" operator="containsText" dxfId="6" text="NEURO">
      <formula>NOT(ISERROR(SEARCH(("NEURO"),(AS49))))</formula>
    </cfRule>
    <cfRule type="containsText" priority="16414" operator="containsText" dxfId="5" text="NEURO">
      <formula>NOT(ISERROR(SEARCH(("NEURO"),(AS49))))</formula>
    </cfRule>
    <cfRule type="containsText" priority="16415" operator="containsText" dxfId="0" text="ICU N">
      <formula>NOT(ISERROR(SEARCH(("ICU N"),(AS49))))</formula>
    </cfRule>
    <cfRule type="containsText" priority="16416" operator="containsText" dxfId="3" text="ICU">
      <formula>NOT(ISERROR(SEARCH(("ICU"),(AS49))))</formula>
    </cfRule>
    <cfRule type="containsText" priority="16417" operator="containsText" dxfId="0" text="SWING">
      <formula>NOT(ISERROR(SEARCH(("SWING"),(AS49))))</formula>
    </cfRule>
    <cfRule type="containsText" priority="16418" operator="containsText" dxfId="0" text="NF">
      <formula>NOT(ISERROR(SEARCH(("NF"),(AS49))))</formula>
    </cfRule>
    <cfRule type="containsText" priority="16387" operator="containsText" dxfId="7" text="PATH">
      <formula>NOT(ISERROR(SEARCH(("PATH"),(AS49))))</formula>
    </cfRule>
    <cfRule type="containsText" priority="16388" operator="containsText" dxfId="7" text="NEPHRO">
      <formula>NOT(ISERROR(SEARCH(("NEPHRO"),(AS49))))</formula>
    </cfRule>
    <cfRule type="containsText" priority="16389" operator="containsText" dxfId="7" text="PULM">
      <formula>NOT(ISERROR(SEARCH(("PULM"),(AS49))))</formula>
    </cfRule>
    <cfRule type="containsText" priority="16390" operator="containsText" dxfId="7" text="RADIOLOGY">
      <formula>NOT(ISERROR(SEARCH(("RADIOLOGY"),(AS49))))</formula>
    </cfRule>
    <cfRule type="containsText" priority="16391" operator="containsText" dxfId="7" text="HEM/ONC">
      <formula>NOT(ISERROR(SEARCH(("HEM/ONC"),(AS49))))</formula>
    </cfRule>
    <cfRule type="containsText" priority="16392" operator="containsText" dxfId="7" text="CARDIO">
      <formula>NOT(ISERROR(SEARCH(("CARDIO"),(AS49))))</formula>
    </cfRule>
    <cfRule type="containsText" priority="16393" operator="containsText" dxfId="7" text="ID">
      <formula>NOT(ISERROR(SEARCH(("ID"),(AS49))))</formula>
    </cfRule>
    <cfRule type="containsText" priority="16394" operator="containsText" dxfId="7" text="NEURO">
      <formula>NOT(ISERROR(SEARCH(("NEURO"),(AS49))))</formula>
    </cfRule>
    <cfRule type="containsText" priority="16395" operator="containsText" dxfId="6" text="NEURO">
      <formula>NOT(ISERROR(SEARCH(("NEURO"),(AS49))))</formula>
    </cfRule>
    <cfRule type="containsText" priority="16396" operator="containsText" dxfId="5" text="NEURO">
      <formula>NOT(ISERROR(SEARCH(("NEURO"),(AS49))))</formula>
    </cfRule>
    <cfRule type="containsText" priority="16397" operator="containsText" dxfId="0" text="ICU N">
      <formula>NOT(ISERROR(SEARCH(("ICU N"),(AS49))))</formula>
    </cfRule>
    <cfRule type="containsText" priority="16398" operator="containsText" dxfId="3" text="ICU">
      <formula>NOT(ISERROR(SEARCH(("ICU"),(AS49))))</formula>
    </cfRule>
    <cfRule type="containsText" priority="16399" operator="containsText" dxfId="0" text="SWING">
      <formula>NOT(ISERROR(SEARCH(("SWING"),(AS49))))</formula>
    </cfRule>
    <cfRule type="containsText" priority="16400" operator="containsText" dxfId="0" text="NF">
      <formula>NOT(ISERROR(SEARCH(("NF"),(AS49))))</formula>
    </cfRule>
    <cfRule type="containsText" priority="16401" operator="containsText" dxfId="0" text="ICU N">
      <formula>NOT(ISERROR(SEARCH(("ICU N"),(AS49))))</formula>
    </cfRule>
  </conditionalFormatting>
  <conditionalFormatting sqref="AZ56:BC61">
    <cfRule type="containsText" priority="16369" operator="containsText" dxfId="16" text="ED">
      <formula>NOT(ISERROR(SEARCH(("ED"),(AZ56))))</formula>
    </cfRule>
    <cfRule type="containsText" priority="16370" operator="containsText" dxfId="15" text="GERIATRIC">
      <formula>NOT(ISERROR(SEARCH(("GERIATRIC"),(AZ56))))</formula>
    </cfRule>
    <cfRule type="containsText" priority="16371" operator="containsText" dxfId="17" text="VACATION">
      <formula>NOT(ISERROR(SEARCH(("VACATION"),(AZ56))))</formula>
    </cfRule>
    <cfRule type="containsText" priority="16372" operator="containsText" dxfId="7" text="PATH">
      <formula>NOT(ISERROR(SEARCH(("PATH"),(AZ56))))</formula>
    </cfRule>
    <cfRule type="containsText" priority="16373" operator="containsText" dxfId="7" text="NEPHRO">
      <formula>NOT(ISERROR(SEARCH(("NEPHRO"),(AZ56))))</formula>
    </cfRule>
    <cfRule type="containsText" priority="16374" operator="containsText" dxfId="7" text="PULM">
      <formula>NOT(ISERROR(SEARCH(("PULM"),(AZ56))))</formula>
    </cfRule>
    <cfRule type="containsText" priority="16375" operator="containsText" dxfId="7" text="RADIOLOGY">
      <formula>NOT(ISERROR(SEARCH(("RADIOLOGY"),(AZ56))))</formula>
    </cfRule>
    <cfRule type="containsText" priority="16376" operator="containsText" dxfId="7" text="HEM/ONC">
      <formula>NOT(ISERROR(SEARCH(("HEM/ONC"),(AZ56))))</formula>
    </cfRule>
    <cfRule type="containsText" priority="16377" operator="containsText" dxfId="7" text="CARDIO">
      <formula>NOT(ISERROR(SEARCH(("CARDIO"),(AZ56))))</formula>
    </cfRule>
    <cfRule type="containsText" priority="16378" operator="containsText" dxfId="7" text="ID">
      <formula>NOT(ISERROR(SEARCH(("ID"),(AZ56))))</formula>
    </cfRule>
    <cfRule type="containsText" priority="16379" operator="containsText" dxfId="7" text="NEURO">
      <formula>NOT(ISERROR(SEARCH(("NEURO"),(AZ56))))</formula>
    </cfRule>
    <cfRule type="containsText" priority="16380" operator="containsText" dxfId="6" text="NEURO">
      <formula>NOT(ISERROR(SEARCH(("NEURO"),(AZ56))))</formula>
    </cfRule>
    <cfRule type="containsText" priority="16381" operator="containsText" dxfId="5" text="NEURO">
      <formula>NOT(ISERROR(SEARCH(("NEURO"),(AZ56))))</formula>
    </cfRule>
    <cfRule type="containsText" priority="16382" operator="containsText" dxfId="0" text="ICU N">
      <formula>NOT(ISERROR(SEARCH(("ICU N"),(AZ56))))</formula>
    </cfRule>
    <cfRule type="containsText" priority="16383" operator="containsText" dxfId="3" text="ICU">
      <formula>NOT(ISERROR(SEARCH(("ICU"),(AZ56))))</formula>
    </cfRule>
    <cfRule type="containsText" priority="16384" operator="containsText" dxfId="0" text="SWING">
      <formula>NOT(ISERROR(SEARCH(("SWING"),(AZ56))))</formula>
    </cfRule>
    <cfRule type="containsText" priority="16385" operator="containsText" dxfId="0" text="NF">
      <formula>NOT(ISERROR(SEARCH(("NF"),(AZ56))))</formula>
    </cfRule>
    <cfRule type="containsText" priority="16386" operator="containsText" dxfId="0" text="ICU N">
      <formula>NOT(ISERROR(SEARCH(("ICU N"),(AZ56))))</formula>
    </cfRule>
    <cfRule type="containsText" priority="16352" operator="containsText" dxfId="17" text="VACATION">
      <formula>NOT(ISERROR(SEARCH(("VACATION"),(AZ56))))</formula>
    </cfRule>
    <cfRule type="containsText" priority="16353" operator="containsText" dxfId="16" text="ED">
      <formula>NOT(ISERROR(SEARCH(("ED"),(AZ56))))</formula>
    </cfRule>
    <cfRule type="containsText" priority="16354" operator="containsText" dxfId="15" text="GERIATRIC">
      <formula>NOT(ISERROR(SEARCH(("GERIATRIC"),(AZ56))))</formula>
    </cfRule>
    <cfRule type="containsText" priority="16355" operator="containsText" dxfId="7" text="PATH">
      <formula>NOT(ISERROR(SEARCH(("PATH"),(AZ56))))</formula>
    </cfRule>
    <cfRule type="containsText" priority="16356" operator="containsText" dxfId="7" text="NEPHRO">
      <formula>NOT(ISERROR(SEARCH(("NEPHRO"),(AZ56))))</formula>
    </cfRule>
    <cfRule type="containsText" priority="16357" operator="containsText" dxfId="7" text="PULM">
      <formula>NOT(ISERROR(SEARCH(("PULM"),(AZ56))))</formula>
    </cfRule>
    <cfRule type="containsText" priority="16358" operator="containsText" dxfId="7" text="RADIOLOGY">
      <formula>NOT(ISERROR(SEARCH(("RADIOLOGY"),(AZ56))))</formula>
    </cfRule>
    <cfRule type="containsText" priority="16359" operator="containsText" dxfId="7" text="HEM/ONC">
      <formula>NOT(ISERROR(SEARCH(("HEM/ONC"),(AZ56))))</formula>
    </cfRule>
    <cfRule type="containsText" priority="16360" operator="containsText" dxfId="7" text="CARDIO">
      <formula>NOT(ISERROR(SEARCH(("CARDIO"),(AZ56))))</formula>
    </cfRule>
    <cfRule type="containsText" priority="16361" operator="containsText" dxfId="7" text="ID">
      <formula>NOT(ISERROR(SEARCH(("ID"),(AZ56))))</formula>
    </cfRule>
    <cfRule type="containsText" priority="16362" operator="containsText" dxfId="7" text="NEURO">
      <formula>NOT(ISERROR(SEARCH(("NEURO"),(AZ56))))</formula>
    </cfRule>
    <cfRule type="containsText" priority="16363" operator="containsText" dxfId="6" text="NEURO">
      <formula>NOT(ISERROR(SEARCH(("NEURO"),(AZ56))))</formula>
    </cfRule>
    <cfRule type="containsText" priority="16364" operator="containsText" dxfId="5" text="NEURO">
      <formula>NOT(ISERROR(SEARCH(("NEURO"),(AZ56))))</formula>
    </cfRule>
    <cfRule type="containsText" priority="16365" operator="containsText" dxfId="0" text="ICU N">
      <formula>NOT(ISERROR(SEARCH(("ICU N"),(AZ56))))</formula>
    </cfRule>
    <cfRule type="containsText" priority="16366" operator="containsText" dxfId="3" text="ICU">
      <formula>NOT(ISERROR(SEARCH(("ICU"),(AZ56))))</formula>
    </cfRule>
    <cfRule type="containsText" priority="16367" operator="containsText" dxfId="0" text="SWING">
      <formula>NOT(ISERROR(SEARCH(("SWING"),(AZ56))))</formula>
    </cfRule>
    <cfRule type="containsText" priority="16368" operator="containsText" dxfId="0" text="NF">
      <formula>NOT(ISERROR(SEARCH(("NF"),(AZ56))))</formula>
    </cfRule>
    <cfRule type="containsText" priority="16337" operator="containsText" dxfId="7" text="PATH">
      <formula>NOT(ISERROR(SEARCH(("PATH"),(AZ56))))</formula>
    </cfRule>
    <cfRule type="containsText" priority="16338" operator="containsText" dxfId="7" text="NEPHRO">
      <formula>NOT(ISERROR(SEARCH(("NEPHRO"),(AZ56))))</formula>
    </cfRule>
    <cfRule type="containsText" priority="16339" operator="containsText" dxfId="7" text="PULM">
      <formula>NOT(ISERROR(SEARCH(("PULM"),(AZ56))))</formula>
    </cfRule>
    <cfRule type="containsText" priority="16340" operator="containsText" dxfId="7" text="RADIOLOGY">
      <formula>NOT(ISERROR(SEARCH(("RADIOLOGY"),(AZ56))))</formula>
    </cfRule>
    <cfRule type="containsText" priority="16341" operator="containsText" dxfId="7" text="HEM/ONC">
      <formula>NOT(ISERROR(SEARCH(("HEM/ONC"),(AZ56))))</formula>
    </cfRule>
    <cfRule type="containsText" priority="16342" operator="containsText" dxfId="7" text="CARDIO">
      <formula>NOT(ISERROR(SEARCH(("CARDIO"),(AZ56))))</formula>
    </cfRule>
    <cfRule type="containsText" priority="16343" operator="containsText" dxfId="7" text="ID">
      <formula>NOT(ISERROR(SEARCH(("ID"),(AZ56))))</formula>
    </cfRule>
    <cfRule type="containsText" priority="16344" operator="containsText" dxfId="7" text="NEURO">
      <formula>NOT(ISERROR(SEARCH(("NEURO"),(AZ56))))</formula>
    </cfRule>
    <cfRule type="containsText" priority="16345" operator="containsText" dxfId="6" text="NEURO">
      <formula>NOT(ISERROR(SEARCH(("NEURO"),(AZ56))))</formula>
    </cfRule>
    <cfRule type="containsText" priority="16346" operator="containsText" dxfId="5" text="NEURO">
      <formula>NOT(ISERROR(SEARCH(("NEURO"),(AZ56))))</formula>
    </cfRule>
    <cfRule type="containsText" priority="16347" operator="containsText" dxfId="0" text="ICU N">
      <formula>NOT(ISERROR(SEARCH(("ICU N"),(AZ56))))</formula>
    </cfRule>
    <cfRule type="containsText" priority="16348" operator="containsText" dxfId="3" text="ICU">
      <formula>NOT(ISERROR(SEARCH(("ICU"),(AZ56))))</formula>
    </cfRule>
    <cfRule type="containsText" priority="16349" operator="containsText" dxfId="0" text="SWING">
      <formula>NOT(ISERROR(SEARCH(("SWING"),(AZ56))))</formula>
    </cfRule>
    <cfRule type="containsText" priority="16350" operator="containsText" dxfId="0" text="NF">
      <formula>NOT(ISERROR(SEARCH(("NF"),(AZ56))))</formula>
    </cfRule>
    <cfRule type="containsText" priority="16351" operator="containsText" dxfId="0" text="ICU N">
      <formula>NOT(ISERROR(SEARCH(("ICU N"),(AZ56))))</formula>
    </cfRule>
  </conditionalFormatting>
  <conditionalFormatting sqref="BA49">
    <cfRule type="containsText" priority="16331" operator="containsText" dxfId="16" text="ED">
      <formula>NOT(ISERROR(SEARCH(("ED"),(BA49))))</formula>
    </cfRule>
    <cfRule type="containsText" priority="16332" operator="containsText" dxfId="17" text="VACATION">
      <formula>NOT(ISERROR(SEARCH(("VACATION"),(BA49))))</formula>
    </cfRule>
    <cfRule type="containsText" priority="16333" operator="containsText" dxfId="0" text="ICU N">
      <formula>NOT(ISERROR(SEARCH(("ICU N"),(BA49))))</formula>
    </cfRule>
  </conditionalFormatting>
  <conditionalFormatting sqref="BB49">
    <cfRule type="containsText" priority="16328" operator="containsText" dxfId="16" text="ED">
      <formula>NOT(ISERROR(SEARCH(("ED"),(BB49))))</formula>
    </cfRule>
    <cfRule type="containsText" priority="16329" operator="containsText" dxfId="17" text="VACATION">
      <formula>NOT(ISERROR(SEARCH(("VACATION"),(BB49))))</formula>
    </cfRule>
    <cfRule type="containsText" priority="16330" operator="containsText" dxfId="0" text="ICU N">
      <formula>NOT(ISERROR(SEARCH(("ICU N"),(BB49))))</formula>
    </cfRule>
  </conditionalFormatting>
  <conditionalFormatting sqref="BC49">
    <cfRule type="containsText" priority="16325" operator="containsText" dxfId="16" text="ED">
      <formula>NOT(ISERROR(SEARCH(("ED"),(BC49))))</formula>
    </cfRule>
    <cfRule type="containsText" priority="16326" operator="containsText" dxfId="17" text="VACATION">
      <formula>NOT(ISERROR(SEARCH(("VACATION"),(BC49))))</formula>
    </cfRule>
    <cfRule type="containsText" priority="16327" operator="containsText" dxfId="0" text="ICU N">
      <formula>NOT(ISERROR(SEARCH(("ICU N"),(BC49))))</formula>
    </cfRule>
  </conditionalFormatting>
  <conditionalFormatting sqref="L55">
    <cfRule type="containsText" priority="16307" operator="containsText" dxfId="16" text="ED">
      <formula>NOT(ISERROR(SEARCH(("ED"),(L55))))</formula>
    </cfRule>
    <cfRule type="containsText" priority="16308" operator="containsText" dxfId="15" text="GERIATRIC">
      <formula>NOT(ISERROR(SEARCH(("GERIATRIC"),(L55))))</formula>
    </cfRule>
    <cfRule type="containsText" priority="16309" operator="containsText" dxfId="17" text="VACATION">
      <formula>NOT(ISERROR(SEARCH(("VACATION"),(L55))))</formula>
    </cfRule>
    <cfRule type="containsText" priority="16310" operator="containsText" dxfId="7" text="PATH">
      <formula>NOT(ISERROR(SEARCH(("PATH"),(L55))))</formula>
    </cfRule>
    <cfRule type="containsText" priority="16311" operator="containsText" dxfId="7" text="NEPHRO">
      <formula>NOT(ISERROR(SEARCH(("NEPHRO"),(L55))))</formula>
    </cfRule>
    <cfRule type="containsText" priority="16312" operator="containsText" dxfId="7" text="PULM">
      <formula>NOT(ISERROR(SEARCH(("PULM"),(L55))))</formula>
    </cfRule>
    <cfRule type="containsText" priority="16313" operator="containsText" dxfId="7" text="RADIOLOGY">
      <formula>NOT(ISERROR(SEARCH(("RADIOLOGY"),(L55))))</formula>
    </cfRule>
    <cfRule type="containsText" priority="16314" operator="containsText" dxfId="7" text="HEM/ONC">
      <formula>NOT(ISERROR(SEARCH(("HEM/ONC"),(L55))))</formula>
    </cfRule>
    <cfRule type="containsText" priority="16315" operator="containsText" dxfId="7" text="CARDIO">
      <formula>NOT(ISERROR(SEARCH(("CARDIO"),(L55))))</formula>
    </cfRule>
    <cfRule type="containsText" priority="16316" operator="containsText" dxfId="7" text="ID">
      <formula>NOT(ISERROR(SEARCH(("ID"),(L55))))</formula>
    </cfRule>
    <cfRule type="containsText" priority="16317" operator="containsText" dxfId="7" text="NEURO">
      <formula>NOT(ISERROR(SEARCH(("NEURO"),(L55))))</formula>
    </cfRule>
    <cfRule type="containsText" priority="16318" operator="containsText" dxfId="6" text="NEURO">
      <formula>NOT(ISERROR(SEARCH(("NEURO"),(L55))))</formula>
    </cfRule>
    <cfRule type="containsText" priority="16319" operator="containsText" dxfId="5" text="NEURO">
      <formula>NOT(ISERROR(SEARCH(("NEURO"),(L55))))</formula>
    </cfRule>
    <cfRule type="containsText" priority="16320" operator="containsText" dxfId="0" text="ICU N">
      <formula>NOT(ISERROR(SEARCH(("ICU N"),(L55))))</formula>
    </cfRule>
    <cfRule type="containsText" priority="16321" operator="containsText" dxfId="3" text="ICU">
      <formula>NOT(ISERROR(SEARCH(("ICU"),(L55))))</formula>
    </cfRule>
    <cfRule type="containsText" priority="16322" operator="containsText" dxfId="0" text="SWING">
      <formula>NOT(ISERROR(SEARCH(("SWING"),(L55))))</formula>
    </cfRule>
    <cfRule type="containsText" priority="16323" operator="containsText" dxfId="0" text="NF">
      <formula>NOT(ISERROR(SEARCH(("NF"),(L55))))</formula>
    </cfRule>
    <cfRule type="containsText" priority="16324" operator="containsText" dxfId="0" text="ICU N">
      <formula>NOT(ISERROR(SEARCH(("ICU N"),(L55))))</formula>
    </cfRule>
  </conditionalFormatting>
  <conditionalFormatting sqref="M55">
    <cfRule type="containsText" priority="16289" operator="containsText" dxfId="16" text="ED">
      <formula>NOT(ISERROR(SEARCH(("ED"),(M55))))</formula>
    </cfRule>
    <cfRule type="containsText" priority="16290" operator="containsText" dxfId="15" text="GERIATRIC">
      <formula>NOT(ISERROR(SEARCH(("GERIATRIC"),(M55))))</formula>
    </cfRule>
    <cfRule type="containsText" priority="16291" operator="containsText" dxfId="17" text="VACATION">
      <formula>NOT(ISERROR(SEARCH(("VACATION"),(M55))))</formula>
    </cfRule>
    <cfRule type="containsText" priority="16292" operator="containsText" dxfId="7" text="PATH">
      <formula>NOT(ISERROR(SEARCH(("PATH"),(M55))))</formula>
    </cfRule>
    <cfRule type="containsText" priority="16293" operator="containsText" dxfId="7" text="NEPHRO">
      <formula>NOT(ISERROR(SEARCH(("NEPHRO"),(M55))))</formula>
    </cfRule>
    <cfRule type="containsText" priority="16294" operator="containsText" dxfId="7" text="PULM">
      <formula>NOT(ISERROR(SEARCH(("PULM"),(M55))))</formula>
    </cfRule>
    <cfRule type="containsText" priority="16295" operator="containsText" dxfId="7" text="RADIOLOGY">
      <formula>NOT(ISERROR(SEARCH(("RADIOLOGY"),(M55))))</formula>
    </cfRule>
    <cfRule type="containsText" priority="16296" operator="containsText" dxfId="7" text="HEM/ONC">
      <formula>NOT(ISERROR(SEARCH(("HEM/ONC"),(M55))))</formula>
    </cfRule>
    <cfRule type="containsText" priority="16297" operator="containsText" dxfId="7" text="CARDIO">
      <formula>NOT(ISERROR(SEARCH(("CARDIO"),(M55))))</formula>
    </cfRule>
    <cfRule type="containsText" priority="16298" operator="containsText" dxfId="7" text="ID">
      <formula>NOT(ISERROR(SEARCH(("ID"),(M55))))</formula>
    </cfRule>
    <cfRule type="containsText" priority="16299" operator="containsText" dxfId="7" text="NEURO">
      <formula>NOT(ISERROR(SEARCH(("NEURO"),(M55))))</formula>
    </cfRule>
    <cfRule type="containsText" priority="16300" operator="containsText" dxfId="6" text="NEURO">
      <formula>NOT(ISERROR(SEARCH(("NEURO"),(M55))))</formula>
    </cfRule>
    <cfRule type="containsText" priority="16301" operator="containsText" dxfId="5" text="NEURO">
      <formula>NOT(ISERROR(SEARCH(("NEURO"),(M55))))</formula>
    </cfRule>
    <cfRule type="containsText" priority="16302" operator="containsText" dxfId="0" text="ICU N">
      <formula>NOT(ISERROR(SEARCH(("ICU N"),(M55))))</formula>
    </cfRule>
    <cfRule type="containsText" priority="16303" operator="containsText" dxfId="3" text="ICU">
      <formula>NOT(ISERROR(SEARCH(("ICU"),(M55))))</formula>
    </cfRule>
    <cfRule type="containsText" priority="16304" operator="containsText" dxfId="0" text="SWING">
      <formula>NOT(ISERROR(SEARCH(("SWING"),(M55))))</formula>
    </cfRule>
    <cfRule type="containsText" priority="16305" operator="containsText" dxfId="0" text="NF">
      <formula>NOT(ISERROR(SEARCH(("NF"),(M55))))</formula>
    </cfRule>
    <cfRule type="containsText" priority="16306" operator="containsText" dxfId="0" text="ICU N">
      <formula>NOT(ISERROR(SEARCH(("ICU N"),(M55))))</formula>
    </cfRule>
  </conditionalFormatting>
  <conditionalFormatting sqref="Q25">
    <cfRule type="containsText" priority="16287" operator="containsText" dxfId="17" text="VACATION">
      <formula>NOT(ISERROR(SEARCH(("VACATION"),(Q25))))</formula>
    </cfRule>
    <cfRule type="containsText" priority="16288" operator="containsText" dxfId="0" text="ICU N">
      <formula>NOT(ISERROR(SEARCH(("ICU N"),(Q25))))</formula>
    </cfRule>
  </conditionalFormatting>
  <conditionalFormatting sqref="R25">
    <cfRule type="containsText" priority="16285" operator="containsText" dxfId="17" text="VACATION">
      <formula>NOT(ISERROR(SEARCH(("VACATION"),(R25))))</formula>
    </cfRule>
    <cfRule type="containsText" priority="16286" operator="containsText" dxfId="0" text="ICU N">
      <formula>NOT(ISERROR(SEARCH(("ICU N"),(R25))))</formula>
    </cfRule>
  </conditionalFormatting>
  <conditionalFormatting sqref="L56">
    <cfRule type="containsText" priority="16267" operator="containsText" dxfId="16" text="ED">
      <formula>NOT(ISERROR(SEARCH(("ED"),(L56))))</formula>
    </cfRule>
    <cfRule type="containsText" priority="16268" operator="containsText" dxfId="15" text="GERIATRIC">
      <formula>NOT(ISERROR(SEARCH(("GERIATRIC"),(L56))))</formula>
    </cfRule>
    <cfRule type="containsText" priority="16269" operator="containsText" dxfId="17" text="VACATION">
      <formula>NOT(ISERROR(SEARCH(("VACATION"),(L56))))</formula>
    </cfRule>
    <cfRule type="containsText" priority="16270" operator="containsText" dxfId="7" text="PATH">
      <formula>NOT(ISERROR(SEARCH(("PATH"),(L56))))</formula>
    </cfRule>
    <cfRule type="containsText" priority="16271" operator="containsText" dxfId="7" text="NEPHRO">
      <formula>NOT(ISERROR(SEARCH(("NEPHRO"),(L56))))</formula>
    </cfRule>
    <cfRule type="containsText" priority="16272" operator="containsText" dxfId="7" text="PULM">
      <formula>NOT(ISERROR(SEARCH(("PULM"),(L56))))</formula>
    </cfRule>
    <cfRule type="containsText" priority="16273" operator="containsText" dxfId="7" text="RADIOLOGY">
      <formula>NOT(ISERROR(SEARCH(("RADIOLOGY"),(L56))))</formula>
    </cfRule>
    <cfRule type="containsText" priority="16274" operator="containsText" dxfId="7" text="HEM/ONC">
      <formula>NOT(ISERROR(SEARCH(("HEM/ONC"),(L56))))</formula>
    </cfRule>
    <cfRule type="containsText" priority="16275" operator="containsText" dxfId="7" text="CARDIO">
      <formula>NOT(ISERROR(SEARCH(("CARDIO"),(L56))))</formula>
    </cfRule>
    <cfRule type="containsText" priority="16276" operator="containsText" dxfId="7" text="ID">
      <formula>NOT(ISERROR(SEARCH(("ID"),(L56))))</formula>
    </cfRule>
    <cfRule type="containsText" priority="16277" operator="containsText" dxfId="7" text="NEURO">
      <formula>NOT(ISERROR(SEARCH(("NEURO"),(L56))))</formula>
    </cfRule>
    <cfRule type="containsText" priority="16278" operator="containsText" dxfId="6" text="NEURO">
      <formula>NOT(ISERROR(SEARCH(("NEURO"),(L56))))</formula>
    </cfRule>
    <cfRule type="containsText" priority="16279" operator="containsText" dxfId="5" text="NEURO">
      <formula>NOT(ISERROR(SEARCH(("NEURO"),(L56))))</formula>
    </cfRule>
    <cfRule type="containsText" priority="16280" operator="containsText" dxfId="0" text="ICU N">
      <formula>NOT(ISERROR(SEARCH(("ICU N"),(L56))))</formula>
    </cfRule>
    <cfRule type="containsText" priority="16281" operator="containsText" dxfId="3" text="ICU">
      <formula>NOT(ISERROR(SEARCH(("ICU"),(L56))))</formula>
    </cfRule>
    <cfRule type="containsText" priority="16282" operator="containsText" dxfId="0" text="SWING">
      <formula>NOT(ISERROR(SEARCH(("SWING"),(L56))))</formula>
    </cfRule>
    <cfRule type="containsText" priority="16283" operator="containsText" dxfId="0" text="NF">
      <formula>NOT(ISERROR(SEARCH(("NF"),(L56))))</formula>
    </cfRule>
    <cfRule type="containsText" priority="16284" operator="containsText" dxfId="0" text="ICU N">
      <formula>NOT(ISERROR(SEARCH(("ICU N"),(L56))))</formula>
    </cfRule>
  </conditionalFormatting>
  <conditionalFormatting sqref="M56">
    <cfRule type="containsText" priority="16249" operator="containsText" dxfId="16" text="ED">
      <formula>NOT(ISERROR(SEARCH(("ED"),(M56))))</formula>
    </cfRule>
    <cfRule type="containsText" priority="16250" operator="containsText" dxfId="15" text="GERIATRIC">
      <formula>NOT(ISERROR(SEARCH(("GERIATRIC"),(M56))))</formula>
    </cfRule>
    <cfRule type="containsText" priority="16251" operator="containsText" dxfId="17" text="VACATION">
      <formula>NOT(ISERROR(SEARCH(("VACATION"),(M56))))</formula>
    </cfRule>
    <cfRule type="containsText" priority="16252" operator="containsText" dxfId="7" text="PATH">
      <formula>NOT(ISERROR(SEARCH(("PATH"),(M56))))</formula>
    </cfRule>
    <cfRule type="containsText" priority="16253" operator="containsText" dxfId="7" text="NEPHRO">
      <formula>NOT(ISERROR(SEARCH(("NEPHRO"),(M56))))</formula>
    </cfRule>
    <cfRule type="containsText" priority="16254" operator="containsText" dxfId="7" text="PULM">
      <formula>NOT(ISERROR(SEARCH(("PULM"),(M56))))</formula>
    </cfRule>
    <cfRule type="containsText" priority="16255" operator="containsText" dxfId="7" text="RADIOLOGY">
      <formula>NOT(ISERROR(SEARCH(("RADIOLOGY"),(M56))))</formula>
    </cfRule>
    <cfRule type="containsText" priority="16256" operator="containsText" dxfId="7" text="HEM/ONC">
      <formula>NOT(ISERROR(SEARCH(("HEM/ONC"),(M56))))</formula>
    </cfRule>
    <cfRule type="containsText" priority="16257" operator="containsText" dxfId="7" text="CARDIO">
      <formula>NOT(ISERROR(SEARCH(("CARDIO"),(M56))))</formula>
    </cfRule>
    <cfRule type="containsText" priority="16258" operator="containsText" dxfId="7" text="ID">
      <formula>NOT(ISERROR(SEARCH(("ID"),(M56))))</formula>
    </cfRule>
    <cfRule type="containsText" priority="16259" operator="containsText" dxfId="7" text="NEURO">
      <formula>NOT(ISERROR(SEARCH(("NEURO"),(M56))))</formula>
    </cfRule>
    <cfRule type="containsText" priority="16260" operator="containsText" dxfId="6" text="NEURO">
      <formula>NOT(ISERROR(SEARCH(("NEURO"),(M56))))</formula>
    </cfRule>
    <cfRule type="containsText" priority="16261" operator="containsText" dxfId="5" text="NEURO">
      <formula>NOT(ISERROR(SEARCH(("NEURO"),(M56))))</formula>
    </cfRule>
    <cfRule type="containsText" priority="16262" operator="containsText" dxfId="0" text="ICU N">
      <formula>NOT(ISERROR(SEARCH(("ICU N"),(M56))))</formula>
    </cfRule>
    <cfRule type="containsText" priority="16263" operator="containsText" dxfId="3" text="ICU">
      <formula>NOT(ISERROR(SEARCH(("ICU"),(M56))))</formula>
    </cfRule>
    <cfRule type="containsText" priority="16264" operator="containsText" dxfId="0" text="SWING">
      <formula>NOT(ISERROR(SEARCH(("SWING"),(M56))))</formula>
    </cfRule>
    <cfRule type="containsText" priority="16265" operator="containsText" dxfId="0" text="NF">
      <formula>NOT(ISERROR(SEARCH(("NF"),(M56))))</formula>
    </cfRule>
    <cfRule type="containsText" priority="16266" operator="containsText" dxfId="0" text="ICU N">
      <formula>NOT(ISERROR(SEARCH(("ICU N"),(M56))))</formula>
    </cfRule>
  </conditionalFormatting>
  <conditionalFormatting sqref="L4">
    <cfRule type="containsText" priority="16246" operator="containsText" dxfId="16" text="ED">
      <formula>NOT(ISERROR(SEARCH(("ED"),(L4))))</formula>
    </cfRule>
    <cfRule type="containsText" priority="16247" operator="containsText" dxfId="17" text="VACATION">
      <formula>NOT(ISERROR(SEARCH(("VACATION"),(L4))))</formula>
    </cfRule>
    <cfRule type="containsText" priority="16248" operator="containsText" dxfId="0" text="ICU N">
      <formula>NOT(ISERROR(SEARCH(("ICU N"),(L4))))</formula>
    </cfRule>
  </conditionalFormatting>
  <conditionalFormatting sqref="M4">
    <cfRule type="containsText" priority="16243" operator="containsText" dxfId="16" text="ED">
      <formula>NOT(ISERROR(SEARCH(("ED"),(M4))))</formula>
    </cfRule>
    <cfRule type="containsText" priority="16244" operator="containsText" dxfId="17" text="VACATION">
      <formula>NOT(ISERROR(SEARCH(("VACATION"),(M4))))</formula>
    </cfRule>
    <cfRule type="containsText" priority="16245" operator="containsText" dxfId="0" text="ICU N">
      <formula>NOT(ISERROR(SEARCH(("ICU N"),(M4))))</formula>
    </cfRule>
  </conditionalFormatting>
  <conditionalFormatting sqref="M5">
    <cfRule type="containsText" priority="16240" operator="containsText" dxfId="16" text="ED">
      <formula>NOT(ISERROR(SEARCH(("ED"),(M5))))</formula>
    </cfRule>
    <cfRule type="containsText" priority="16241" operator="containsText" dxfId="17" text="VACATION">
      <formula>NOT(ISERROR(SEARCH(("VACATION"),(M5))))</formula>
    </cfRule>
    <cfRule type="containsText" priority="16242" operator="containsText" dxfId="0" text="ICU N">
      <formula>NOT(ISERROR(SEARCH(("ICU N"),(M5))))</formula>
    </cfRule>
  </conditionalFormatting>
  <conditionalFormatting sqref="L5">
    <cfRule type="containsText" priority="16237" operator="containsText" dxfId="16" text="ED">
      <formula>NOT(ISERROR(SEARCH(("ED"),(L5))))</formula>
    </cfRule>
    <cfRule type="containsText" priority="16238" operator="containsText" dxfId="17" text="VACATION">
      <formula>NOT(ISERROR(SEARCH(("VACATION"),(L5))))</formula>
    </cfRule>
    <cfRule type="containsText" priority="16239" operator="containsText" dxfId="0" text="ICU N">
      <formula>NOT(ISERROR(SEARCH(("ICU N"),(L5))))</formula>
    </cfRule>
  </conditionalFormatting>
  <conditionalFormatting sqref="V50">
    <cfRule type="containsText" priority="16228" operator="containsText" dxfId="16" text="ED">
      <formula>NOT(ISERROR(SEARCH(("ED"),(V50))))</formula>
    </cfRule>
    <cfRule type="containsText" priority="16229" operator="containsText" dxfId="17" text="VACATION">
      <formula>NOT(ISERROR(SEARCH(("VACATION"),(V50))))</formula>
    </cfRule>
    <cfRule type="containsText" priority="16230" operator="containsText" dxfId="0" text="ICU N">
      <formula>NOT(ISERROR(SEARCH(("ICU N"),(V50))))</formula>
    </cfRule>
  </conditionalFormatting>
  <conditionalFormatting sqref="W50">
    <cfRule type="containsText" priority="16225" operator="containsText" dxfId="16" text="ED">
      <formula>NOT(ISERROR(SEARCH(("ED"),(W50))))</formula>
    </cfRule>
    <cfRule type="containsText" priority="16226" operator="containsText" dxfId="17" text="VACATION">
      <formula>NOT(ISERROR(SEARCH(("VACATION"),(W50))))</formula>
    </cfRule>
    <cfRule type="containsText" priority="16227" operator="containsText" dxfId="0" text="ICU N">
      <formula>NOT(ISERROR(SEARCH(("ICU N"),(W50))))</formula>
    </cfRule>
  </conditionalFormatting>
  <conditionalFormatting sqref="AJ49">
    <cfRule type="containsText" priority="16222" operator="containsText" dxfId="16" text="ED">
      <formula>NOT(ISERROR(SEARCH(("ED"),(AJ49))))</formula>
    </cfRule>
    <cfRule type="containsText" priority="16223" operator="containsText" dxfId="17" text="VACATION">
      <formula>NOT(ISERROR(SEARCH(("VACATION"),(AJ49))))</formula>
    </cfRule>
    <cfRule type="containsText" priority="16224" operator="containsText" dxfId="0" text="ICU N">
      <formula>NOT(ISERROR(SEARCH(("ICU N"),(AJ49))))</formula>
    </cfRule>
  </conditionalFormatting>
  <conditionalFormatting sqref="AK49">
    <cfRule type="containsText" priority="16219" operator="containsText" dxfId="16" text="ED">
      <formula>NOT(ISERROR(SEARCH(("ED"),(AK49))))</formula>
    </cfRule>
    <cfRule type="containsText" priority="16220" operator="containsText" dxfId="17" text="VACATION">
      <formula>NOT(ISERROR(SEARCH(("VACATION"),(AK49))))</formula>
    </cfRule>
    <cfRule type="containsText" priority="16221" operator="containsText" dxfId="0" text="ICU N">
      <formula>NOT(ISERROR(SEARCH(("ICU N"),(AK49))))</formula>
    </cfRule>
  </conditionalFormatting>
  <conditionalFormatting sqref="T51">
    <cfRule type="containsText" priority="16210" operator="containsText" dxfId="16" text="ED">
      <formula>NOT(ISERROR(SEARCH(("ED"),(T51))))</formula>
    </cfRule>
    <cfRule type="containsText" priority="16211" operator="containsText" dxfId="17" text="VACATION">
      <formula>NOT(ISERROR(SEARCH(("VACATION"),(T51))))</formula>
    </cfRule>
    <cfRule type="containsText" priority="16212" operator="containsText" dxfId="0" text="ICU N">
      <formula>NOT(ISERROR(SEARCH(("ICU N"),(T51))))</formula>
    </cfRule>
  </conditionalFormatting>
  <conditionalFormatting sqref="U51">
    <cfRule type="containsText" priority="16207" operator="containsText" dxfId="16" text="ED">
      <formula>NOT(ISERROR(SEARCH(("ED"),(U51))))</formula>
    </cfRule>
    <cfRule type="containsText" priority="16208" operator="containsText" dxfId="17" text="VACATION">
      <formula>NOT(ISERROR(SEARCH(("VACATION"),(U51))))</formula>
    </cfRule>
    <cfRule type="containsText" priority="16209" operator="containsText" dxfId="0" text="ICU N">
      <formula>NOT(ISERROR(SEARCH(("ICU N"),(U51))))</formula>
    </cfRule>
  </conditionalFormatting>
  <conditionalFormatting sqref="AZ54">
    <cfRule type="containsText" priority="16183" operator="containsText" dxfId="16" text="ED">
      <formula>NOT(ISERROR(SEARCH(("ED"),(AZ54))))</formula>
    </cfRule>
    <cfRule type="containsText" priority="16184" operator="containsText" dxfId="15" text="GERIATRIC">
      <formula>NOT(ISERROR(SEARCH(("GERIATRIC"),(AZ54))))</formula>
    </cfRule>
    <cfRule type="containsText" priority="16185" operator="containsText" dxfId="17" text="VACATION">
      <formula>NOT(ISERROR(SEARCH(("VACATION"),(AZ54))))</formula>
    </cfRule>
    <cfRule type="containsText" priority="16186" operator="containsText" dxfId="7" text="PATH">
      <formula>NOT(ISERROR(SEARCH(("PATH"),(AZ54))))</formula>
    </cfRule>
    <cfRule type="containsText" priority="16187" operator="containsText" dxfId="7" text="NEPHRO">
      <formula>NOT(ISERROR(SEARCH(("NEPHRO"),(AZ54))))</formula>
    </cfRule>
    <cfRule type="containsText" priority="16188" operator="containsText" dxfId="7" text="PULM">
      <formula>NOT(ISERROR(SEARCH(("PULM"),(AZ54))))</formula>
    </cfRule>
    <cfRule type="containsText" priority="16189" operator="containsText" dxfId="7" text="RADIOLOGY">
      <formula>NOT(ISERROR(SEARCH(("RADIOLOGY"),(AZ54))))</formula>
    </cfRule>
    <cfRule type="containsText" priority="16190" operator="containsText" dxfId="7" text="HEM/ONC">
      <formula>NOT(ISERROR(SEARCH(("HEM/ONC"),(AZ54))))</formula>
    </cfRule>
    <cfRule type="containsText" priority="16191" operator="containsText" dxfId="7" text="CARDIO">
      <formula>NOT(ISERROR(SEARCH(("CARDIO"),(AZ54))))</formula>
    </cfRule>
    <cfRule type="containsText" priority="16192" operator="containsText" dxfId="7" text="ID">
      <formula>NOT(ISERROR(SEARCH(("ID"),(AZ54))))</formula>
    </cfRule>
    <cfRule type="containsText" priority="16193" operator="containsText" dxfId="7" text="NEURO">
      <formula>NOT(ISERROR(SEARCH(("NEURO"),(AZ54))))</formula>
    </cfRule>
    <cfRule type="containsText" priority="16194" operator="containsText" dxfId="6" text="NEURO">
      <formula>NOT(ISERROR(SEARCH(("NEURO"),(AZ54))))</formula>
    </cfRule>
    <cfRule type="containsText" priority="16195" operator="containsText" dxfId="5" text="NEURO">
      <formula>NOT(ISERROR(SEARCH(("NEURO"),(AZ54))))</formula>
    </cfRule>
    <cfRule type="containsText" priority="16196" operator="containsText" dxfId="0" text="ICU N">
      <formula>NOT(ISERROR(SEARCH(("ICU N"),(AZ54))))</formula>
    </cfRule>
    <cfRule type="containsText" priority="16197" operator="containsText" dxfId="3" text="ICU">
      <formula>NOT(ISERROR(SEARCH(("ICU"),(AZ54))))</formula>
    </cfRule>
    <cfRule type="containsText" priority="16198" operator="containsText" dxfId="0" text="SWING">
      <formula>NOT(ISERROR(SEARCH(("SWING"),(AZ54))))</formula>
    </cfRule>
    <cfRule type="containsText" priority="16199" operator="containsText" dxfId="0" text="NF">
      <formula>NOT(ISERROR(SEARCH(("NF"),(AZ54))))</formula>
    </cfRule>
    <cfRule type="containsText" priority="16200" operator="containsText" dxfId="0" text="ICU N">
      <formula>NOT(ISERROR(SEARCH(("ICU N"),(AZ54))))</formula>
    </cfRule>
    <cfRule type="containsText" priority="16166" operator="containsText" dxfId="17" text="VACATION">
      <formula>NOT(ISERROR(SEARCH(("VACATION"),(AZ54))))</formula>
    </cfRule>
    <cfRule type="containsText" priority="16167" operator="containsText" dxfId="16" text="ED">
      <formula>NOT(ISERROR(SEARCH(("ED"),(AZ54))))</formula>
    </cfRule>
    <cfRule type="containsText" priority="16168" operator="containsText" dxfId="15" text="GERIATRIC">
      <formula>NOT(ISERROR(SEARCH(("GERIATRIC"),(AZ54))))</formula>
    </cfRule>
    <cfRule type="containsText" priority="16169" operator="containsText" dxfId="7" text="PATH">
      <formula>NOT(ISERROR(SEARCH(("PATH"),(AZ54))))</formula>
    </cfRule>
    <cfRule type="containsText" priority="16170" operator="containsText" dxfId="7" text="NEPHRO">
      <formula>NOT(ISERROR(SEARCH(("NEPHRO"),(AZ54))))</formula>
    </cfRule>
    <cfRule type="containsText" priority="16171" operator="containsText" dxfId="7" text="PULM">
      <formula>NOT(ISERROR(SEARCH(("PULM"),(AZ54))))</formula>
    </cfRule>
    <cfRule type="containsText" priority="16172" operator="containsText" dxfId="7" text="RADIOLOGY">
      <formula>NOT(ISERROR(SEARCH(("RADIOLOGY"),(AZ54))))</formula>
    </cfRule>
    <cfRule type="containsText" priority="16173" operator="containsText" dxfId="7" text="HEM/ONC">
      <formula>NOT(ISERROR(SEARCH(("HEM/ONC"),(AZ54))))</formula>
    </cfRule>
    <cfRule type="containsText" priority="16174" operator="containsText" dxfId="7" text="CARDIO">
      <formula>NOT(ISERROR(SEARCH(("CARDIO"),(AZ54))))</formula>
    </cfRule>
    <cfRule type="containsText" priority="16175" operator="containsText" dxfId="7" text="ID">
      <formula>NOT(ISERROR(SEARCH(("ID"),(AZ54))))</formula>
    </cfRule>
    <cfRule type="containsText" priority="16176" operator="containsText" dxfId="7" text="NEURO">
      <formula>NOT(ISERROR(SEARCH(("NEURO"),(AZ54))))</formula>
    </cfRule>
    <cfRule type="containsText" priority="16177" operator="containsText" dxfId="6" text="NEURO">
      <formula>NOT(ISERROR(SEARCH(("NEURO"),(AZ54))))</formula>
    </cfRule>
    <cfRule type="containsText" priority="16178" operator="containsText" dxfId="5" text="NEURO">
      <formula>NOT(ISERROR(SEARCH(("NEURO"),(AZ54))))</formula>
    </cfRule>
    <cfRule type="containsText" priority="16179" operator="containsText" dxfId="0" text="ICU N">
      <formula>NOT(ISERROR(SEARCH(("ICU N"),(AZ54))))</formula>
    </cfRule>
    <cfRule type="containsText" priority="16180" operator="containsText" dxfId="3" text="ICU">
      <formula>NOT(ISERROR(SEARCH(("ICU"),(AZ54))))</formula>
    </cfRule>
    <cfRule type="containsText" priority="16181" operator="containsText" dxfId="0" text="SWING">
      <formula>NOT(ISERROR(SEARCH(("SWING"),(AZ54))))</formula>
    </cfRule>
    <cfRule type="containsText" priority="16182" operator="containsText" dxfId="0" text="NF">
      <formula>NOT(ISERROR(SEARCH(("NF"),(AZ54))))</formula>
    </cfRule>
    <cfRule type="containsText" priority="16151" operator="containsText" dxfId="7" text="PATH">
      <formula>NOT(ISERROR(SEARCH(("PATH"),(AZ54))))</formula>
    </cfRule>
    <cfRule type="containsText" priority="16152" operator="containsText" dxfId="7" text="NEPHRO">
      <formula>NOT(ISERROR(SEARCH(("NEPHRO"),(AZ54))))</formula>
    </cfRule>
    <cfRule type="containsText" priority="16153" operator="containsText" dxfId="7" text="PULM">
      <formula>NOT(ISERROR(SEARCH(("PULM"),(AZ54))))</formula>
    </cfRule>
    <cfRule type="containsText" priority="16154" operator="containsText" dxfId="7" text="RADIOLOGY">
      <formula>NOT(ISERROR(SEARCH(("RADIOLOGY"),(AZ54))))</formula>
    </cfRule>
    <cfRule type="containsText" priority="16155" operator="containsText" dxfId="7" text="HEM/ONC">
      <formula>NOT(ISERROR(SEARCH(("HEM/ONC"),(AZ54))))</formula>
    </cfRule>
    <cfRule type="containsText" priority="16156" operator="containsText" dxfId="7" text="CARDIO">
      <formula>NOT(ISERROR(SEARCH(("CARDIO"),(AZ54))))</formula>
    </cfRule>
    <cfRule type="containsText" priority="16157" operator="containsText" dxfId="7" text="ID">
      <formula>NOT(ISERROR(SEARCH(("ID"),(AZ54))))</formula>
    </cfRule>
    <cfRule type="containsText" priority="16158" operator="containsText" dxfId="7" text="NEURO">
      <formula>NOT(ISERROR(SEARCH(("NEURO"),(AZ54))))</formula>
    </cfRule>
    <cfRule type="containsText" priority="16159" operator="containsText" dxfId="6" text="NEURO">
      <formula>NOT(ISERROR(SEARCH(("NEURO"),(AZ54))))</formula>
    </cfRule>
    <cfRule type="containsText" priority="16160" operator="containsText" dxfId="5" text="NEURO">
      <formula>NOT(ISERROR(SEARCH(("NEURO"),(AZ54))))</formula>
    </cfRule>
    <cfRule type="containsText" priority="16161" operator="containsText" dxfId="0" text="ICU N">
      <formula>NOT(ISERROR(SEARCH(("ICU N"),(AZ54))))</formula>
    </cfRule>
    <cfRule type="containsText" priority="16162" operator="containsText" dxfId="3" text="ICU">
      <formula>NOT(ISERROR(SEARCH(("ICU"),(AZ54))))</formula>
    </cfRule>
    <cfRule type="containsText" priority="16163" operator="containsText" dxfId="0" text="SWING">
      <formula>NOT(ISERROR(SEARCH(("SWING"),(AZ54))))</formula>
    </cfRule>
    <cfRule type="containsText" priority="16164" operator="containsText" dxfId="0" text="NF">
      <formula>NOT(ISERROR(SEARCH(("NF"),(AZ54))))</formula>
    </cfRule>
    <cfRule type="containsText" priority="16165" operator="containsText" dxfId="0" text="ICU N">
      <formula>NOT(ISERROR(SEARCH(("ICU N"),(AZ54))))</formula>
    </cfRule>
  </conditionalFormatting>
  <conditionalFormatting sqref="AZ55">
    <cfRule type="containsText" priority="16133" operator="containsText" dxfId="16" text="ED">
      <formula>NOT(ISERROR(SEARCH(("ED"),(AZ55))))</formula>
    </cfRule>
    <cfRule type="containsText" priority="16134" operator="containsText" dxfId="15" text="GERIATRIC">
      <formula>NOT(ISERROR(SEARCH(("GERIATRIC"),(AZ55))))</formula>
    </cfRule>
    <cfRule type="containsText" priority="16135" operator="containsText" dxfId="17" text="VACATION">
      <formula>NOT(ISERROR(SEARCH(("VACATION"),(AZ55))))</formula>
    </cfRule>
    <cfRule type="containsText" priority="16136" operator="containsText" dxfId="7" text="PATH">
      <formula>NOT(ISERROR(SEARCH(("PATH"),(AZ55))))</formula>
    </cfRule>
    <cfRule type="containsText" priority="16137" operator="containsText" dxfId="7" text="NEPHRO">
      <formula>NOT(ISERROR(SEARCH(("NEPHRO"),(AZ55))))</formula>
    </cfRule>
    <cfRule type="containsText" priority="16138" operator="containsText" dxfId="7" text="PULM">
      <formula>NOT(ISERROR(SEARCH(("PULM"),(AZ55))))</formula>
    </cfRule>
    <cfRule type="containsText" priority="16139" operator="containsText" dxfId="7" text="RADIOLOGY">
      <formula>NOT(ISERROR(SEARCH(("RADIOLOGY"),(AZ55))))</formula>
    </cfRule>
    <cfRule type="containsText" priority="16140" operator="containsText" dxfId="7" text="HEM/ONC">
      <formula>NOT(ISERROR(SEARCH(("HEM/ONC"),(AZ55))))</formula>
    </cfRule>
    <cfRule type="containsText" priority="16141" operator="containsText" dxfId="7" text="CARDIO">
      <formula>NOT(ISERROR(SEARCH(("CARDIO"),(AZ55))))</formula>
    </cfRule>
    <cfRule type="containsText" priority="16142" operator="containsText" dxfId="7" text="ID">
      <formula>NOT(ISERROR(SEARCH(("ID"),(AZ55))))</formula>
    </cfRule>
    <cfRule type="containsText" priority="16143" operator="containsText" dxfId="7" text="NEURO">
      <formula>NOT(ISERROR(SEARCH(("NEURO"),(AZ55))))</formula>
    </cfRule>
    <cfRule type="containsText" priority="16144" operator="containsText" dxfId="6" text="NEURO">
      <formula>NOT(ISERROR(SEARCH(("NEURO"),(AZ55))))</formula>
    </cfRule>
    <cfRule type="containsText" priority="16145" operator="containsText" dxfId="5" text="NEURO">
      <formula>NOT(ISERROR(SEARCH(("NEURO"),(AZ55))))</formula>
    </cfRule>
    <cfRule type="containsText" priority="16146" operator="containsText" dxfId="0" text="ICU N">
      <formula>NOT(ISERROR(SEARCH(("ICU N"),(AZ55))))</formula>
    </cfRule>
    <cfRule type="containsText" priority="16147" operator="containsText" dxfId="3" text="ICU">
      <formula>NOT(ISERROR(SEARCH(("ICU"),(AZ55))))</formula>
    </cfRule>
    <cfRule type="containsText" priority="16148" operator="containsText" dxfId="0" text="SWING">
      <formula>NOT(ISERROR(SEARCH(("SWING"),(AZ55))))</formula>
    </cfRule>
    <cfRule type="containsText" priority="16149" operator="containsText" dxfId="0" text="NF">
      <formula>NOT(ISERROR(SEARCH(("NF"),(AZ55))))</formula>
    </cfRule>
    <cfRule type="containsText" priority="16150" operator="containsText" dxfId="0" text="ICU N">
      <formula>NOT(ISERROR(SEARCH(("ICU N"),(AZ55))))</formula>
    </cfRule>
    <cfRule type="containsText" priority="16116" operator="containsText" dxfId="17" text="VACATION">
      <formula>NOT(ISERROR(SEARCH(("VACATION"),(AZ55))))</formula>
    </cfRule>
    <cfRule type="containsText" priority="16117" operator="containsText" dxfId="16" text="ED">
      <formula>NOT(ISERROR(SEARCH(("ED"),(AZ55))))</formula>
    </cfRule>
    <cfRule type="containsText" priority="16118" operator="containsText" dxfId="15" text="GERIATRIC">
      <formula>NOT(ISERROR(SEARCH(("GERIATRIC"),(AZ55))))</formula>
    </cfRule>
    <cfRule type="containsText" priority="16119" operator="containsText" dxfId="7" text="PATH">
      <formula>NOT(ISERROR(SEARCH(("PATH"),(AZ55))))</formula>
    </cfRule>
    <cfRule type="containsText" priority="16120" operator="containsText" dxfId="7" text="NEPHRO">
      <formula>NOT(ISERROR(SEARCH(("NEPHRO"),(AZ55))))</formula>
    </cfRule>
    <cfRule type="containsText" priority="16121" operator="containsText" dxfId="7" text="PULM">
      <formula>NOT(ISERROR(SEARCH(("PULM"),(AZ55))))</formula>
    </cfRule>
    <cfRule type="containsText" priority="16122" operator="containsText" dxfId="7" text="RADIOLOGY">
      <formula>NOT(ISERROR(SEARCH(("RADIOLOGY"),(AZ55))))</formula>
    </cfRule>
    <cfRule type="containsText" priority="16123" operator="containsText" dxfId="7" text="HEM/ONC">
      <formula>NOT(ISERROR(SEARCH(("HEM/ONC"),(AZ55))))</formula>
    </cfRule>
    <cfRule type="containsText" priority="16124" operator="containsText" dxfId="7" text="CARDIO">
      <formula>NOT(ISERROR(SEARCH(("CARDIO"),(AZ55))))</formula>
    </cfRule>
    <cfRule type="containsText" priority="16125" operator="containsText" dxfId="7" text="ID">
      <formula>NOT(ISERROR(SEARCH(("ID"),(AZ55))))</formula>
    </cfRule>
    <cfRule type="containsText" priority="16126" operator="containsText" dxfId="7" text="NEURO">
      <formula>NOT(ISERROR(SEARCH(("NEURO"),(AZ55))))</formula>
    </cfRule>
    <cfRule type="containsText" priority="16127" operator="containsText" dxfId="6" text="NEURO">
      <formula>NOT(ISERROR(SEARCH(("NEURO"),(AZ55))))</formula>
    </cfRule>
    <cfRule type="containsText" priority="16128" operator="containsText" dxfId="5" text="NEURO">
      <formula>NOT(ISERROR(SEARCH(("NEURO"),(AZ55))))</formula>
    </cfRule>
    <cfRule type="containsText" priority="16129" operator="containsText" dxfId="0" text="ICU N">
      <formula>NOT(ISERROR(SEARCH(("ICU N"),(AZ55))))</formula>
    </cfRule>
    <cfRule type="containsText" priority="16130" operator="containsText" dxfId="3" text="ICU">
      <formula>NOT(ISERROR(SEARCH(("ICU"),(AZ55))))</formula>
    </cfRule>
    <cfRule type="containsText" priority="16131" operator="containsText" dxfId="0" text="SWING">
      <formula>NOT(ISERROR(SEARCH(("SWING"),(AZ55))))</formula>
    </cfRule>
    <cfRule type="containsText" priority="16132" operator="containsText" dxfId="0" text="NF">
      <formula>NOT(ISERROR(SEARCH(("NF"),(AZ55))))</formula>
    </cfRule>
    <cfRule type="containsText" priority="16101" operator="containsText" dxfId="7" text="PATH">
      <formula>NOT(ISERROR(SEARCH(("PATH"),(AZ55))))</formula>
    </cfRule>
    <cfRule type="containsText" priority="16102" operator="containsText" dxfId="7" text="NEPHRO">
      <formula>NOT(ISERROR(SEARCH(("NEPHRO"),(AZ55))))</formula>
    </cfRule>
    <cfRule type="containsText" priority="16103" operator="containsText" dxfId="7" text="PULM">
      <formula>NOT(ISERROR(SEARCH(("PULM"),(AZ55))))</formula>
    </cfRule>
    <cfRule type="containsText" priority="16104" operator="containsText" dxfId="7" text="RADIOLOGY">
      <formula>NOT(ISERROR(SEARCH(("RADIOLOGY"),(AZ55))))</formula>
    </cfRule>
    <cfRule type="containsText" priority="16105" operator="containsText" dxfId="7" text="HEM/ONC">
      <formula>NOT(ISERROR(SEARCH(("HEM/ONC"),(AZ55))))</formula>
    </cfRule>
    <cfRule type="containsText" priority="16106" operator="containsText" dxfId="7" text="CARDIO">
      <formula>NOT(ISERROR(SEARCH(("CARDIO"),(AZ55))))</formula>
    </cfRule>
    <cfRule type="containsText" priority="16107" operator="containsText" dxfId="7" text="ID">
      <formula>NOT(ISERROR(SEARCH(("ID"),(AZ55))))</formula>
    </cfRule>
    <cfRule type="containsText" priority="16108" operator="containsText" dxfId="7" text="NEURO">
      <formula>NOT(ISERROR(SEARCH(("NEURO"),(AZ55))))</formula>
    </cfRule>
    <cfRule type="containsText" priority="16109" operator="containsText" dxfId="6" text="NEURO">
      <formula>NOT(ISERROR(SEARCH(("NEURO"),(AZ55))))</formula>
    </cfRule>
    <cfRule type="containsText" priority="16110" operator="containsText" dxfId="5" text="NEURO">
      <formula>NOT(ISERROR(SEARCH(("NEURO"),(AZ55))))</formula>
    </cfRule>
    <cfRule type="containsText" priority="16111" operator="containsText" dxfId="0" text="ICU N">
      <formula>NOT(ISERROR(SEARCH(("ICU N"),(AZ55))))</formula>
    </cfRule>
    <cfRule type="containsText" priority="16112" operator="containsText" dxfId="3" text="ICU">
      <formula>NOT(ISERROR(SEARCH(("ICU"),(AZ55))))</formula>
    </cfRule>
    <cfRule type="containsText" priority="16113" operator="containsText" dxfId="0" text="SWING">
      <formula>NOT(ISERROR(SEARCH(("SWING"),(AZ55))))</formula>
    </cfRule>
    <cfRule type="containsText" priority="16114" operator="containsText" dxfId="0" text="NF">
      <formula>NOT(ISERROR(SEARCH(("NF"),(AZ55))))</formula>
    </cfRule>
    <cfRule type="containsText" priority="16115" operator="containsText" dxfId="0" text="ICU N">
      <formula>NOT(ISERROR(SEARCH(("ICU N"),(AZ55))))</formula>
    </cfRule>
  </conditionalFormatting>
  <conditionalFormatting sqref="BA55">
    <cfRule type="containsText" priority="16083" operator="containsText" dxfId="16" text="ED">
      <formula>NOT(ISERROR(SEARCH(("ED"),(BA55))))</formula>
    </cfRule>
    <cfRule type="containsText" priority="16084" operator="containsText" dxfId="15" text="GERIATRIC">
      <formula>NOT(ISERROR(SEARCH(("GERIATRIC"),(BA55))))</formula>
    </cfRule>
    <cfRule type="containsText" priority="16085" operator="containsText" dxfId="17" text="VACATION">
      <formula>NOT(ISERROR(SEARCH(("VACATION"),(BA55))))</formula>
    </cfRule>
    <cfRule type="containsText" priority="16086" operator="containsText" dxfId="7" text="PATH">
      <formula>NOT(ISERROR(SEARCH(("PATH"),(BA55))))</formula>
    </cfRule>
    <cfRule type="containsText" priority="16087" operator="containsText" dxfId="7" text="NEPHRO">
      <formula>NOT(ISERROR(SEARCH(("NEPHRO"),(BA55))))</formula>
    </cfRule>
    <cfRule type="containsText" priority="16088" operator="containsText" dxfId="7" text="PULM">
      <formula>NOT(ISERROR(SEARCH(("PULM"),(BA55))))</formula>
    </cfRule>
    <cfRule type="containsText" priority="16089" operator="containsText" dxfId="7" text="RADIOLOGY">
      <formula>NOT(ISERROR(SEARCH(("RADIOLOGY"),(BA55))))</formula>
    </cfRule>
    <cfRule type="containsText" priority="16090" operator="containsText" dxfId="7" text="HEM/ONC">
      <formula>NOT(ISERROR(SEARCH(("HEM/ONC"),(BA55))))</formula>
    </cfRule>
    <cfRule type="containsText" priority="16091" operator="containsText" dxfId="7" text="CARDIO">
      <formula>NOT(ISERROR(SEARCH(("CARDIO"),(BA55))))</formula>
    </cfRule>
    <cfRule type="containsText" priority="16092" operator="containsText" dxfId="7" text="ID">
      <formula>NOT(ISERROR(SEARCH(("ID"),(BA55))))</formula>
    </cfRule>
    <cfRule type="containsText" priority="16093" operator="containsText" dxfId="7" text="NEURO">
      <formula>NOT(ISERROR(SEARCH(("NEURO"),(BA55))))</formula>
    </cfRule>
    <cfRule type="containsText" priority="16094" operator="containsText" dxfId="6" text="NEURO">
      <formula>NOT(ISERROR(SEARCH(("NEURO"),(BA55))))</formula>
    </cfRule>
    <cfRule type="containsText" priority="16095" operator="containsText" dxfId="5" text="NEURO">
      <formula>NOT(ISERROR(SEARCH(("NEURO"),(BA55))))</formula>
    </cfRule>
    <cfRule type="containsText" priority="16096" operator="containsText" dxfId="0" text="ICU N">
      <formula>NOT(ISERROR(SEARCH(("ICU N"),(BA55))))</formula>
    </cfRule>
    <cfRule type="containsText" priority="16097" operator="containsText" dxfId="3" text="ICU">
      <formula>NOT(ISERROR(SEARCH(("ICU"),(BA55))))</formula>
    </cfRule>
    <cfRule type="containsText" priority="16098" operator="containsText" dxfId="0" text="SWING">
      <formula>NOT(ISERROR(SEARCH(("SWING"),(BA55))))</formula>
    </cfRule>
    <cfRule type="containsText" priority="16099" operator="containsText" dxfId="0" text="NF">
      <formula>NOT(ISERROR(SEARCH(("NF"),(BA55))))</formula>
    </cfRule>
    <cfRule type="containsText" priority="16100" operator="containsText" dxfId="0" text="ICU N">
      <formula>NOT(ISERROR(SEARCH(("ICU N"),(BA55))))</formula>
    </cfRule>
    <cfRule type="containsText" priority="16066" operator="containsText" dxfId="17" text="VACATION">
      <formula>NOT(ISERROR(SEARCH(("VACATION"),(BA55))))</formula>
    </cfRule>
    <cfRule type="containsText" priority="16067" operator="containsText" dxfId="16" text="ED">
      <formula>NOT(ISERROR(SEARCH(("ED"),(BA55))))</formula>
    </cfRule>
    <cfRule type="containsText" priority="16068" operator="containsText" dxfId="15" text="GERIATRIC">
      <formula>NOT(ISERROR(SEARCH(("GERIATRIC"),(BA55))))</formula>
    </cfRule>
    <cfRule type="containsText" priority="16069" operator="containsText" dxfId="7" text="PATH">
      <formula>NOT(ISERROR(SEARCH(("PATH"),(BA55))))</formula>
    </cfRule>
    <cfRule type="containsText" priority="16070" operator="containsText" dxfId="7" text="NEPHRO">
      <formula>NOT(ISERROR(SEARCH(("NEPHRO"),(BA55))))</formula>
    </cfRule>
    <cfRule type="containsText" priority="16071" operator="containsText" dxfId="7" text="PULM">
      <formula>NOT(ISERROR(SEARCH(("PULM"),(BA55))))</formula>
    </cfRule>
    <cfRule type="containsText" priority="16072" operator="containsText" dxfId="7" text="RADIOLOGY">
      <formula>NOT(ISERROR(SEARCH(("RADIOLOGY"),(BA55))))</formula>
    </cfRule>
    <cfRule type="containsText" priority="16073" operator="containsText" dxfId="7" text="HEM/ONC">
      <formula>NOT(ISERROR(SEARCH(("HEM/ONC"),(BA55))))</formula>
    </cfRule>
    <cfRule type="containsText" priority="16074" operator="containsText" dxfId="7" text="CARDIO">
      <formula>NOT(ISERROR(SEARCH(("CARDIO"),(BA55))))</formula>
    </cfRule>
    <cfRule type="containsText" priority="16075" operator="containsText" dxfId="7" text="ID">
      <formula>NOT(ISERROR(SEARCH(("ID"),(BA55))))</formula>
    </cfRule>
    <cfRule type="containsText" priority="16076" operator="containsText" dxfId="7" text="NEURO">
      <formula>NOT(ISERROR(SEARCH(("NEURO"),(BA55))))</formula>
    </cfRule>
    <cfRule type="containsText" priority="16077" operator="containsText" dxfId="6" text="NEURO">
      <formula>NOT(ISERROR(SEARCH(("NEURO"),(BA55))))</formula>
    </cfRule>
    <cfRule type="containsText" priority="16078" operator="containsText" dxfId="5" text="NEURO">
      <formula>NOT(ISERROR(SEARCH(("NEURO"),(BA55))))</formula>
    </cfRule>
    <cfRule type="containsText" priority="16079" operator="containsText" dxfId="0" text="ICU N">
      <formula>NOT(ISERROR(SEARCH(("ICU N"),(BA55))))</formula>
    </cfRule>
    <cfRule type="containsText" priority="16080" operator="containsText" dxfId="3" text="ICU">
      <formula>NOT(ISERROR(SEARCH(("ICU"),(BA55))))</formula>
    </cfRule>
    <cfRule type="containsText" priority="16081" operator="containsText" dxfId="0" text="SWING">
      <formula>NOT(ISERROR(SEARCH(("SWING"),(BA55))))</formula>
    </cfRule>
    <cfRule type="containsText" priority="16082" operator="containsText" dxfId="0" text="NF">
      <formula>NOT(ISERROR(SEARCH(("NF"),(BA55))))</formula>
    </cfRule>
    <cfRule type="containsText" priority="16051" operator="containsText" dxfId="7" text="PATH">
      <formula>NOT(ISERROR(SEARCH(("PATH"),(BA55))))</formula>
    </cfRule>
    <cfRule type="containsText" priority="16052" operator="containsText" dxfId="7" text="NEPHRO">
      <formula>NOT(ISERROR(SEARCH(("NEPHRO"),(BA55))))</formula>
    </cfRule>
    <cfRule type="containsText" priority="16053" operator="containsText" dxfId="7" text="PULM">
      <formula>NOT(ISERROR(SEARCH(("PULM"),(BA55))))</formula>
    </cfRule>
    <cfRule type="containsText" priority="16054" operator="containsText" dxfId="7" text="RADIOLOGY">
      <formula>NOT(ISERROR(SEARCH(("RADIOLOGY"),(BA55))))</formula>
    </cfRule>
    <cfRule type="containsText" priority="16055" operator="containsText" dxfId="7" text="HEM/ONC">
      <formula>NOT(ISERROR(SEARCH(("HEM/ONC"),(BA55))))</formula>
    </cfRule>
    <cfRule type="containsText" priority="16056" operator="containsText" dxfId="7" text="CARDIO">
      <formula>NOT(ISERROR(SEARCH(("CARDIO"),(BA55))))</formula>
    </cfRule>
    <cfRule type="containsText" priority="16057" operator="containsText" dxfId="7" text="ID">
      <formula>NOT(ISERROR(SEARCH(("ID"),(BA55))))</formula>
    </cfRule>
    <cfRule type="containsText" priority="16058" operator="containsText" dxfId="7" text="NEURO">
      <formula>NOT(ISERROR(SEARCH(("NEURO"),(BA55))))</formula>
    </cfRule>
    <cfRule type="containsText" priority="16059" operator="containsText" dxfId="6" text="NEURO">
      <formula>NOT(ISERROR(SEARCH(("NEURO"),(BA55))))</formula>
    </cfRule>
    <cfRule type="containsText" priority="16060" operator="containsText" dxfId="5" text="NEURO">
      <formula>NOT(ISERROR(SEARCH(("NEURO"),(BA55))))</formula>
    </cfRule>
    <cfRule type="containsText" priority="16061" operator="containsText" dxfId="0" text="ICU N">
      <formula>NOT(ISERROR(SEARCH(("ICU N"),(BA55))))</formula>
    </cfRule>
    <cfRule type="containsText" priority="16062" operator="containsText" dxfId="3" text="ICU">
      <formula>NOT(ISERROR(SEARCH(("ICU"),(BA55))))</formula>
    </cfRule>
    <cfRule type="containsText" priority="16063" operator="containsText" dxfId="0" text="SWING">
      <formula>NOT(ISERROR(SEARCH(("SWING"),(BA55))))</formula>
    </cfRule>
    <cfRule type="containsText" priority="16064" operator="containsText" dxfId="0" text="NF">
      <formula>NOT(ISERROR(SEARCH(("NF"),(BA55))))</formula>
    </cfRule>
    <cfRule type="containsText" priority="16065" operator="containsText" dxfId="0" text="ICU N">
      <formula>NOT(ISERROR(SEARCH(("ICU N"),(BA55))))</formula>
    </cfRule>
  </conditionalFormatting>
  <conditionalFormatting sqref="BA54">
    <cfRule type="containsText" priority="16033" operator="containsText" dxfId="16" text="ED">
      <formula>NOT(ISERROR(SEARCH(("ED"),(BA54))))</formula>
    </cfRule>
    <cfRule type="containsText" priority="16034" operator="containsText" dxfId="15" text="GERIATRIC">
      <formula>NOT(ISERROR(SEARCH(("GERIATRIC"),(BA54))))</formula>
    </cfRule>
    <cfRule type="containsText" priority="16035" operator="containsText" dxfId="17" text="VACATION">
      <formula>NOT(ISERROR(SEARCH(("VACATION"),(BA54))))</formula>
    </cfRule>
    <cfRule type="containsText" priority="16036" operator="containsText" dxfId="7" text="PATH">
      <formula>NOT(ISERROR(SEARCH(("PATH"),(BA54))))</formula>
    </cfRule>
    <cfRule type="containsText" priority="16037" operator="containsText" dxfId="7" text="NEPHRO">
      <formula>NOT(ISERROR(SEARCH(("NEPHRO"),(BA54))))</formula>
    </cfRule>
    <cfRule type="containsText" priority="16038" operator="containsText" dxfId="7" text="PULM">
      <formula>NOT(ISERROR(SEARCH(("PULM"),(BA54))))</formula>
    </cfRule>
    <cfRule type="containsText" priority="16039" operator="containsText" dxfId="7" text="RADIOLOGY">
      <formula>NOT(ISERROR(SEARCH(("RADIOLOGY"),(BA54))))</formula>
    </cfRule>
    <cfRule type="containsText" priority="16040" operator="containsText" dxfId="7" text="HEM/ONC">
      <formula>NOT(ISERROR(SEARCH(("HEM/ONC"),(BA54))))</formula>
    </cfRule>
    <cfRule type="containsText" priority="16041" operator="containsText" dxfId="7" text="CARDIO">
      <formula>NOT(ISERROR(SEARCH(("CARDIO"),(BA54))))</formula>
    </cfRule>
    <cfRule type="containsText" priority="16042" operator="containsText" dxfId="7" text="ID">
      <formula>NOT(ISERROR(SEARCH(("ID"),(BA54))))</formula>
    </cfRule>
    <cfRule type="containsText" priority="16043" operator="containsText" dxfId="7" text="NEURO">
      <formula>NOT(ISERROR(SEARCH(("NEURO"),(BA54))))</formula>
    </cfRule>
    <cfRule type="containsText" priority="16044" operator="containsText" dxfId="6" text="NEURO">
      <formula>NOT(ISERROR(SEARCH(("NEURO"),(BA54))))</formula>
    </cfRule>
    <cfRule type="containsText" priority="16045" operator="containsText" dxfId="5" text="NEURO">
      <formula>NOT(ISERROR(SEARCH(("NEURO"),(BA54))))</formula>
    </cfRule>
    <cfRule type="containsText" priority="16046" operator="containsText" dxfId="0" text="ICU N">
      <formula>NOT(ISERROR(SEARCH(("ICU N"),(BA54))))</formula>
    </cfRule>
    <cfRule type="containsText" priority="16047" operator="containsText" dxfId="3" text="ICU">
      <formula>NOT(ISERROR(SEARCH(("ICU"),(BA54))))</formula>
    </cfRule>
    <cfRule type="containsText" priority="16048" operator="containsText" dxfId="0" text="SWING">
      <formula>NOT(ISERROR(SEARCH(("SWING"),(BA54))))</formula>
    </cfRule>
    <cfRule type="containsText" priority="16049" operator="containsText" dxfId="0" text="NF">
      <formula>NOT(ISERROR(SEARCH(("NF"),(BA54))))</formula>
    </cfRule>
    <cfRule type="containsText" priority="16050" operator="containsText" dxfId="0" text="ICU N">
      <formula>NOT(ISERROR(SEARCH(("ICU N"),(BA54))))</formula>
    </cfRule>
    <cfRule type="containsText" priority="16016" operator="containsText" dxfId="17" text="VACATION">
      <formula>NOT(ISERROR(SEARCH(("VACATION"),(BA54))))</formula>
    </cfRule>
    <cfRule type="containsText" priority="16017" operator="containsText" dxfId="16" text="ED">
      <formula>NOT(ISERROR(SEARCH(("ED"),(BA54))))</formula>
    </cfRule>
    <cfRule type="containsText" priority="16018" operator="containsText" dxfId="15" text="GERIATRIC">
      <formula>NOT(ISERROR(SEARCH(("GERIATRIC"),(BA54))))</formula>
    </cfRule>
    <cfRule type="containsText" priority="16019" operator="containsText" dxfId="7" text="PATH">
      <formula>NOT(ISERROR(SEARCH(("PATH"),(BA54))))</formula>
    </cfRule>
    <cfRule type="containsText" priority="16020" operator="containsText" dxfId="7" text="NEPHRO">
      <formula>NOT(ISERROR(SEARCH(("NEPHRO"),(BA54))))</formula>
    </cfRule>
    <cfRule type="containsText" priority="16021" operator="containsText" dxfId="7" text="PULM">
      <formula>NOT(ISERROR(SEARCH(("PULM"),(BA54))))</formula>
    </cfRule>
    <cfRule type="containsText" priority="16022" operator="containsText" dxfId="7" text="RADIOLOGY">
      <formula>NOT(ISERROR(SEARCH(("RADIOLOGY"),(BA54))))</formula>
    </cfRule>
    <cfRule type="containsText" priority="16023" operator="containsText" dxfId="7" text="HEM/ONC">
      <formula>NOT(ISERROR(SEARCH(("HEM/ONC"),(BA54))))</formula>
    </cfRule>
    <cfRule type="containsText" priority="16024" operator="containsText" dxfId="7" text="CARDIO">
      <formula>NOT(ISERROR(SEARCH(("CARDIO"),(BA54))))</formula>
    </cfRule>
    <cfRule type="containsText" priority="16025" operator="containsText" dxfId="7" text="ID">
      <formula>NOT(ISERROR(SEARCH(("ID"),(BA54))))</formula>
    </cfRule>
    <cfRule type="containsText" priority="16026" operator="containsText" dxfId="7" text="NEURO">
      <formula>NOT(ISERROR(SEARCH(("NEURO"),(BA54))))</formula>
    </cfRule>
    <cfRule type="containsText" priority="16027" operator="containsText" dxfId="6" text="NEURO">
      <formula>NOT(ISERROR(SEARCH(("NEURO"),(BA54))))</formula>
    </cfRule>
    <cfRule type="containsText" priority="16028" operator="containsText" dxfId="5" text="NEURO">
      <formula>NOT(ISERROR(SEARCH(("NEURO"),(BA54))))</formula>
    </cfRule>
    <cfRule type="containsText" priority="16029" operator="containsText" dxfId="0" text="ICU N">
      <formula>NOT(ISERROR(SEARCH(("ICU N"),(BA54))))</formula>
    </cfRule>
    <cfRule type="containsText" priority="16030" operator="containsText" dxfId="3" text="ICU">
      <formula>NOT(ISERROR(SEARCH(("ICU"),(BA54))))</formula>
    </cfRule>
    <cfRule type="containsText" priority="16031" operator="containsText" dxfId="0" text="SWING">
      <formula>NOT(ISERROR(SEARCH(("SWING"),(BA54))))</formula>
    </cfRule>
    <cfRule type="containsText" priority="16032" operator="containsText" dxfId="0" text="NF">
      <formula>NOT(ISERROR(SEARCH(("NF"),(BA54))))</formula>
    </cfRule>
    <cfRule type="containsText" priority="16001" operator="containsText" dxfId="7" text="PATH">
      <formula>NOT(ISERROR(SEARCH(("PATH"),(BA54))))</formula>
    </cfRule>
    <cfRule type="containsText" priority="16002" operator="containsText" dxfId="7" text="NEPHRO">
      <formula>NOT(ISERROR(SEARCH(("NEPHRO"),(BA54))))</formula>
    </cfRule>
    <cfRule type="containsText" priority="16003" operator="containsText" dxfId="7" text="PULM">
      <formula>NOT(ISERROR(SEARCH(("PULM"),(BA54))))</formula>
    </cfRule>
    <cfRule type="containsText" priority="16004" operator="containsText" dxfId="7" text="RADIOLOGY">
      <formula>NOT(ISERROR(SEARCH(("RADIOLOGY"),(BA54))))</formula>
    </cfRule>
    <cfRule type="containsText" priority="16005" operator="containsText" dxfId="7" text="HEM/ONC">
      <formula>NOT(ISERROR(SEARCH(("HEM/ONC"),(BA54))))</formula>
    </cfRule>
    <cfRule type="containsText" priority="16006" operator="containsText" dxfId="7" text="CARDIO">
      <formula>NOT(ISERROR(SEARCH(("CARDIO"),(BA54))))</formula>
    </cfRule>
    <cfRule type="containsText" priority="16007" operator="containsText" dxfId="7" text="ID">
      <formula>NOT(ISERROR(SEARCH(("ID"),(BA54))))</formula>
    </cfRule>
    <cfRule type="containsText" priority="16008" operator="containsText" dxfId="7" text="NEURO">
      <formula>NOT(ISERROR(SEARCH(("NEURO"),(BA54))))</formula>
    </cfRule>
    <cfRule type="containsText" priority="16009" operator="containsText" dxfId="6" text="NEURO">
      <formula>NOT(ISERROR(SEARCH(("NEURO"),(BA54))))</formula>
    </cfRule>
    <cfRule type="containsText" priority="16010" operator="containsText" dxfId="5" text="NEURO">
      <formula>NOT(ISERROR(SEARCH(("NEURO"),(BA54))))</formula>
    </cfRule>
    <cfRule type="containsText" priority="16011" operator="containsText" dxfId="0" text="ICU N">
      <formula>NOT(ISERROR(SEARCH(("ICU N"),(BA54))))</formula>
    </cfRule>
    <cfRule type="containsText" priority="16012" operator="containsText" dxfId="3" text="ICU">
      <formula>NOT(ISERROR(SEARCH(("ICU"),(BA54))))</formula>
    </cfRule>
    <cfRule type="containsText" priority="16013" operator="containsText" dxfId="0" text="SWING">
      <formula>NOT(ISERROR(SEARCH(("SWING"),(BA54))))</formula>
    </cfRule>
    <cfRule type="containsText" priority="16014" operator="containsText" dxfId="0" text="NF">
      <formula>NOT(ISERROR(SEARCH(("NF"),(BA54))))</formula>
    </cfRule>
    <cfRule type="containsText" priority="16015" operator="containsText" dxfId="0" text="ICU N">
      <formula>NOT(ISERROR(SEARCH(("ICU N"),(BA54))))</formula>
    </cfRule>
  </conditionalFormatting>
  <conditionalFormatting sqref="BB54">
    <cfRule type="containsText" priority="15983" operator="containsText" dxfId="16" text="ED">
      <formula>NOT(ISERROR(SEARCH(("ED"),(BB54))))</formula>
    </cfRule>
    <cfRule type="containsText" priority="15984" operator="containsText" dxfId="15" text="GERIATRIC">
      <formula>NOT(ISERROR(SEARCH(("GERIATRIC"),(BB54))))</formula>
    </cfRule>
    <cfRule type="containsText" priority="15985" operator="containsText" dxfId="17" text="VACATION">
      <formula>NOT(ISERROR(SEARCH(("VACATION"),(BB54))))</formula>
    </cfRule>
    <cfRule type="containsText" priority="15986" operator="containsText" dxfId="7" text="PATH">
      <formula>NOT(ISERROR(SEARCH(("PATH"),(BB54))))</formula>
    </cfRule>
    <cfRule type="containsText" priority="15987" operator="containsText" dxfId="7" text="NEPHRO">
      <formula>NOT(ISERROR(SEARCH(("NEPHRO"),(BB54))))</formula>
    </cfRule>
    <cfRule type="containsText" priority="15988" operator="containsText" dxfId="7" text="PULM">
      <formula>NOT(ISERROR(SEARCH(("PULM"),(BB54))))</formula>
    </cfRule>
    <cfRule type="containsText" priority="15989" operator="containsText" dxfId="7" text="RADIOLOGY">
      <formula>NOT(ISERROR(SEARCH(("RADIOLOGY"),(BB54))))</formula>
    </cfRule>
    <cfRule type="containsText" priority="15990" operator="containsText" dxfId="7" text="HEM/ONC">
      <formula>NOT(ISERROR(SEARCH(("HEM/ONC"),(BB54))))</formula>
    </cfRule>
    <cfRule type="containsText" priority="15991" operator="containsText" dxfId="7" text="CARDIO">
      <formula>NOT(ISERROR(SEARCH(("CARDIO"),(BB54))))</formula>
    </cfRule>
    <cfRule type="containsText" priority="15992" operator="containsText" dxfId="7" text="ID">
      <formula>NOT(ISERROR(SEARCH(("ID"),(BB54))))</formula>
    </cfRule>
    <cfRule type="containsText" priority="15993" operator="containsText" dxfId="7" text="NEURO">
      <formula>NOT(ISERROR(SEARCH(("NEURO"),(BB54))))</formula>
    </cfRule>
    <cfRule type="containsText" priority="15994" operator="containsText" dxfId="6" text="NEURO">
      <formula>NOT(ISERROR(SEARCH(("NEURO"),(BB54))))</formula>
    </cfRule>
    <cfRule type="containsText" priority="15995" operator="containsText" dxfId="5" text="NEURO">
      <formula>NOT(ISERROR(SEARCH(("NEURO"),(BB54))))</formula>
    </cfRule>
    <cfRule type="containsText" priority="15996" operator="containsText" dxfId="0" text="ICU N">
      <formula>NOT(ISERROR(SEARCH(("ICU N"),(BB54))))</formula>
    </cfRule>
    <cfRule type="containsText" priority="15997" operator="containsText" dxfId="3" text="ICU">
      <formula>NOT(ISERROR(SEARCH(("ICU"),(BB54))))</formula>
    </cfRule>
    <cfRule type="containsText" priority="15998" operator="containsText" dxfId="0" text="SWING">
      <formula>NOT(ISERROR(SEARCH(("SWING"),(BB54))))</formula>
    </cfRule>
    <cfRule type="containsText" priority="15999" operator="containsText" dxfId="0" text="NF">
      <formula>NOT(ISERROR(SEARCH(("NF"),(BB54))))</formula>
    </cfRule>
    <cfRule type="containsText" priority="16000" operator="containsText" dxfId="0" text="ICU N">
      <formula>NOT(ISERROR(SEARCH(("ICU N"),(BB54))))</formula>
    </cfRule>
    <cfRule type="containsText" priority="15966" operator="containsText" dxfId="17" text="VACATION">
      <formula>NOT(ISERROR(SEARCH(("VACATION"),(BB54))))</formula>
    </cfRule>
    <cfRule type="containsText" priority="15967" operator="containsText" dxfId="16" text="ED">
      <formula>NOT(ISERROR(SEARCH(("ED"),(BB54))))</formula>
    </cfRule>
    <cfRule type="containsText" priority="15968" operator="containsText" dxfId="15" text="GERIATRIC">
      <formula>NOT(ISERROR(SEARCH(("GERIATRIC"),(BB54))))</formula>
    </cfRule>
    <cfRule type="containsText" priority="15969" operator="containsText" dxfId="7" text="PATH">
      <formula>NOT(ISERROR(SEARCH(("PATH"),(BB54))))</formula>
    </cfRule>
    <cfRule type="containsText" priority="15970" operator="containsText" dxfId="7" text="NEPHRO">
      <formula>NOT(ISERROR(SEARCH(("NEPHRO"),(BB54))))</formula>
    </cfRule>
    <cfRule type="containsText" priority="15971" operator="containsText" dxfId="7" text="PULM">
      <formula>NOT(ISERROR(SEARCH(("PULM"),(BB54))))</formula>
    </cfRule>
    <cfRule type="containsText" priority="15972" operator="containsText" dxfId="7" text="RADIOLOGY">
      <formula>NOT(ISERROR(SEARCH(("RADIOLOGY"),(BB54))))</formula>
    </cfRule>
    <cfRule type="containsText" priority="15973" operator="containsText" dxfId="7" text="HEM/ONC">
      <formula>NOT(ISERROR(SEARCH(("HEM/ONC"),(BB54))))</formula>
    </cfRule>
    <cfRule type="containsText" priority="15974" operator="containsText" dxfId="7" text="CARDIO">
      <formula>NOT(ISERROR(SEARCH(("CARDIO"),(BB54))))</formula>
    </cfRule>
    <cfRule type="containsText" priority="15975" operator="containsText" dxfId="7" text="ID">
      <formula>NOT(ISERROR(SEARCH(("ID"),(BB54))))</formula>
    </cfRule>
    <cfRule type="containsText" priority="15976" operator="containsText" dxfId="7" text="NEURO">
      <formula>NOT(ISERROR(SEARCH(("NEURO"),(BB54))))</formula>
    </cfRule>
    <cfRule type="containsText" priority="15977" operator="containsText" dxfId="6" text="NEURO">
      <formula>NOT(ISERROR(SEARCH(("NEURO"),(BB54))))</formula>
    </cfRule>
    <cfRule type="containsText" priority="15978" operator="containsText" dxfId="5" text="NEURO">
      <formula>NOT(ISERROR(SEARCH(("NEURO"),(BB54))))</formula>
    </cfRule>
    <cfRule type="containsText" priority="15979" operator="containsText" dxfId="0" text="ICU N">
      <formula>NOT(ISERROR(SEARCH(("ICU N"),(BB54))))</formula>
    </cfRule>
    <cfRule type="containsText" priority="15980" operator="containsText" dxfId="3" text="ICU">
      <formula>NOT(ISERROR(SEARCH(("ICU"),(BB54))))</formula>
    </cfRule>
    <cfRule type="containsText" priority="15981" operator="containsText" dxfId="0" text="SWING">
      <formula>NOT(ISERROR(SEARCH(("SWING"),(BB54))))</formula>
    </cfRule>
    <cfRule type="containsText" priority="15982" operator="containsText" dxfId="0" text="NF">
      <formula>NOT(ISERROR(SEARCH(("NF"),(BB54))))</formula>
    </cfRule>
    <cfRule type="containsText" priority="15951" operator="containsText" dxfId="7" text="PATH">
      <formula>NOT(ISERROR(SEARCH(("PATH"),(BB54))))</formula>
    </cfRule>
    <cfRule type="containsText" priority="15952" operator="containsText" dxfId="7" text="NEPHRO">
      <formula>NOT(ISERROR(SEARCH(("NEPHRO"),(BB54))))</formula>
    </cfRule>
    <cfRule type="containsText" priority="15953" operator="containsText" dxfId="7" text="PULM">
      <formula>NOT(ISERROR(SEARCH(("PULM"),(BB54))))</formula>
    </cfRule>
    <cfRule type="containsText" priority="15954" operator="containsText" dxfId="7" text="RADIOLOGY">
      <formula>NOT(ISERROR(SEARCH(("RADIOLOGY"),(BB54))))</formula>
    </cfRule>
    <cfRule type="containsText" priority="15955" operator="containsText" dxfId="7" text="HEM/ONC">
      <formula>NOT(ISERROR(SEARCH(("HEM/ONC"),(BB54))))</formula>
    </cfRule>
    <cfRule type="containsText" priority="15956" operator="containsText" dxfId="7" text="CARDIO">
      <formula>NOT(ISERROR(SEARCH(("CARDIO"),(BB54))))</formula>
    </cfRule>
    <cfRule type="containsText" priority="15957" operator="containsText" dxfId="7" text="ID">
      <formula>NOT(ISERROR(SEARCH(("ID"),(BB54))))</formula>
    </cfRule>
    <cfRule type="containsText" priority="15958" operator="containsText" dxfId="7" text="NEURO">
      <formula>NOT(ISERROR(SEARCH(("NEURO"),(BB54))))</formula>
    </cfRule>
    <cfRule type="containsText" priority="15959" operator="containsText" dxfId="6" text="NEURO">
      <formula>NOT(ISERROR(SEARCH(("NEURO"),(BB54))))</formula>
    </cfRule>
    <cfRule type="containsText" priority="15960" operator="containsText" dxfId="5" text="NEURO">
      <formula>NOT(ISERROR(SEARCH(("NEURO"),(BB54))))</formula>
    </cfRule>
    <cfRule type="containsText" priority="15961" operator="containsText" dxfId="0" text="ICU N">
      <formula>NOT(ISERROR(SEARCH(("ICU N"),(BB54))))</formula>
    </cfRule>
    <cfRule type="containsText" priority="15962" operator="containsText" dxfId="3" text="ICU">
      <formula>NOT(ISERROR(SEARCH(("ICU"),(BB54))))</formula>
    </cfRule>
    <cfRule type="containsText" priority="15963" operator="containsText" dxfId="0" text="SWING">
      <formula>NOT(ISERROR(SEARCH(("SWING"),(BB54))))</formula>
    </cfRule>
    <cfRule type="containsText" priority="15964" operator="containsText" dxfId="0" text="NF">
      <formula>NOT(ISERROR(SEARCH(("NF"),(BB54))))</formula>
    </cfRule>
    <cfRule type="containsText" priority="15965" operator="containsText" dxfId="0" text="ICU N">
      <formula>NOT(ISERROR(SEARCH(("ICU N"),(BB54))))</formula>
    </cfRule>
  </conditionalFormatting>
  <conditionalFormatting sqref="BB55">
    <cfRule type="containsText" priority="15933" operator="containsText" dxfId="16" text="ED">
      <formula>NOT(ISERROR(SEARCH(("ED"),(BB55))))</formula>
    </cfRule>
    <cfRule type="containsText" priority="15934" operator="containsText" dxfId="15" text="GERIATRIC">
      <formula>NOT(ISERROR(SEARCH(("GERIATRIC"),(BB55))))</formula>
    </cfRule>
    <cfRule type="containsText" priority="15935" operator="containsText" dxfId="17" text="VACATION">
      <formula>NOT(ISERROR(SEARCH(("VACATION"),(BB55))))</formula>
    </cfRule>
    <cfRule type="containsText" priority="15936" operator="containsText" dxfId="7" text="PATH">
      <formula>NOT(ISERROR(SEARCH(("PATH"),(BB55))))</formula>
    </cfRule>
    <cfRule type="containsText" priority="15937" operator="containsText" dxfId="7" text="NEPHRO">
      <formula>NOT(ISERROR(SEARCH(("NEPHRO"),(BB55))))</formula>
    </cfRule>
    <cfRule type="containsText" priority="15938" operator="containsText" dxfId="7" text="PULM">
      <formula>NOT(ISERROR(SEARCH(("PULM"),(BB55))))</formula>
    </cfRule>
    <cfRule type="containsText" priority="15939" operator="containsText" dxfId="7" text="RADIOLOGY">
      <formula>NOT(ISERROR(SEARCH(("RADIOLOGY"),(BB55))))</formula>
    </cfRule>
    <cfRule type="containsText" priority="15940" operator="containsText" dxfId="7" text="HEM/ONC">
      <formula>NOT(ISERROR(SEARCH(("HEM/ONC"),(BB55))))</formula>
    </cfRule>
    <cfRule type="containsText" priority="15941" operator="containsText" dxfId="7" text="CARDIO">
      <formula>NOT(ISERROR(SEARCH(("CARDIO"),(BB55))))</formula>
    </cfRule>
    <cfRule type="containsText" priority="15942" operator="containsText" dxfId="7" text="ID">
      <formula>NOT(ISERROR(SEARCH(("ID"),(BB55))))</formula>
    </cfRule>
    <cfRule type="containsText" priority="15943" operator="containsText" dxfId="7" text="NEURO">
      <formula>NOT(ISERROR(SEARCH(("NEURO"),(BB55))))</formula>
    </cfRule>
    <cfRule type="containsText" priority="15944" operator="containsText" dxfId="6" text="NEURO">
      <formula>NOT(ISERROR(SEARCH(("NEURO"),(BB55))))</formula>
    </cfRule>
    <cfRule type="containsText" priority="15945" operator="containsText" dxfId="5" text="NEURO">
      <formula>NOT(ISERROR(SEARCH(("NEURO"),(BB55))))</formula>
    </cfRule>
    <cfRule type="containsText" priority="15946" operator="containsText" dxfId="0" text="ICU N">
      <formula>NOT(ISERROR(SEARCH(("ICU N"),(BB55))))</formula>
    </cfRule>
    <cfRule type="containsText" priority="15947" operator="containsText" dxfId="3" text="ICU">
      <formula>NOT(ISERROR(SEARCH(("ICU"),(BB55))))</formula>
    </cfRule>
    <cfRule type="containsText" priority="15948" operator="containsText" dxfId="0" text="SWING">
      <formula>NOT(ISERROR(SEARCH(("SWING"),(BB55))))</formula>
    </cfRule>
    <cfRule type="containsText" priority="15949" operator="containsText" dxfId="0" text="NF">
      <formula>NOT(ISERROR(SEARCH(("NF"),(BB55))))</formula>
    </cfRule>
    <cfRule type="containsText" priority="15950" operator="containsText" dxfId="0" text="ICU N">
      <formula>NOT(ISERROR(SEARCH(("ICU N"),(BB55))))</formula>
    </cfRule>
    <cfRule type="containsText" priority="15916" operator="containsText" dxfId="17" text="VACATION">
      <formula>NOT(ISERROR(SEARCH(("VACATION"),(BB55))))</formula>
    </cfRule>
    <cfRule type="containsText" priority="15917" operator="containsText" dxfId="16" text="ED">
      <formula>NOT(ISERROR(SEARCH(("ED"),(BB55))))</formula>
    </cfRule>
    <cfRule type="containsText" priority="15918" operator="containsText" dxfId="15" text="GERIATRIC">
      <formula>NOT(ISERROR(SEARCH(("GERIATRIC"),(BB55))))</formula>
    </cfRule>
    <cfRule type="containsText" priority="15919" operator="containsText" dxfId="7" text="PATH">
      <formula>NOT(ISERROR(SEARCH(("PATH"),(BB55))))</formula>
    </cfRule>
    <cfRule type="containsText" priority="15920" operator="containsText" dxfId="7" text="NEPHRO">
      <formula>NOT(ISERROR(SEARCH(("NEPHRO"),(BB55))))</formula>
    </cfRule>
    <cfRule type="containsText" priority="15921" operator="containsText" dxfId="7" text="PULM">
      <formula>NOT(ISERROR(SEARCH(("PULM"),(BB55))))</formula>
    </cfRule>
    <cfRule type="containsText" priority="15922" operator="containsText" dxfId="7" text="RADIOLOGY">
      <formula>NOT(ISERROR(SEARCH(("RADIOLOGY"),(BB55))))</formula>
    </cfRule>
    <cfRule type="containsText" priority="15923" operator="containsText" dxfId="7" text="HEM/ONC">
      <formula>NOT(ISERROR(SEARCH(("HEM/ONC"),(BB55))))</formula>
    </cfRule>
    <cfRule type="containsText" priority="15924" operator="containsText" dxfId="7" text="CARDIO">
      <formula>NOT(ISERROR(SEARCH(("CARDIO"),(BB55))))</formula>
    </cfRule>
    <cfRule type="containsText" priority="15925" operator="containsText" dxfId="7" text="ID">
      <formula>NOT(ISERROR(SEARCH(("ID"),(BB55))))</formula>
    </cfRule>
    <cfRule type="containsText" priority="15926" operator="containsText" dxfId="7" text="NEURO">
      <formula>NOT(ISERROR(SEARCH(("NEURO"),(BB55))))</formula>
    </cfRule>
    <cfRule type="containsText" priority="15927" operator="containsText" dxfId="6" text="NEURO">
      <formula>NOT(ISERROR(SEARCH(("NEURO"),(BB55))))</formula>
    </cfRule>
    <cfRule type="containsText" priority="15928" operator="containsText" dxfId="5" text="NEURO">
      <formula>NOT(ISERROR(SEARCH(("NEURO"),(BB55))))</formula>
    </cfRule>
    <cfRule type="containsText" priority="15929" operator="containsText" dxfId="0" text="ICU N">
      <formula>NOT(ISERROR(SEARCH(("ICU N"),(BB55))))</formula>
    </cfRule>
    <cfRule type="containsText" priority="15930" operator="containsText" dxfId="3" text="ICU">
      <formula>NOT(ISERROR(SEARCH(("ICU"),(BB55))))</formula>
    </cfRule>
    <cfRule type="containsText" priority="15931" operator="containsText" dxfId="0" text="SWING">
      <formula>NOT(ISERROR(SEARCH(("SWING"),(BB55))))</formula>
    </cfRule>
    <cfRule type="containsText" priority="15932" operator="containsText" dxfId="0" text="NF">
      <formula>NOT(ISERROR(SEARCH(("NF"),(BB55))))</formula>
    </cfRule>
    <cfRule type="containsText" priority="15901" operator="containsText" dxfId="7" text="PATH">
      <formula>NOT(ISERROR(SEARCH(("PATH"),(BB55))))</formula>
    </cfRule>
    <cfRule type="containsText" priority="15902" operator="containsText" dxfId="7" text="NEPHRO">
      <formula>NOT(ISERROR(SEARCH(("NEPHRO"),(BB55))))</formula>
    </cfRule>
    <cfRule type="containsText" priority="15903" operator="containsText" dxfId="7" text="PULM">
      <formula>NOT(ISERROR(SEARCH(("PULM"),(BB55))))</formula>
    </cfRule>
    <cfRule type="containsText" priority="15904" operator="containsText" dxfId="7" text="RADIOLOGY">
      <formula>NOT(ISERROR(SEARCH(("RADIOLOGY"),(BB55))))</formula>
    </cfRule>
    <cfRule type="containsText" priority="15905" operator="containsText" dxfId="7" text="HEM/ONC">
      <formula>NOT(ISERROR(SEARCH(("HEM/ONC"),(BB55))))</formula>
    </cfRule>
    <cfRule type="containsText" priority="15906" operator="containsText" dxfId="7" text="CARDIO">
      <formula>NOT(ISERROR(SEARCH(("CARDIO"),(BB55))))</formula>
    </cfRule>
    <cfRule type="containsText" priority="15907" operator="containsText" dxfId="7" text="ID">
      <formula>NOT(ISERROR(SEARCH(("ID"),(BB55))))</formula>
    </cfRule>
    <cfRule type="containsText" priority="15908" operator="containsText" dxfId="7" text="NEURO">
      <formula>NOT(ISERROR(SEARCH(("NEURO"),(BB55))))</formula>
    </cfRule>
    <cfRule type="containsText" priority="15909" operator="containsText" dxfId="6" text="NEURO">
      <formula>NOT(ISERROR(SEARCH(("NEURO"),(BB55))))</formula>
    </cfRule>
    <cfRule type="containsText" priority="15910" operator="containsText" dxfId="5" text="NEURO">
      <formula>NOT(ISERROR(SEARCH(("NEURO"),(BB55))))</formula>
    </cfRule>
    <cfRule type="containsText" priority="15911" operator="containsText" dxfId="0" text="ICU N">
      <formula>NOT(ISERROR(SEARCH(("ICU N"),(BB55))))</formula>
    </cfRule>
    <cfRule type="containsText" priority="15912" operator="containsText" dxfId="3" text="ICU">
      <formula>NOT(ISERROR(SEARCH(("ICU"),(BB55))))</formula>
    </cfRule>
    <cfRule type="containsText" priority="15913" operator="containsText" dxfId="0" text="SWING">
      <formula>NOT(ISERROR(SEARCH(("SWING"),(BB55))))</formula>
    </cfRule>
    <cfRule type="containsText" priority="15914" operator="containsText" dxfId="0" text="NF">
      <formula>NOT(ISERROR(SEARCH(("NF"),(BB55))))</formula>
    </cfRule>
    <cfRule type="containsText" priority="15915" operator="containsText" dxfId="0" text="ICU N">
      <formula>NOT(ISERROR(SEARCH(("ICU N"),(BB55))))</formula>
    </cfRule>
  </conditionalFormatting>
  <conditionalFormatting sqref="BC55">
    <cfRule type="containsText" priority="15883" operator="containsText" dxfId="16" text="ED">
      <formula>NOT(ISERROR(SEARCH(("ED"),(BC55))))</formula>
    </cfRule>
    <cfRule type="containsText" priority="15884" operator="containsText" dxfId="15" text="GERIATRIC">
      <formula>NOT(ISERROR(SEARCH(("GERIATRIC"),(BC55))))</formula>
    </cfRule>
    <cfRule type="containsText" priority="15885" operator="containsText" dxfId="17" text="VACATION">
      <formula>NOT(ISERROR(SEARCH(("VACATION"),(BC55))))</formula>
    </cfRule>
    <cfRule type="containsText" priority="15886" operator="containsText" dxfId="7" text="PATH">
      <formula>NOT(ISERROR(SEARCH(("PATH"),(BC55))))</formula>
    </cfRule>
    <cfRule type="containsText" priority="15887" operator="containsText" dxfId="7" text="NEPHRO">
      <formula>NOT(ISERROR(SEARCH(("NEPHRO"),(BC55))))</formula>
    </cfRule>
    <cfRule type="containsText" priority="15888" operator="containsText" dxfId="7" text="PULM">
      <formula>NOT(ISERROR(SEARCH(("PULM"),(BC55))))</formula>
    </cfRule>
    <cfRule type="containsText" priority="15889" operator="containsText" dxfId="7" text="RADIOLOGY">
      <formula>NOT(ISERROR(SEARCH(("RADIOLOGY"),(BC55))))</formula>
    </cfRule>
    <cfRule type="containsText" priority="15890" operator="containsText" dxfId="7" text="HEM/ONC">
      <formula>NOT(ISERROR(SEARCH(("HEM/ONC"),(BC55))))</formula>
    </cfRule>
    <cfRule type="containsText" priority="15891" operator="containsText" dxfId="7" text="CARDIO">
      <formula>NOT(ISERROR(SEARCH(("CARDIO"),(BC55))))</formula>
    </cfRule>
    <cfRule type="containsText" priority="15892" operator="containsText" dxfId="7" text="ID">
      <formula>NOT(ISERROR(SEARCH(("ID"),(BC55))))</formula>
    </cfRule>
    <cfRule type="containsText" priority="15893" operator="containsText" dxfId="7" text="NEURO">
      <formula>NOT(ISERROR(SEARCH(("NEURO"),(BC55))))</formula>
    </cfRule>
    <cfRule type="containsText" priority="15894" operator="containsText" dxfId="6" text="NEURO">
      <formula>NOT(ISERROR(SEARCH(("NEURO"),(BC55))))</formula>
    </cfRule>
    <cfRule type="containsText" priority="15895" operator="containsText" dxfId="5" text="NEURO">
      <formula>NOT(ISERROR(SEARCH(("NEURO"),(BC55))))</formula>
    </cfRule>
    <cfRule type="containsText" priority="15896" operator="containsText" dxfId="0" text="ICU N">
      <formula>NOT(ISERROR(SEARCH(("ICU N"),(BC55))))</formula>
    </cfRule>
    <cfRule type="containsText" priority="15897" operator="containsText" dxfId="3" text="ICU">
      <formula>NOT(ISERROR(SEARCH(("ICU"),(BC55))))</formula>
    </cfRule>
    <cfRule type="containsText" priority="15898" operator="containsText" dxfId="0" text="SWING">
      <formula>NOT(ISERROR(SEARCH(("SWING"),(BC55))))</formula>
    </cfRule>
    <cfRule type="containsText" priority="15899" operator="containsText" dxfId="0" text="NF">
      <formula>NOT(ISERROR(SEARCH(("NF"),(BC55))))</formula>
    </cfRule>
    <cfRule type="containsText" priority="15900" operator="containsText" dxfId="0" text="ICU N">
      <formula>NOT(ISERROR(SEARCH(("ICU N"),(BC55))))</formula>
    </cfRule>
    <cfRule type="containsText" priority="15866" operator="containsText" dxfId="17" text="VACATION">
      <formula>NOT(ISERROR(SEARCH(("VACATION"),(BC55))))</formula>
    </cfRule>
    <cfRule type="containsText" priority="15867" operator="containsText" dxfId="16" text="ED">
      <formula>NOT(ISERROR(SEARCH(("ED"),(BC55))))</formula>
    </cfRule>
    <cfRule type="containsText" priority="15868" operator="containsText" dxfId="15" text="GERIATRIC">
      <formula>NOT(ISERROR(SEARCH(("GERIATRIC"),(BC55))))</formula>
    </cfRule>
    <cfRule type="containsText" priority="15869" operator="containsText" dxfId="7" text="PATH">
      <formula>NOT(ISERROR(SEARCH(("PATH"),(BC55))))</formula>
    </cfRule>
    <cfRule type="containsText" priority="15870" operator="containsText" dxfId="7" text="NEPHRO">
      <formula>NOT(ISERROR(SEARCH(("NEPHRO"),(BC55))))</formula>
    </cfRule>
    <cfRule type="containsText" priority="15871" operator="containsText" dxfId="7" text="PULM">
      <formula>NOT(ISERROR(SEARCH(("PULM"),(BC55))))</formula>
    </cfRule>
    <cfRule type="containsText" priority="15872" operator="containsText" dxfId="7" text="RADIOLOGY">
      <formula>NOT(ISERROR(SEARCH(("RADIOLOGY"),(BC55))))</formula>
    </cfRule>
    <cfRule type="containsText" priority="15873" operator="containsText" dxfId="7" text="HEM/ONC">
      <formula>NOT(ISERROR(SEARCH(("HEM/ONC"),(BC55))))</formula>
    </cfRule>
    <cfRule type="containsText" priority="15874" operator="containsText" dxfId="7" text="CARDIO">
      <formula>NOT(ISERROR(SEARCH(("CARDIO"),(BC55))))</formula>
    </cfRule>
    <cfRule type="containsText" priority="15875" operator="containsText" dxfId="7" text="ID">
      <formula>NOT(ISERROR(SEARCH(("ID"),(BC55))))</formula>
    </cfRule>
    <cfRule type="containsText" priority="15876" operator="containsText" dxfId="7" text="NEURO">
      <formula>NOT(ISERROR(SEARCH(("NEURO"),(BC55))))</formula>
    </cfRule>
    <cfRule type="containsText" priority="15877" operator="containsText" dxfId="6" text="NEURO">
      <formula>NOT(ISERROR(SEARCH(("NEURO"),(BC55))))</formula>
    </cfRule>
    <cfRule type="containsText" priority="15878" operator="containsText" dxfId="5" text="NEURO">
      <formula>NOT(ISERROR(SEARCH(("NEURO"),(BC55))))</formula>
    </cfRule>
    <cfRule type="containsText" priority="15879" operator="containsText" dxfId="0" text="ICU N">
      <formula>NOT(ISERROR(SEARCH(("ICU N"),(BC55))))</formula>
    </cfRule>
    <cfRule type="containsText" priority="15880" operator="containsText" dxfId="3" text="ICU">
      <formula>NOT(ISERROR(SEARCH(("ICU"),(BC55))))</formula>
    </cfRule>
    <cfRule type="containsText" priority="15881" operator="containsText" dxfId="0" text="SWING">
      <formula>NOT(ISERROR(SEARCH(("SWING"),(BC55))))</formula>
    </cfRule>
    <cfRule type="containsText" priority="15882" operator="containsText" dxfId="0" text="NF">
      <formula>NOT(ISERROR(SEARCH(("NF"),(BC55))))</formula>
    </cfRule>
    <cfRule type="containsText" priority="15851" operator="containsText" dxfId="7" text="PATH">
      <formula>NOT(ISERROR(SEARCH(("PATH"),(BC55))))</formula>
    </cfRule>
    <cfRule type="containsText" priority="15852" operator="containsText" dxfId="7" text="NEPHRO">
      <formula>NOT(ISERROR(SEARCH(("NEPHRO"),(BC55))))</formula>
    </cfRule>
    <cfRule type="containsText" priority="15853" operator="containsText" dxfId="7" text="PULM">
      <formula>NOT(ISERROR(SEARCH(("PULM"),(BC55))))</formula>
    </cfRule>
    <cfRule type="containsText" priority="15854" operator="containsText" dxfId="7" text="RADIOLOGY">
      <formula>NOT(ISERROR(SEARCH(("RADIOLOGY"),(BC55))))</formula>
    </cfRule>
    <cfRule type="containsText" priority="15855" operator="containsText" dxfId="7" text="HEM/ONC">
      <formula>NOT(ISERROR(SEARCH(("HEM/ONC"),(BC55))))</formula>
    </cfRule>
    <cfRule type="containsText" priority="15856" operator="containsText" dxfId="7" text="CARDIO">
      <formula>NOT(ISERROR(SEARCH(("CARDIO"),(BC55))))</formula>
    </cfRule>
    <cfRule type="containsText" priority="15857" operator="containsText" dxfId="7" text="ID">
      <formula>NOT(ISERROR(SEARCH(("ID"),(BC55))))</formula>
    </cfRule>
    <cfRule type="containsText" priority="15858" operator="containsText" dxfId="7" text="NEURO">
      <formula>NOT(ISERROR(SEARCH(("NEURO"),(BC55))))</formula>
    </cfRule>
    <cfRule type="containsText" priority="15859" operator="containsText" dxfId="6" text="NEURO">
      <formula>NOT(ISERROR(SEARCH(("NEURO"),(BC55))))</formula>
    </cfRule>
    <cfRule type="containsText" priority="15860" operator="containsText" dxfId="5" text="NEURO">
      <formula>NOT(ISERROR(SEARCH(("NEURO"),(BC55))))</formula>
    </cfRule>
    <cfRule type="containsText" priority="15861" operator="containsText" dxfId="0" text="ICU N">
      <formula>NOT(ISERROR(SEARCH(("ICU N"),(BC55))))</formula>
    </cfRule>
    <cfRule type="containsText" priority="15862" operator="containsText" dxfId="3" text="ICU">
      <formula>NOT(ISERROR(SEARCH(("ICU"),(BC55))))</formula>
    </cfRule>
    <cfRule type="containsText" priority="15863" operator="containsText" dxfId="0" text="SWING">
      <formula>NOT(ISERROR(SEARCH(("SWING"),(BC55))))</formula>
    </cfRule>
    <cfRule type="containsText" priority="15864" operator="containsText" dxfId="0" text="NF">
      <formula>NOT(ISERROR(SEARCH(("NF"),(BC55))))</formula>
    </cfRule>
    <cfRule type="containsText" priority="15865" operator="containsText" dxfId="0" text="ICU N">
      <formula>NOT(ISERROR(SEARCH(("ICU N"),(BC55))))</formula>
    </cfRule>
  </conditionalFormatting>
  <conditionalFormatting sqref="BC54">
    <cfRule type="containsText" priority="15833" operator="containsText" dxfId="16" text="ED">
      <formula>NOT(ISERROR(SEARCH(("ED"),(BC54))))</formula>
    </cfRule>
    <cfRule type="containsText" priority="15834" operator="containsText" dxfId="15" text="GERIATRIC">
      <formula>NOT(ISERROR(SEARCH(("GERIATRIC"),(BC54))))</formula>
    </cfRule>
    <cfRule type="containsText" priority="15835" operator="containsText" dxfId="17" text="VACATION">
      <formula>NOT(ISERROR(SEARCH(("VACATION"),(BC54))))</formula>
    </cfRule>
    <cfRule type="containsText" priority="15836" operator="containsText" dxfId="7" text="PATH">
      <formula>NOT(ISERROR(SEARCH(("PATH"),(BC54))))</formula>
    </cfRule>
    <cfRule type="containsText" priority="15837" operator="containsText" dxfId="7" text="NEPHRO">
      <formula>NOT(ISERROR(SEARCH(("NEPHRO"),(BC54))))</formula>
    </cfRule>
    <cfRule type="containsText" priority="15838" operator="containsText" dxfId="7" text="PULM">
      <formula>NOT(ISERROR(SEARCH(("PULM"),(BC54))))</formula>
    </cfRule>
    <cfRule type="containsText" priority="15839" operator="containsText" dxfId="7" text="RADIOLOGY">
      <formula>NOT(ISERROR(SEARCH(("RADIOLOGY"),(BC54))))</formula>
    </cfRule>
    <cfRule type="containsText" priority="15840" operator="containsText" dxfId="7" text="HEM/ONC">
      <formula>NOT(ISERROR(SEARCH(("HEM/ONC"),(BC54))))</formula>
    </cfRule>
    <cfRule type="containsText" priority="15841" operator="containsText" dxfId="7" text="CARDIO">
      <formula>NOT(ISERROR(SEARCH(("CARDIO"),(BC54))))</formula>
    </cfRule>
    <cfRule type="containsText" priority="15842" operator="containsText" dxfId="7" text="ID">
      <formula>NOT(ISERROR(SEARCH(("ID"),(BC54))))</formula>
    </cfRule>
    <cfRule type="containsText" priority="15843" operator="containsText" dxfId="7" text="NEURO">
      <formula>NOT(ISERROR(SEARCH(("NEURO"),(BC54))))</formula>
    </cfRule>
    <cfRule type="containsText" priority="15844" operator="containsText" dxfId="6" text="NEURO">
      <formula>NOT(ISERROR(SEARCH(("NEURO"),(BC54))))</formula>
    </cfRule>
    <cfRule type="containsText" priority="15845" operator="containsText" dxfId="5" text="NEURO">
      <formula>NOT(ISERROR(SEARCH(("NEURO"),(BC54))))</formula>
    </cfRule>
    <cfRule type="containsText" priority="15846" operator="containsText" dxfId="0" text="ICU N">
      <formula>NOT(ISERROR(SEARCH(("ICU N"),(BC54))))</formula>
    </cfRule>
    <cfRule type="containsText" priority="15847" operator="containsText" dxfId="3" text="ICU">
      <formula>NOT(ISERROR(SEARCH(("ICU"),(BC54))))</formula>
    </cfRule>
    <cfRule type="containsText" priority="15848" operator="containsText" dxfId="0" text="SWING">
      <formula>NOT(ISERROR(SEARCH(("SWING"),(BC54))))</formula>
    </cfRule>
    <cfRule type="containsText" priority="15849" operator="containsText" dxfId="0" text="NF">
      <formula>NOT(ISERROR(SEARCH(("NF"),(BC54))))</formula>
    </cfRule>
    <cfRule type="containsText" priority="15850" operator="containsText" dxfId="0" text="ICU N">
      <formula>NOT(ISERROR(SEARCH(("ICU N"),(BC54))))</formula>
    </cfRule>
    <cfRule type="containsText" priority="15816" operator="containsText" dxfId="17" text="VACATION">
      <formula>NOT(ISERROR(SEARCH(("VACATION"),(BC54))))</formula>
    </cfRule>
    <cfRule type="containsText" priority="15817" operator="containsText" dxfId="16" text="ED">
      <formula>NOT(ISERROR(SEARCH(("ED"),(BC54))))</formula>
    </cfRule>
    <cfRule type="containsText" priority="15818" operator="containsText" dxfId="15" text="GERIATRIC">
      <formula>NOT(ISERROR(SEARCH(("GERIATRIC"),(BC54))))</formula>
    </cfRule>
    <cfRule type="containsText" priority="15819" operator="containsText" dxfId="7" text="PATH">
      <formula>NOT(ISERROR(SEARCH(("PATH"),(BC54))))</formula>
    </cfRule>
    <cfRule type="containsText" priority="15820" operator="containsText" dxfId="7" text="NEPHRO">
      <formula>NOT(ISERROR(SEARCH(("NEPHRO"),(BC54))))</formula>
    </cfRule>
    <cfRule type="containsText" priority="15821" operator="containsText" dxfId="7" text="PULM">
      <formula>NOT(ISERROR(SEARCH(("PULM"),(BC54))))</formula>
    </cfRule>
    <cfRule type="containsText" priority="15822" operator="containsText" dxfId="7" text="RADIOLOGY">
      <formula>NOT(ISERROR(SEARCH(("RADIOLOGY"),(BC54))))</formula>
    </cfRule>
    <cfRule type="containsText" priority="15823" operator="containsText" dxfId="7" text="HEM/ONC">
      <formula>NOT(ISERROR(SEARCH(("HEM/ONC"),(BC54))))</formula>
    </cfRule>
    <cfRule type="containsText" priority="15824" operator="containsText" dxfId="7" text="CARDIO">
      <formula>NOT(ISERROR(SEARCH(("CARDIO"),(BC54))))</formula>
    </cfRule>
    <cfRule type="containsText" priority="15825" operator="containsText" dxfId="7" text="ID">
      <formula>NOT(ISERROR(SEARCH(("ID"),(BC54))))</formula>
    </cfRule>
    <cfRule type="containsText" priority="15826" operator="containsText" dxfId="7" text="NEURO">
      <formula>NOT(ISERROR(SEARCH(("NEURO"),(BC54))))</formula>
    </cfRule>
    <cfRule type="containsText" priority="15827" operator="containsText" dxfId="6" text="NEURO">
      <formula>NOT(ISERROR(SEARCH(("NEURO"),(BC54))))</formula>
    </cfRule>
    <cfRule type="containsText" priority="15828" operator="containsText" dxfId="5" text="NEURO">
      <formula>NOT(ISERROR(SEARCH(("NEURO"),(BC54))))</formula>
    </cfRule>
    <cfRule type="containsText" priority="15829" operator="containsText" dxfId="0" text="ICU N">
      <formula>NOT(ISERROR(SEARCH(("ICU N"),(BC54))))</formula>
    </cfRule>
    <cfRule type="containsText" priority="15830" operator="containsText" dxfId="3" text="ICU">
      <formula>NOT(ISERROR(SEARCH(("ICU"),(BC54))))</formula>
    </cfRule>
    <cfRule type="containsText" priority="15831" operator="containsText" dxfId="0" text="SWING">
      <formula>NOT(ISERROR(SEARCH(("SWING"),(BC54))))</formula>
    </cfRule>
    <cfRule type="containsText" priority="15832" operator="containsText" dxfId="0" text="NF">
      <formula>NOT(ISERROR(SEARCH(("NF"),(BC54))))</formula>
    </cfRule>
    <cfRule type="containsText" priority="15801" operator="containsText" dxfId="7" text="PATH">
      <formula>NOT(ISERROR(SEARCH(("PATH"),(BC54))))</formula>
    </cfRule>
    <cfRule type="containsText" priority="15802" operator="containsText" dxfId="7" text="NEPHRO">
      <formula>NOT(ISERROR(SEARCH(("NEPHRO"),(BC54))))</formula>
    </cfRule>
    <cfRule type="containsText" priority="15803" operator="containsText" dxfId="7" text="PULM">
      <formula>NOT(ISERROR(SEARCH(("PULM"),(BC54))))</formula>
    </cfRule>
    <cfRule type="containsText" priority="15804" operator="containsText" dxfId="7" text="RADIOLOGY">
      <formula>NOT(ISERROR(SEARCH(("RADIOLOGY"),(BC54))))</formula>
    </cfRule>
    <cfRule type="containsText" priority="15805" operator="containsText" dxfId="7" text="HEM/ONC">
      <formula>NOT(ISERROR(SEARCH(("HEM/ONC"),(BC54))))</formula>
    </cfRule>
    <cfRule type="containsText" priority="15806" operator="containsText" dxfId="7" text="CARDIO">
      <formula>NOT(ISERROR(SEARCH(("CARDIO"),(BC54))))</formula>
    </cfRule>
    <cfRule type="containsText" priority="15807" operator="containsText" dxfId="7" text="ID">
      <formula>NOT(ISERROR(SEARCH(("ID"),(BC54))))</formula>
    </cfRule>
    <cfRule type="containsText" priority="15808" operator="containsText" dxfId="7" text="NEURO">
      <formula>NOT(ISERROR(SEARCH(("NEURO"),(BC54))))</formula>
    </cfRule>
    <cfRule type="containsText" priority="15809" operator="containsText" dxfId="6" text="NEURO">
      <formula>NOT(ISERROR(SEARCH(("NEURO"),(BC54))))</formula>
    </cfRule>
    <cfRule type="containsText" priority="15810" operator="containsText" dxfId="5" text="NEURO">
      <formula>NOT(ISERROR(SEARCH(("NEURO"),(BC54))))</formula>
    </cfRule>
    <cfRule type="containsText" priority="15811" operator="containsText" dxfId="0" text="ICU N">
      <formula>NOT(ISERROR(SEARCH(("ICU N"),(BC54))))</formula>
    </cfRule>
    <cfRule type="containsText" priority="15812" operator="containsText" dxfId="3" text="ICU">
      <formula>NOT(ISERROR(SEARCH(("ICU"),(BC54))))</formula>
    </cfRule>
    <cfRule type="containsText" priority="15813" operator="containsText" dxfId="0" text="SWING">
      <formula>NOT(ISERROR(SEARCH(("SWING"),(BC54))))</formula>
    </cfRule>
    <cfRule type="containsText" priority="15814" operator="containsText" dxfId="0" text="NF">
      <formula>NOT(ISERROR(SEARCH(("NF"),(BC54))))</formula>
    </cfRule>
    <cfRule type="containsText" priority="15815" operator="containsText" dxfId="0" text="ICU N">
      <formula>NOT(ISERROR(SEARCH(("ICU N"),(BC54))))</formula>
    </cfRule>
  </conditionalFormatting>
  <conditionalFormatting sqref="BC37">
    <cfRule type="containsText" priority="15800" operator="containsText" dxfId="0" text="ICU N">
      <formula>NOT(ISERROR(SEARCH(("ICU N"),(BC37))))</formula>
    </cfRule>
    <cfRule type="containsText" priority="15799" operator="containsText" dxfId="0" text="ICU N">
      <formula>NOT(ISERROR(SEARCH(("ICU N"),(BC37))))</formula>
    </cfRule>
  </conditionalFormatting>
  <conditionalFormatting sqref="BA37">
    <cfRule type="containsText" priority="15798" operator="containsText" dxfId="0" text="ICU N">
      <formula>NOT(ISERROR(SEARCH(("ICU N"),(BA37))))</formula>
    </cfRule>
    <cfRule type="containsText" priority="15797" operator="containsText" dxfId="0" text="ICU N">
      <formula>NOT(ISERROR(SEARCH(("ICU N"),(BA37))))</formula>
    </cfRule>
  </conditionalFormatting>
  <conditionalFormatting sqref="BA18">
    <cfRule type="containsText" priority="15796" operator="containsText" dxfId="0" text="ICU N">
      <formula>NOT(ISERROR(SEARCH(("ICU N"),(BA18))))</formula>
    </cfRule>
    <cfRule type="containsText" priority="300" operator="containsText" dxfId="17" text="VACATION">
      <formula>NOT(ISERROR(SEARCH(("VACATION"),(BA18))))</formula>
    </cfRule>
    <cfRule type="containsText" priority="301" operator="containsText" dxfId="16" text="ED">
      <formula>NOT(ISERROR(SEARCH(("ED"),(BA18))))</formula>
    </cfRule>
    <cfRule type="containsText" priority="302" operator="containsText" dxfId="15" text="GERIATRIC">
      <formula>NOT(ISERROR(SEARCH(("GERIATRIC"),(BA18))))</formula>
    </cfRule>
    <cfRule type="containsText" priority="303" operator="containsText" dxfId="0" text="ICU N">
      <formula>NOT(ISERROR(SEARCH(("ICU N"),(BA18))))</formula>
    </cfRule>
    <cfRule type="containsText" priority="285" operator="containsText" dxfId="7" text="PATH">
      <formula>NOT(ISERROR(SEARCH(("PATH"),(BA18))))</formula>
    </cfRule>
    <cfRule type="containsText" priority="286" operator="containsText" dxfId="7" text="NEPHRO">
      <formula>NOT(ISERROR(SEARCH(("NEPHRO"),(BA18))))</formula>
    </cfRule>
    <cfRule type="containsText" priority="287" operator="containsText" dxfId="7" text="PULM">
      <formula>NOT(ISERROR(SEARCH(("PULM"),(BA18))))</formula>
    </cfRule>
    <cfRule type="containsText" priority="288" operator="containsText" dxfId="7" text="RADIOLOGY">
      <formula>NOT(ISERROR(SEARCH(("RADIOLOGY"),(BA18))))</formula>
    </cfRule>
    <cfRule type="containsText" priority="289" operator="containsText" dxfId="7" text="HEM/ONC">
      <formula>NOT(ISERROR(SEARCH(("HEM/ONC"),(BA18))))</formula>
    </cfRule>
    <cfRule type="containsText" priority="290" operator="containsText" dxfId="7" text="CARDIO">
      <formula>NOT(ISERROR(SEARCH(("CARDIO"),(BA18))))</formula>
    </cfRule>
    <cfRule type="containsText" priority="291" operator="containsText" dxfId="7" text="ID">
      <formula>NOT(ISERROR(SEARCH(("ID"),(BA18))))</formula>
    </cfRule>
    <cfRule type="containsText" priority="292" operator="containsText" dxfId="7" text="NEURO">
      <formula>NOT(ISERROR(SEARCH(("NEURO"),(BA18))))</formula>
    </cfRule>
    <cfRule type="containsText" priority="293" operator="containsText" dxfId="6" text="NEURO">
      <formula>NOT(ISERROR(SEARCH(("NEURO"),(BA18))))</formula>
    </cfRule>
    <cfRule type="containsText" priority="294" operator="containsText" dxfId="5" text="NEURO">
      <formula>NOT(ISERROR(SEARCH(("NEURO"),(BA18))))</formula>
    </cfRule>
    <cfRule type="containsText" priority="295" operator="containsText" dxfId="0" text="ICU N">
      <formula>NOT(ISERROR(SEARCH(("ICU N"),(BA18))))</formula>
    </cfRule>
    <cfRule type="containsText" priority="296" operator="containsText" dxfId="3" text="ICU">
      <formula>NOT(ISERROR(SEARCH(("ICU"),(BA18))))</formula>
    </cfRule>
    <cfRule type="containsText" priority="297" operator="containsText" dxfId="0" text="SWING">
      <formula>NOT(ISERROR(SEARCH(("SWING"),(BA18))))</formula>
    </cfRule>
    <cfRule type="containsText" priority="298" operator="containsText" dxfId="0" text="NF">
      <formula>NOT(ISERROR(SEARCH(("NF"),(BA18))))</formula>
    </cfRule>
    <cfRule type="containsText" priority="299" operator="containsText" dxfId="0" text="ICU N">
      <formula>NOT(ISERROR(SEARCH(("ICU N"),(BA18))))</formula>
    </cfRule>
  </conditionalFormatting>
  <conditionalFormatting sqref="D60">
    <cfRule type="containsText" priority="15778" operator="containsText" dxfId="16" text="ED">
      <formula>NOT(ISERROR(SEARCH(("ED"),(D60))))</formula>
    </cfRule>
    <cfRule type="containsText" priority="15779" operator="containsText" dxfId="15" text="GERIATRIC">
      <formula>NOT(ISERROR(SEARCH(("GERIATRIC"),(D60))))</formula>
    </cfRule>
    <cfRule type="containsText" priority="15780" operator="containsText" dxfId="17" text="VACATION">
      <formula>NOT(ISERROR(SEARCH(("VACATION"),(D60))))</formula>
    </cfRule>
    <cfRule type="containsText" priority="15781" operator="containsText" dxfId="7" text="PATH">
      <formula>NOT(ISERROR(SEARCH(("PATH"),(D60))))</formula>
    </cfRule>
    <cfRule type="containsText" priority="15782" operator="containsText" dxfId="7" text="NEPHRO">
      <formula>NOT(ISERROR(SEARCH(("NEPHRO"),(D60))))</formula>
    </cfRule>
    <cfRule type="containsText" priority="15783" operator="containsText" dxfId="7" text="PULM">
      <formula>NOT(ISERROR(SEARCH(("PULM"),(D60))))</formula>
    </cfRule>
    <cfRule type="containsText" priority="15784" operator="containsText" dxfId="7" text="RADIOLOGY">
      <formula>NOT(ISERROR(SEARCH(("RADIOLOGY"),(D60))))</formula>
    </cfRule>
    <cfRule type="containsText" priority="15785" operator="containsText" dxfId="7" text="HEM/ONC">
      <formula>NOT(ISERROR(SEARCH(("HEM/ONC"),(D60))))</formula>
    </cfRule>
    <cfRule type="containsText" priority="15786" operator="containsText" dxfId="7" text="CARDIO">
      <formula>NOT(ISERROR(SEARCH(("CARDIO"),(D60))))</formula>
    </cfRule>
    <cfRule type="containsText" priority="15787" operator="containsText" dxfId="7" text="ID">
      <formula>NOT(ISERROR(SEARCH(("ID"),(D60))))</formula>
    </cfRule>
    <cfRule type="containsText" priority="15788" operator="containsText" dxfId="7" text="NEURO">
      <formula>NOT(ISERROR(SEARCH(("NEURO"),(D60))))</formula>
    </cfRule>
    <cfRule type="containsText" priority="15789" operator="containsText" dxfId="6" text="NEURO">
      <formula>NOT(ISERROR(SEARCH(("NEURO"),(D60))))</formula>
    </cfRule>
    <cfRule type="containsText" priority="15790" operator="containsText" dxfId="5" text="NEURO">
      <formula>NOT(ISERROR(SEARCH(("NEURO"),(D60))))</formula>
    </cfRule>
    <cfRule type="containsText" priority="15791" operator="containsText" dxfId="0" text="ICU N">
      <formula>NOT(ISERROR(SEARCH(("ICU N"),(D60))))</formula>
    </cfRule>
    <cfRule type="containsText" priority="15792" operator="containsText" dxfId="3" text="ICU">
      <formula>NOT(ISERROR(SEARCH(("ICU"),(D60))))</formula>
    </cfRule>
    <cfRule type="containsText" priority="15793" operator="containsText" dxfId="0" text="SWING">
      <formula>NOT(ISERROR(SEARCH(("SWING"),(D60))))</formula>
    </cfRule>
    <cfRule type="containsText" priority="15794" operator="containsText" dxfId="0" text="NF">
      <formula>NOT(ISERROR(SEARCH(("NF"),(D60))))</formula>
    </cfRule>
    <cfRule type="containsText" priority="15795" operator="containsText" dxfId="0" text="ICU N">
      <formula>NOT(ISERROR(SEARCH(("ICU N"),(D60))))</formula>
    </cfRule>
  </conditionalFormatting>
  <conditionalFormatting sqref="E60">
    <cfRule type="containsText" priority="15760" operator="containsText" dxfId="16" text="ED">
      <formula>NOT(ISERROR(SEARCH(("ED"),(E60))))</formula>
    </cfRule>
    <cfRule type="containsText" priority="15761" operator="containsText" dxfId="15" text="GERIATRIC">
      <formula>NOT(ISERROR(SEARCH(("GERIATRIC"),(E60))))</formula>
    </cfRule>
    <cfRule type="containsText" priority="15762" operator="containsText" dxfId="17" text="VACATION">
      <formula>NOT(ISERROR(SEARCH(("VACATION"),(E60))))</formula>
    </cfRule>
    <cfRule type="containsText" priority="15763" operator="containsText" dxfId="7" text="PATH">
      <formula>NOT(ISERROR(SEARCH(("PATH"),(E60))))</formula>
    </cfRule>
    <cfRule type="containsText" priority="15764" operator="containsText" dxfId="7" text="NEPHRO">
      <formula>NOT(ISERROR(SEARCH(("NEPHRO"),(E60))))</formula>
    </cfRule>
    <cfRule type="containsText" priority="15765" operator="containsText" dxfId="7" text="PULM">
      <formula>NOT(ISERROR(SEARCH(("PULM"),(E60))))</formula>
    </cfRule>
    <cfRule type="containsText" priority="15766" operator="containsText" dxfId="7" text="RADIOLOGY">
      <formula>NOT(ISERROR(SEARCH(("RADIOLOGY"),(E60))))</formula>
    </cfRule>
    <cfRule type="containsText" priority="15767" operator="containsText" dxfId="7" text="HEM/ONC">
      <formula>NOT(ISERROR(SEARCH(("HEM/ONC"),(E60))))</formula>
    </cfRule>
    <cfRule type="containsText" priority="15768" operator="containsText" dxfId="7" text="CARDIO">
      <formula>NOT(ISERROR(SEARCH(("CARDIO"),(E60))))</formula>
    </cfRule>
    <cfRule type="containsText" priority="15769" operator="containsText" dxfId="7" text="ID">
      <formula>NOT(ISERROR(SEARCH(("ID"),(E60))))</formula>
    </cfRule>
    <cfRule type="containsText" priority="15770" operator="containsText" dxfId="7" text="NEURO">
      <formula>NOT(ISERROR(SEARCH(("NEURO"),(E60))))</formula>
    </cfRule>
    <cfRule type="containsText" priority="15771" operator="containsText" dxfId="6" text="NEURO">
      <formula>NOT(ISERROR(SEARCH(("NEURO"),(E60))))</formula>
    </cfRule>
    <cfRule type="containsText" priority="15772" operator="containsText" dxfId="5" text="NEURO">
      <formula>NOT(ISERROR(SEARCH(("NEURO"),(E60))))</formula>
    </cfRule>
    <cfRule type="containsText" priority="15773" operator="containsText" dxfId="0" text="ICU N">
      <formula>NOT(ISERROR(SEARCH(("ICU N"),(E60))))</formula>
    </cfRule>
    <cfRule type="containsText" priority="15774" operator="containsText" dxfId="3" text="ICU">
      <formula>NOT(ISERROR(SEARCH(("ICU"),(E60))))</formula>
    </cfRule>
    <cfRule type="containsText" priority="15775" operator="containsText" dxfId="0" text="SWING">
      <formula>NOT(ISERROR(SEARCH(("SWING"),(E60))))</formula>
    </cfRule>
    <cfRule type="containsText" priority="15776" operator="containsText" dxfId="0" text="NF">
      <formula>NOT(ISERROR(SEARCH(("NF"),(E60))))</formula>
    </cfRule>
    <cfRule type="containsText" priority="15777" operator="containsText" dxfId="0" text="ICU N">
      <formula>NOT(ISERROR(SEARCH(("ICU N"),(E60))))</formula>
    </cfRule>
  </conditionalFormatting>
  <conditionalFormatting sqref="D24">
    <cfRule type="containsText" priority="15743" operator="containsText" dxfId="17" text="VACATION">
      <formula>NOT(ISERROR(SEARCH(("VACATION"),(D24))))</formula>
    </cfRule>
    <cfRule type="containsText" priority="15744" operator="containsText" dxfId="16" text="ED">
      <formula>NOT(ISERROR(SEARCH(("ED"),(D24))))</formula>
    </cfRule>
    <cfRule type="containsText" priority="15745" operator="containsText" dxfId="15" text="GERIATRIC">
      <formula>NOT(ISERROR(SEARCH(("GERIATRIC"),(D24))))</formula>
    </cfRule>
    <cfRule type="containsText" priority="15746" operator="containsText" dxfId="7" text="PATH">
      <formula>NOT(ISERROR(SEARCH(("PATH"),(D24))))</formula>
    </cfRule>
    <cfRule type="containsText" priority="15747" operator="containsText" dxfId="7" text="NEPHRO">
      <formula>NOT(ISERROR(SEARCH(("NEPHRO"),(D24))))</formula>
    </cfRule>
    <cfRule type="containsText" priority="15748" operator="containsText" dxfId="7" text="PULM">
      <formula>NOT(ISERROR(SEARCH(("PULM"),(D24))))</formula>
    </cfRule>
    <cfRule type="containsText" priority="15749" operator="containsText" dxfId="7" text="RADIOLOGY">
      <formula>NOT(ISERROR(SEARCH(("RADIOLOGY"),(D24))))</formula>
    </cfRule>
    <cfRule type="containsText" priority="15750" operator="containsText" dxfId="7" text="HEM/ONC">
      <formula>NOT(ISERROR(SEARCH(("HEM/ONC"),(D24))))</formula>
    </cfRule>
    <cfRule type="containsText" priority="15751" operator="containsText" dxfId="7" text="CARDIO">
      <formula>NOT(ISERROR(SEARCH(("CARDIO"),(D24))))</formula>
    </cfRule>
    <cfRule type="containsText" priority="15752" operator="containsText" dxfId="7" text="ID">
      <formula>NOT(ISERROR(SEARCH(("ID"),(D24))))</formula>
    </cfRule>
    <cfRule type="containsText" priority="15753" operator="containsText" dxfId="7" text="NEURO">
      <formula>NOT(ISERROR(SEARCH(("NEURO"),(D24))))</formula>
    </cfRule>
    <cfRule type="containsText" priority="15754" operator="containsText" dxfId="6" text="NEURO">
      <formula>NOT(ISERROR(SEARCH(("NEURO"),(D24))))</formula>
    </cfRule>
    <cfRule type="containsText" priority="15755" operator="containsText" dxfId="5" text="NEURO">
      <formula>NOT(ISERROR(SEARCH(("NEURO"),(D24))))</formula>
    </cfRule>
    <cfRule type="containsText" priority="15756" operator="containsText" dxfId="0" text="ICU N">
      <formula>NOT(ISERROR(SEARCH(("ICU N"),(D24))))</formula>
    </cfRule>
    <cfRule type="containsText" priority="15757" operator="containsText" dxfId="3" text="ICU">
      <formula>NOT(ISERROR(SEARCH(("ICU"),(D24))))</formula>
    </cfRule>
    <cfRule type="containsText" priority="15758" operator="containsText" dxfId="0" text="SWING">
      <formula>NOT(ISERROR(SEARCH(("SWING"),(D24))))</formula>
    </cfRule>
    <cfRule type="containsText" priority="15759" operator="containsText" dxfId="0" text="NF">
      <formula>NOT(ISERROR(SEARCH(("NF"),(D24))))</formula>
    </cfRule>
  </conditionalFormatting>
  <conditionalFormatting sqref="D44">
    <cfRule type="containsText" priority="15726" operator="containsText" dxfId="17" text="VACATION">
      <formula>NOT(ISERROR(SEARCH(("VACATION"),(D44))))</formula>
    </cfRule>
    <cfRule type="containsText" priority="15727" operator="containsText" dxfId="16" text="ED">
      <formula>NOT(ISERROR(SEARCH(("ED"),(D44))))</formula>
    </cfRule>
    <cfRule type="containsText" priority="15728" operator="containsText" dxfId="15" text="GERIATRIC">
      <formula>NOT(ISERROR(SEARCH(("GERIATRIC"),(D44))))</formula>
    </cfRule>
    <cfRule type="containsText" priority="15729" operator="containsText" dxfId="7" text="PATH">
      <formula>NOT(ISERROR(SEARCH(("PATH"),(D44))))</formula>
    </cfRule>
    <cfRule type="containsText" priority="15730" operator="containsText" dxfId="7" text="NEPHRO">
      <formula>NOT(ISERROR(SEARCH(("NEPHRO"),(D44))))</formula>
    </cfRule>
    <cfRule type="containsText" priority="15731" operator="containsText" dxfId="7" text="PULM">
      <formula>NOT(ISERROR(SEARCH(("PULM"),(D44))))</formula>
    </cfRule>
    <cfRule type="containsText" priority="15732" operator="containsText" dxfId="7" text="RADIOLOGY">
      <formula>NOT(ISERROR(SEARCH(("RADIOLOGY"),(D44))))</formula>
    </cfRule>
    <cfRule type="containsText" priority="15733" operator="containsText" dxfId="7" text="HEM/ONC">
      <formula>NOT(ISERROR(SEARCH(("HEM/ONC"),(D44))))</formula>
    </cfRule>
    <cfRule type="containsText" priority="15734" operator="containsText" dxfId="7" text="CARDIO">
      <formula>NOT(ISERROR(SEARCH(("CARDIO"),(D44))))</formula>
    </cfRule>
    <cfRule type="containsText" priority="15735" operator="containsText" dxfId="7" text="ID">
      <formula>NOT(ISERROR(SEARCH(("ID"),(D44))))</formula>
    </cfRule>
    <cfRule type="containsText" priority="15736" operator="containsText" dxfId="7" text="NEURO">
      <formula>NOT(ISERROR(SEARCH(("NEURO"),(D44))))</formula>
    </cfRule>
    <cfRule type="containsText" priority="15737" operator="containsText" dxfId="6" text="NEURO">
      <formula>NOT(ISERROR(SEARCH(("NEURO"),(D44))))</formula>
    </cfRule>
    <cfRule type="containsText" priority="15738" operator="containsText" dxfId="5" text="NEURO">
      <formula>NOT(ISERROR(SEARCH(("NEURO"),(D44))))</formula>
    </cfRule>
    <cfRule type="containsText" priority="15739" operator="containsText" dxfId="0" text="ICU N">
      <formula>NOT(ISERROR(SEARCH(("ICU N"),(D44))))</formula>
    </cfRule>
    <cfRule type="containsText" priority="15740" operator="containsText" dxfId="3" text="ICU">
      <formula>NOT(ISERROR(SEARCH(("ICU"),(D44))))</formula>
    </cfRule>
    <cfRule type="containsText" priority="15741" operator="containsText" dxfId="0" text="SWING">
      <formula>NOT(ISERROR(SEARCH(("SWING"),(D44))))</formula>
    </cfRule>
    <cfRule type="containsText" priority="15742" operator="containsText" dxfId="0" text="NF">
      <formula>NOT(ISERROR(SEARCH(("NF"),(D44))))</formula>
    </cfRule>
  </conditionalFormatting>
  <conditionalFormatting sqref="E9">
    <cfRule type="containsText" priority="15709" operator="containsText" dxfId="17" text="VACATION">
      <formula>NOT(ISERROR(SEARCH(("VACATION"),(E9))))</formula>
    </cfRule>
    <cfRule type="containsText" priority="15710" operator="containsText" dxfId="16" text="ED">
      <formula>NOT(ISERROR(SEARCH(("ED"),(E9))))</formula>
    </cfRule>
    <cfRule type="containsText" priority="15711" operator="containsText" dxfId="15" text="GERIATRIC">
      <formula>NOT(ISERROR(SEARCH(("GERIATRIC"),(E9))))</formula>
    </cfRule>
    <cfRule type="containsText" priority="15712" operator="containsText" dxfId="7" text="PATH">
      <formula>NOT(ISERROR(SEARCH(("PATH"),(E9))))</formula>
    </cfRule>
    <cfRule type="containsText" priority="15713" operator="containsText" dxfId="7" text="NEPHRO">
      <formula>NOT(ISERROR(SEARCH(("NEPHRO"),(E9))))</formula>
    </cfRule>
    <cfRule type="containsText" priority="15714" operator="containsText" dxfId="7" text="PULM">
      <formula>NOT(ISERROR(SEARCH(("PULM"),(E9))))</formula>
    </cfRule>
    <cfRule type="containsText" priority="15715" operator="containsText" dxfId="7" text="RADIOLOGY">
      <formula>NOT(ISERROR(SEARCH(("RADIOLOGY"),(E9))))</formula>
    </cfRule>
    <cfRule type="containsText" priority="15716" operator="containsText" dxfId="7" text="HEM/ONC">
      <formula>NOT(ISERROR(SEARCH(("HEM/ONC"),(E9))))</formula>
    </cfRule>
    <cfRule type="containsText" priority="15717" operator="containsText" dxfId="7" text="CARDIO">
      <formula>NOT(ISERROR(SEARCH(("CARDIO"),(E9))))</formula>
    </cfRule>
    <cfRule type="containsText" priority="15718" operator="containsText" dxfId="7" text="ID">
      <formula>NOT(ISERROR(SEARCH(("ID"),(E9))))</formula>
    </cfRule>
    <cfRule type="containsText" priority="15719" operator="containsText" dxfId="7" text="NEURO">
      <formula>NOT(ISERROR(SEARCH(("NEURO"),(E9))))</formula>
    </cfRule>
    <cfRule type="containsText" priority="15720" operator="containsText" dxfId="6" text="NEURO">
      <formula>NOT(ISERROR(SEARCH(("NEURO"),(E9))))</formula>
    </cfRule>
    <cfRule type="containsText" priority="15721" operator="containsText" dxfId="5" text="NEURO">
      <formula>NOT(ISERROR(SEARCH(("NEURO"),(E9))))</formula>
    </cfRule>
    <cfRule type="containsText" priority="15722" operator="containsText" dxfId="0" text="ICU N">
      <formula>NOT(ISERROR(SEARCH(("ICU N"),(E9))))</formula>
    </cfRule>
    <cfRule type="containsText" priority="15723" operator="containsText" dxfId="3" text="ICU">
      <formula>NOT(ISERROR(SEARCH(("ICU"),(E9))))</formula>
    </cfRule>
    <cfRule type="containsText" priority="15724" operator="containsText" dxfId="0" text="SWING">
      <formula>NOT(ISERROR(SEARCH(("SWING"),(E9))))</formula>
    </cfRule>
    <cfRule type="containsText" priority="15725" operator="containsText" dxfId="0" text="NF">
      <formula>NOT(ISERROR(SEARCH(("NF"),(E9))))</formula>
    </cfRule>
  </conditionalFormatting>
  <conditionalFormatting sqref="F34">
    <cfRule type="containsText" priority="15690" operator="containsText" dxfId="17" text="VACATION">
      <formula>NOT(ISERROR(SEARCH(("VACATION"),(F34))))</formula>
    </cfRule>
    <cfRule type="containsText" priority="15691" operator="containsText" dxfId="16" text="ED">
      <formula>NOT(ISERROR(SEARCH(("ED"),(F34))))</formula>
    </cfRule>
  </conditionalFormatting>
  <conditionalFormatting sqref="AJ13">
    <cfRule type="containsText" priority="15688" operator="containsText" dxfId="17" text="VACATION">
      <formula>NOT(ISERROR(SEARCH(("VACATION"),(AJ13))))</formula>
    </cfRule>
    <cfRule type="containsText" priority="15689" operator="containsText" dxfId="0" text="ICU N">
      <formula>NOT(ISERROR(SEARCH(("ICU N"),(AJ13))))</formula>
    </cfRule>
    <cfRule type="containsText" priority="12826" operator="containsText" dxfId="17" text="VACATION">
      <formula>NOT(ISERROR(SEARCH(("VACATION"),(AJ13))))</formula>
    </cfRule>
  </conditionalFormatting>
  <conditionalFormatting sqref="AJ12">
    <cfRule type="containsText" priority="15686" operator="containsText" dxfId="17" text="VACATION">
      <formula>NOT(ISERROR(SEARCH(("VACATION"),(AJ12))))</formula>
    </cfRule>
    <cfRule type="containsText" priority="15687" operator="containsText" dxfId="0" text="ICU N">
      <formula>NOT(ISERROR(SEARCH(("ICU N"),(AJ12))))</formula>
    </cfRule>
  </conditionalFormatting>
  <conditionalFormatting sqref="S12">
    <cfRule type="containsText" priority="15684" operator="containsText" dxfId="17" text="VACATION">
      <formula>NOT(ISERROR(SEARCH(("VACATION"),(S12))))</formula>
    </cfRule>
    <cfRule type="containsText" priority="15685" operator="containsText" dxfId="0" text="ICU N">
      <formula>NOT(ISERROR(SEARCH(("ICU N"),(S12))))</formula>
    </cfRule>
  </conditionalFormatting>
  <conditionalFormatting sqref="S23">
    <cfRule type="containsText" priority="15682" operator="containsText" dxfId="17" text="VACATION">
      <formula>NOT(ISERROR(SEARCH(("VACATION"),(S23))))</formula>
    </cfRule>
    <cfRule type="containsText" priority="15683" operator="containsText" dxfId="0" text="ICU N">
      <formula>NOT(ISERROR(SEARCH(("ICU N"),(S23))))</formula>
    </cfRule>
  </conditionalFormatting>
  <conditionalFormatting sqref="R24:S24">
    <cfRule type="containsText" priority="15680" operator="containsText" dxfId="17" text="VACATION">
      <formula>NOT(ISERROR(SEARCH(("VACATION"),(R24))))</formula>
    </cfRule>
    <cfRule type="containsText" priority="15681" operator="containsText" dxfId="0" text="ICU N">
      <formula>NOT(ISERROR(SEARCH(("ICU N"),(R24))))</formula>
    </cfRule>
  </conditionalFormatting>
  <conditionalFormatting sqref="S40">
    <cfRule type="containsText" priority="15676" operator="containsText" dxfId="17" text="VACATION">
      <formula>NOT(ISERROR(SEARCH(("VACATION"),(S40))))</formula>
    </cfRule>
    <cfRule type="containsText" priority="15677" operator="containsText" dxfId="0" text="ICU N">
      <formula>NOT(ISERROR(SEARCH(("ICU N"),(S40))))</formula>
    </cfRule>
    <cfRule type="containsText" priority="6358" operator="containsText" dxfId="17" text="VACATION">
      <formula>NOT(ISERROR(SEARCH(("VACATION"),(S40))))</formula>
    </cfRule>
    <cfRule type="containsText" priority="6359" operator="containsText" dxfId="0" text="ICU N">
      <formula>NOT(ISERROR(SEARCH(("ICU N"),(S40))))</formula>
    </cfRule>
  </conditionalFormatting>
  <conditionalFormatting sqref="T9">
    <cfRule type="containsText" priority="15659" operator="containsText" dxfId="17" text="VACATION">
      <formula>NOT(ISERROR(SEARCH(("VACATION"),(T9))))</formula>
    </cfRule>
    <cfRule type="containsText" priority="15660" operator="containsText" dxfId="16" text="ED">
      <formula>NOT(ISERROR(SEARCH(("ED"),(T9))))</formula>
    </cfRule>
    <cfRule type="containsText" priority="15661" operator="containsText" dxfId="15" text="GERIATRIC">
      <formula>NOT(ISERROR(SEARCH(("GERIATRIC"),(T9))))</formula>
    </cfRule>
    <cfRule type="containsText" priority="15662" operator="containsText" dxfId="7" text="PATH">
      <formula>NOT(ISERROR(SEARCH(("PATH"),(T9))))</formula>
    </cfRule>
    <cfRule type="containsText" priority="15663" operator="containsText" dxfId="7" text="NEPHRO">
      <formula>NOT(ISERROR(SEARCH(("NEPHRO"),(T9))))</formula>
    </cfRule>
    <cfRule type="containsText" priority="15664" operator="containsText" dxfId="7" text="PULM">
      <formula>NOT(ISERROR(SEARCH(("PULM"),(T9))))</formula>
    </cfRule>
    <cfRule type="containsText" priority="15665" operator="containsText" dxfId="7" text="RADIOLOGY">
      <formula>NOT(ISERROR(SEARCH(("RADIOLOGY"),(T9))))</formula>
    </cfRule>
    <cfRule type="containsText" priority="15666" operator="containsText" dxfId="7" text="HEM/ONC">
      <formula>NOT(ISERROR(SEARCH(("HEM/ONC"),(T9))))</formula>
    </cfRule>
    <cfRule type="containsText" priority="15667" operator="containsText" dxfId="7" text="CARDIO">
      <formula>NOT(ISERROR(SEARCH(("CARDIO"),(T9))))</formula>
    </cfRule>
    <cfRule type="containsText" priority="15668" operator="containsText" dxfId="7" text="ID">
      <formula>NOT(ISERROR(SEARCH(("ID"),(T9))))</formula>
    </cfRule>
    <cfRule type="containsText" priority="15669" operator="containsText" dxfId="7" text="NEURO">
      <formula>NOT(ISERROR(SEARCH(("NEURO"),(T9))))</formula>
    </cfRule>
    <cfRule type="containsText" priority="15670" operator="containsText" dxfId="6" text="NEURO">
      <formula>NOT(ISERROR(SEARCH(("NEURO"),(T9))))</formula>
    </cfRule>
    <cfRule type="containsText" priority="15671" operator="containsText" dxfId="5" text="NEURO">
      <formula>NOT(ISERROR(SEARCH(("NEURO"),(T9))))</formula>
    </cfRule>
    <cfRule type="containsText" priority="15672" operator="containsText" dxfId="0" text="ICU N">
      <formula>NOT(ISERROR(SEARCH(("ICU N"),(T9))))</formula>
    </cfRule>
    <cfRule type="containsText" priority="15673" operator="containsText" dxfId="3" text="ICU">
      <formula>NOT(ISERROR(SEARCH(("ICU"),(T9))))</formula>
    </cfRule>
    <cfRule type="containsText" priority="15674" operator="containsText" dxfId="0" text="SWING">
      <formula>NOT(ISERROR(SEARCH(("SWING"),(T9))))</formula>
    </cfRule>
    <cfRule type="containsText" priority="15675" operator="containsText" dxfId="0" text="NF">
      <formula>NOT(ISERROR(SEARCH(("NF"),(T9))))</formula>
    </cfRule>
  </conditionalFormatting>
  <conditionalFormatting sqref="U9">
    <cfRule type="containsText" priority="15642" operator="containsText" dxfId="17" text="VACATION">
      <formula>NOT(ISERROR(SEARCH(("VACATION"),(U9))))</formula>
    </cfRule>
    <cfRule type="containsText" priority="15643" operator="containsText" dxfId="16" text="ED">
      <formula>NOT(ISERROR(SEARCH(("ED"),(U9))))</formula>
    </cfRule>
    <cfRule type="containsText" priority="15644" operator="containsText" dxfId="15" text="GERIATRIC">
      <formula>NOT(ISERROR(SEARCH(("GERIATRIC"),(U9))))</formula>
    </cfRule>
    <cfRule type="containsText" priority="15645" operator="containsText" dxfId="7" text="PATH">
      <formula>NOT(ISERROR(SEARCH(("PATH"),(U9))))</formula>
    </cfRule>
    <cfRule type="containsText" priority="15646" operator="containsText" dxfId="7" text="NEPHRO">
      <formula>NOT(ISERROR(SEARCH(("NEPHRO"),(U9))))</formula>
    </cfRule>
    <cfRule type="containsText" priority="15647" operator="containsText" dxfId="7" text="PULM">
      <formula>NOT(ISERROR(SEARCH(("PULM"),(U9))))</formula>
    </cfRule>
    <cfRule type="containsText" priority="15648" operator="containsText" dxfId="7" text="RADIOLOGY">
      <formula>NOT(ISERROR(SEARCH(("RADIOLOGY"),(U9))))</formula>
    </cfRule>
    <cfRule type="containsText" priority="15649" operator="containsText" dxfId="7" text="HEM/ONC">
      <formula>NOT(ISERROR(SEARCH(("HEM/ONC"),(U9))))</formula>
    </cfRule>
    <cfRule type="containsText" priority="15650" operator="containsText" dxfId="7" text="CARDIO">
      <formula>NOT(ISERROR(SEARCH(("CARDIO"),(U9))))</formula>
    </cfRule>
    <cfRule type="containsText" priority="15651" operator="containsText" dxfId="7" text="ID">
      <formula>NOT(ISERROR(SEARCH(("ID"),(U9))))</formula>
    </cfRule>
    <cfRule type="containsText" priority="15652" operator="containsText" dxfId="7" text="NEURO">
      <formula>NOT(ISERROR(SEARCH(("NEURO"),(U9))))</formula>
    </cfRule>
    <cfRule type="containsText" priority="15653" operator="containsText" dxfId="6" text="NEURO">
      <formula>NOT(ISERROR(SEARCH(("NEURO"),(U9))))</formula>
    </cfRule>
    <cfRule type="containsText" priority="15654" operator="containsText" dxfId="5" text="NEURO">
      <formula>NOT(ISERROR(SEARCH(("NEURO"),(U9))))</formula>
    </cfRule>
    <cfRule type="containsText" priority="15655" operator="containsText" dxfId="0" text="ICU N">
      <formula>NOT(ISERROR(SEARCH(("ICU N"),(U9))))</formula>
    </cfRule>
    <cfRule type="containsText" priority="15656" operator="containsText" dxfId="3" text="ICU">
      <formula>NOT(ISERROR(SEARCH(("ICU"),(U9))))</formula>
    </cfRule>
    <cfRule type="containsText" priority="15657" operator="containsText" dxfId="0" text="SWING">
      <formula>NOT(ISERROR(SEARCH(("SWING"),(U9))))</formula>
    </cfRule>
    <cfRule type="containsText" priority="15658" operator="containsText" dxfId="0" text="NF">
      <formula>NOT(ISERROR(SEARCH(("NF"),(U9))))</formula>
    </cfRule>
  </conditionalFormatting>
  <conditionalFormatting sqref="T45:T46">
    <cfRule type="containsText" priority="15638" operator="containsText" dxfId="17" text="VACATION">
      <formula>NOT(ISERROR(SEARCH(("VACATION"),(T45))))</formula>
    </cfRule>
    <cfRule type="containsText" priority="15639" operator="containsText" dxfId="0" text="ICU N">
      <formula>NOT(ISERROR(SEARCH(("ICU N"),(T45))))</formula>
    </cfRule>
  </conditionalFormatting>
  <conditionalFormatting sqref="T41">
    <cfRule type="containsText" priority="15634" operator="containsText" dxfId="17" text="VACATION">
      <formula>NOT(ISERROR(SEARCH(("VACATION"),(T41))))</formula>
    </cfRule>
    <cfRule type="containsText" priority="15635" operator="containsText" dxfId="0" text="ICU N">
      <formula>NOT(ISERROR(SEARCH(("ICU N"),(T41))))</formula>
    </cfRule>
  </conditionalFormatting>
  <conditionalFormatting sqref="U14">
    <cfRule type="containsText" priority="15620" operator="containsText" dxfId="15" text="GERIATRIC">
      <formula>NOT(ISERROR(SEARCH(("GERIATRIC"),(U14))))</formula>
    </cfRule>
    <cfRule type="containsText" priority="15621" operator="containsText" dxfId="7" text="PATH">
      <formula>NOT(ISERROR(SEARCH(("PATH"),(U14))))</formula>
    </cfRule>
    <cfRule type="containsText" priority="15622" operator="containsText" dxfId="7" text="NEPHRO">
      <formula>NOT(ISERROR(SEARCH(("NEPHRO"),(U14))))</formula>
    </cfRule>
    <cfRule type="containsText" priority="15623" operator="containsText" dxfId="7" text="PULM">
      <formula>NOT(ISERROR(SEARCH(("PULM"),(U14))))</formula>
    </cfRule>
    <cfRule type="containsText" priority="15624" operator="containsText" dxfId="7" text="RADIOLOGY">
      <formula>NOT(ISERROR(SEARCH(("RADIOLOGY"),(U14))))</formula>
    </cfRule>
    <cfRule type="containsText" priority="15625" operator="containsText" dxfId="7" text="HEM/ONC">
      <formula>NOT(ISERROR(SEARCH(("HEM/ONC"),(U14))))</formula>
    </cfRule>
    <cfRule type="containsText" priority="15626" operator="containsText" dxfId="7" text="CARDIO">
      <formula>NOT(ISERROR(SEARCH(("CARDIO"),(U14))))</formula>
    </cfRule>
    <cfRule type="containsText" priority="15627" operator="containsText" dxfId="7" text="ID">
      <formula>NOT(ISERROR(SEARCH(("ID"),(U14))))</formula>
    </cfRule>
    <cfRule type="containsText" priority="15628" operator="containsText" dxfId="7" text="NEURO">
      <formula>NOT(ISERROR(SEARCH(("NEURO"),(U14))))</formula>
    </cfRule>
    <cfRule type="containsText" priority="15629" operator="containsText" dxfId="6" text="NEURO">
      <formula>NOT(ISERROR(SEARCH(("NEURO"),(U14))))</formula>
    </cfRule>
    <cfRule type="containsText" priority="15630" operator="containsText" dxfId="5" text="NEURO">
      <formula>NOT(ISERROR(SEARCH(("NEURO"),(U14))))</formula>
    </cfRule>
    <cfRule type="containsText" priority="15631" operator="containsText" dxfId="3" text="ICU">
      <formula>NOT(ISERROR(SEARCH(("ICU"),(U14))))</formula>
    </cfRule>
    <cfRule type="containsText" priority="15632" operator="containsText" dxfId="0" text="SWING">
      <formula>NOT(ISERROR(SEARCH(("SWING"),(U14))))</formula>
    </cfRule>
    <cfRule type="containsText" priority="15633" operator="containsText" dxfId="0" text="NF">
      <formula>NOT(ISERROR(SEARCH(("NF"),(U14))))</formula>
    </cfRule>
  </conditionalFormatting>
  <conditionalFormatting sqref="V14">
    <cfRule type="containsText" priority="15606" operator="containsText" dxfId="15" text="GERIATRIC">
      <formula>NOT(ISERROR(SEARCH(("GERIATRIC"),(V14))))</formula>
    </cfRule>
    <cfRule type="containsText" priority="15607" operator="containsText" dxfId="7" text="PATH">
      <formula>NOT(ISERROR(SEARCH(("PATH"),(V14))))</formula>
    </cfRule>
    <cfRule type="containsText" priority="15608" operator="containsText" dxfId="7" text="NEPHRO">
      <formula>NOT(ISERROR(SEARCH(("NEPHRO"),(V14))))</formula>
    </cfRule>
    <cfRule type="containsText" priority="15609" operator="containsText" dxfId="7" text="PULM">
      <formula>NOT(ISERROR(SEARCH(("PULM"),(V14))))</formula>
    </cfRule>
    <cfRule type="containsText" priority="15610" operator="containsText" dxfId="7" text="RADIOLOGY">
      <formula>NOT(ISERROR(SEARCH(("RADIOLOGY"),(V14))))</formula>
    </cfRule>
    <cfRule type="containsText" priority="15611" operator="containsText" dxfId="7" text="HEM/ONC">
      <formula>NOT(ISERROR(SEARCH(("HEM/ONC"),(V14))))</formula>
    </cfRule>
    <cfRule type="containsText" priority="15612" operator="containsText" dxfId="7" text="CARDIO">
      <formula>NOT(ISERROR(SEARCH(("CARDIO"),(V14))))</formula>
    </cfRule>
    <cfRule type="containsText" priority="15613" operator="containsText" dxfId="7" text="ID">
      <formula>NOT(ISERROR(SEARCH(("ID"),(V14))))</formula>
    </cfRule>
    <cfRule type="containsText" priority="15614" operator="containsText" dxfId="7" text="NEURO">
      <formula>NOT(ISERROR(SEARCH(("NEURO"),(V14))))</formula>
    </cfRule>
    <cfRule type="containsText" priority="15615" operator="containsText" dxfId="6" text="NEURO">
      <formula>NOT(ISERROR(SEARCH(("NEURO"),(V14))))</formula>
    </cfRule>
    <cfRule type="containsText" priority="15616" operator="containsText" dxfId="5" text="NEURO">
      <formula>NOT(ISERROR(SEARCH(("NEURO"),(V14))))</formula>
    </cfRule>
    <cfRule type="containsText" priority="15617" operator="containsText" dxfId="3" text="ICU">
      <formula>NOT(ISERROR(SEARCH(("ICU"),(V14))))</formula>
    </cfRule>
    <cfRule type="containsText" priority="15618" operator="containsText" dxfId="0" text="SWING">
      <formula>NOT(ISERROR(SEARCH(("SWING"),(V14))))</formula>
    </cfRule>
    <cfRule type="containsText" priority="15619" operator="containsText" dxfId="0" text="NF">
      <formula>NOT(ISERROR(SEARCH(("NF"),(V14))))</formula>
    </cfRule>
  </conditionalFormatting>
  <conditionalFormatting sqref="U11">
    <cfRule type="containsText" priority="15604" operator="containsText" dxfId="17" text="VACATION">
      <formula>NOT(ISERROR(SEARCH(("VACATION"),(U11))))</formula>
    </cfRule>
    <cfRule type="containsText" priority="15605" operator="containsText" dxfId="0" text="ICU N">
      <formula>NOT(ISERROR(SEARCH(("ICU N"),(U11))))</formula>
    </cfRule>
  </conditionalFormatting>
  <conditionalFormatting sqref="U39">
    <cfRule type="containsText" priority="15602" operator="containsText" dxfId="17" text="VACATION">
      <formula>NOT(ISERROR(SEARCH(("VACATION"),(U39))))</formula>
    </cfRule>
    <cfRule type="containsText" priority="15603" operator="containsText" dxfId="0" text="ICU N">
      <formula>NOT(ISERROR(SEARCH(("ICU N"),(U39))))</formula>
    </cfRule>
    <cfRule type="containsText" priority="13682" operator="containsText" dxfId="17" text="VACATION">
      <formula>NOT(ISERROR(SEARCH(("VACATION"),(U39))))</formula>
    </cfRule>
    <cfRule type="containsText" priority="13683" operator="containsText" dxfId="0" text="ICU N">
      <formula>NOT(ISERROR(SEARCH(("ICU N"),(U39))))</formula>
    </cfRule>
  </conditionalFormatting>
  <conditionalFormatting sqref="U19">
    <cfRule type="containsText" priority="15588" operator="containsText" dxfId="15" text="GERIATRIC">
      <formula>NOT(ISERROR(SEARCH(("GERIATRIC"),(U19))))</formula>
    </cfRule>
    <cfRule type="containsText" priority="15589" operator="containsText" dxfId="7" text="PATH">
      <formula>NOT(ISERROR(SEARCH(("PATH"),(U19))))</formula>
    </cfRule>
    <cfRule type="containsText" priority="15590" operator="containsText" dxfId="7" text="NEPHRO">
      <formula>NOT(ISERROR(SEARCH(("NEPHRO"),(U19))))</formula>
    </cfRule>
    <cfRule type="containsText" priority="15591" operator="containsText" dxfId="7" text="PULM">
      <formula>NOT(ISERROR(SEARCH(("PULM"),(U19))))</formula>
    </cfRule>
    <cfRule type="containsText" priority="15592" operator="containsText" dxfId="7" text="RADIOLOGY">
      <formula>NOT(ISERROR(SEARCH(("RADIOLOGY"),(U19))))</formula>
    </cfRule>
    <cfRule type="containsText" priority="15593" operator="containsText" dxfId="7" text="HEM/ONC">
      <formula>NOT(ISERROR(SEARCH(("HEM/ONC"),(U19))))</formula>
    </cfRule>
    <cfRule type="containsText" priority="15594" operator="containsText" dxfId="7" text="CARDIO">
      <formula>NOT(ISERROR(SEARCH(("CARDIO"),(U19))))</formula>
    </cfRule>
    <cfRule type="containsText" priority="15595" operator="containsText" dxfId="7" text="ID">
      <formula>NOT(ISERROR(SEARCH(("ID"),(U19))))</formula>
    </cfRule>
    <cfRule type="containsText" priority="15596" operator="containsText" dxfId="7" text="NEURO">
      <formula>NOT(ISERROR(SEARCH(("NEURO"),(U19))))</formula>
    </cfRule>
    <cfRule type="containsText" priority="15597" operator="containsText" dxfId="6" text="NEURO">
      <formula>NOT(ISERROR(SEARCH(("NEURO"),(U19))))</formula>
    </cfRule>
    <cfRule type="containsText" priority="15598" operator="containsText" dxfId="5" text="NEURO">
      <formula>NOT(ISERROR(SEARCH(("NEURO"),(U19))))</formula>
    </cfRule>
    <cfRule type="containsText" priority="15599" operator="containsText" dxfId="3" text="ICU">
      <formula>NOT(ISERROR(SEARCH(("ICU"),(U19))))</formula>
    </cfRule>
    <cfRule type="containsText" priority="15600" operator="containsText" dxfId="0" text="SWING">
      <formula>NOT(ISERROR(SEARCH(("SWING"),(U19))))</formula>
    </cfRule>
    <cfRule type="containsText" priority="15601" operator="containsText" dxfId="0" text="NF">
      <formula>NOT(ISERROR(SEARCH(("NF"),(U19))))</formula>
    </cfRule>
    <cfRule type="containsText" priority="15586" operator="containsText" dxfId="17" text="VACATION">
      <formula>NOT(ISERROR(SEARCH(("VACATION"),(U19))))</formula>
    </cfRule>
    <cfRule type="containsText" priority="15587" operator="containsText" dxfId="0" text="ICU N">
      <formula>NOT(ISERROR(SEARCH(("ICU N"),(U19))))</formula>
    </cfRule>
  </conditionalFormatting>
  <conditionalFormatting sqref="U18">
    <cfRule type="containsText" priority="15572" operator="containsText" dxfId="15" text="GERIATRIC">
      <formula>NOT(ISERROR(SEARCH(("GERIATRIC"),(U18))))</formula>
    </cfRule>
    <cfRule type="containsText" priority="15573" operator="containsText" dxfId="7" text="PATH">
      <formula>NOT(ISERROR(SEARCH(("PATH"),(U18))))</formula>
    </cfRule>
    <cfRule type="containsText" priority="15574" operator="containsText" dxfId="7" text="NEPHRO">
      <formula>NOT(ISERROR(SEARCH(("NEPHRO"),(U18))))</formula>
    </cfRule>
    <cfRule type="containsText" priority="15575" operator="containsText" dxfId="7" text="PULM">
      <formula>NOT(ISERROR(SEARCH(("PULM"),(U18))))</formula>
    </cfRule>
    <cfRule type="containsText" priority="15576" operator="containsText" dxfId="7" text="RADIOLOGY">
      <formula>NOT(ISERROR(SEARCH(("RADIOLOGY"),(U18))))</formula>
    </cfRule>
    <cfRule type="containsText" priority="15577" operator="containsText" dxfId="7" text="HEM/ONC">
      <formula>NOT(ISERROR(SEARCH(("HEM/ONC"),(U18))))</formula>
    </cfRule>
    <cfRule type="containsText" priority="15578" operator="containsText" dxfId="7" text="CARDIO">
      <formula>NOT(ISERROR(SEARCH(("CARDIO"),(U18))))</formula>
    </cfRule>
    <cfRule type="containsText" priority="15579" operator="containsText" dxfId="7" text="ID">
      <formula>NOT(ISERROR(SEARCH(("ID"),(U18))))</formula>
    </cfRule>
    <cfRule type="containsText" priority="15580" operator="containsText" dxfId="7" text="NEURO">
      <formula>NOT(ISERROR(SEARCH(("NEURO"),(U18))))</formula>
    </cfRule>
    <cfRule type="containsText" priority="15581" operator="containsText" dxfId="6" text="NEURO">
      <formula>NOT(ISERROR(SEARCH(("NEURO"),(U18))))</formula>
    </cfRule>
    <cfRule type="containsText" priority="15582" operator="containsText" dxfId="5" text="NEURO">
      <formula>NOT(ISERROR(SEARCH(("NEURO"),(U18))))</formula>
    </cfRule>
    <cfRule type="containsText" priority="15583" operator="containsText" dxfId="3" text="ICU">
      <formula>NOT(ISERROR(SEARCH(("ICU"),(U18))))</formula>
    </cfRule>
    <cfRule type="containsText" priority="15584" operator="containsText" dxfId="0" text="SWING">
      <formula>NOT(ISERROR(SEARCH(("SWING"),(U18))))</formula>
    </cfRule>
    <cfRule type="containsText" priority="15585" operator="containsText" dxfId="0" text="NF">
      <formula>NOT(ISERROR(SEARCH(("NF"),(U18))))</formula>
    </cfRule>
    <cfRule type="containsText" priority="15570" operator="containsText" dxfId="17" text="VACATION">
      <formula>NOT(ISERROR(SEARCH(("VACATION"),(U18))))</formula>
    </cfRule>
    <cfRule type="containsText" priority="15571" operator="containsText" dxfId="0" text="ICU N">
      <formula>NOT(ISERROR(SEARCH(("ICU N"),(U18))))</formula>
    </cfRule>
  </conditionalFormatting>
  <conditionalFormatting sqref="X20">
    <cfRule type="containsText" priority="15556" operator="containsText" dxfId="15" text="GERIATRIC">
      <formula>NOT(ISERROR(SEARCH(("GERIATRIC"),(X20))))</formula>
    </cfRule>
    <cfRule type="containsText" priority="15557" operator="containsText" dxfId="7" text="PATH">
      <formula>NOT(ISERROR(SEARCH(("PATH"),(X20))))</formula>
    </cfRule>
    <cfRule type="containsText" priority="15558" operator="containsText" dxfId="7" text="NEPHRO">
      <formula>NOT(ISERROR(SEARCH(("NEPHRO"),(X20))))</formula>
    </cfRule>
    <cfRule type="containsText" priority="15559" operator="containsText" dxfId="7" text="PULM">
      <formula>NOT(ISERROR(SEARCH(("PULM"),(X20))))</formula>
    </cfRule>
    <cfRule type="containsText" priority="15560" operator="containsText" dxfId="7" text="RADIOLOGY">
      <formula>NOT(ISERROR(SEARCH(("RADIOLOGY"),(X20))))</formula>
    </cfRule>
    <cfRule type="containsText" priority="15561" operator="containsText" dxfId="7" text="HEM/ONC">
      <formula>NOT(ISERROR(SEARCH(("HEM/ONC"),(X20))))</formula>
    </cfRule>
    <cfRule type="containsText" priority="15562" operator="containsText" dxfId="7" text="CARDIO">
      <formula>NOT(ISERROR(SEARCH(("CARDIO"),(X20))))</formula>
    </cfRule>
    <cfRule type="containsText" priority="15563" operator="containsText" dxfId="7" text="ID">
      <formula>NOT(ISERROR(SEARCH(("ID"),(X20))))</formula>
    </cfRule>
    <cfRule type="containsText" priority="15564" operator="containsText" dxfId="7" text="NEURO">
      <formula>NOT(ISERROR(SEARCH(("NEURO"),(X20))))</formula>
    </cfRule>
    <cfRule type="containsText" priority="15565" operator="containsText" dxfId="6" text="NEURO">
      <formula>NOT(ISERROR(SEARCH(("NEURO"),(X20))))</formula>
    </cfRule>
    <cfRule type="containsText" priority="15566" operator="containsText" dxfId="5" text="NEURO">
      <formula>NOT(ISERROR(SEARCH(("NEURO"),(X20))))</formula>
    </cfRule>
    <cfRule type="containsText" priority="15567" operator="containsText" dxfId="3" text="ICU">
      <formula>NOT(ISERROR(SEARCH(("ICU"),(X20))))</formula>
    </cfRule>
    <cfRule type="containsText" priority="15568" operator="containsText" dxfId="0" text="SWING">
      <formula>NOT(ISERROR(SEARCH(("SWING"),(X20))))</formula>
    </cfRule>
    <cfRule type="containsText" priority="15569" operator="containsText" dxfId="0" text="NF">
      <formula>NOT(ISERROR(SEARCH(("NF"),(X20))))</formula>
    </cfRule>
  </conditionalFormatting>
  <conditionalFormatting sqref="Y21">
    <cfRule type="containsText" priority="15528" operator="containsText" dxfId="15" text="GERIATRIC">
      <formula>NOT(ISERROR(SEARCH(("GERIATRIC"),(Y21))))</formula>
    </cfRule>
    <cfRule type="containsText" priority="15529" operator="containsText" dxfId="7" text="PATH">
      <formula>NOT(ISERROR(SEARCH(("PATH"),(Y21))))</formula>
    </cfRule>
    <cfRule type="containsText" priority="15530" operator="containsText" dxfId="7" text="NEPHRO">
      <formula>NOT(ISERROR(SEARCH(("NEPHRO"),(Y21))))</formula>
    </cfRule>
    <cfRule type="containsText" priority="15531" operator="containsText" dxfId="7" text="PULM">
      <formula>NOT(ISERROR(SEARCH(("PULM"),(Y21))))</formula>
    </cfRule>
    <cfRule type="containsText" priority="15532" operator="containsText" dxfId="7" text="RADIOLOGY">
      <formula>NOT(ISERROR(SEARCH(("RADIOLOGY"),(Y21))))</formula>
    </cfRule>
    <cfRule type="containsText" priority="15533" operator="containsText" dxfId="7" text="HEM/ONC">
      <formula>NOT(ISERROR(SEARCH(("HEM/ONC"),(Y21))))</formula>
    </cfRule>
    <cfRule type="containsText" priority="15534" operator="containsText" dxfId="7" text="CARDIO">
      <formula>NOT(ISERROR(SEARCH(("CARDIO"),(Y21))))</formula>
    </cfRule>
    <cfRule type="containsText" priority="15535" operator="containsText" dxfId="7" text="ID">
      <formula>NOT(ISERROR(SEARCH(("ID"),(Y21))))</formula>
    </cfRule>
    <cfRule type="containsText" priority="15536" operator="containsText" dxfId="7" text="NEURO">
      <formula>NOT(ISERROR(SEARCH(("NEURO"),(Y21))))</formula>
    </cfRule>
    <cfRule type="containsText" priority="15537" operator="containsText" dxfId="6" text="NEURO">
      <formula>NOT(ISERROR(SEARCH(("NEURO"),(Y21))))</formula>
    </cfRule>
    <cfRule type="containsText" priority="15538" operator="containsText" dxfId="5" text="NEURO">
      <formula>NOT(ISERROR(SEARCH(("NEURO"),(Y21))))</formula>
    </cfRule>
    <cfRule type="containsText" priority="15539" operator="containsText" dxfId="3" text="ICU">
      <formula>NOT(ISERROR(SEARCH(("ICU"),(Y21))))</formula>
    </cfRule>
    <cfRule type="containsText" priority="15540" operator="containsText" dxfId="0" text="SWING">
      <formula>NOT(ISERROR(SEARCH(("SWING"),(Y21))))</formula>
    </cfRule>
    <cfRule type="containsText" priority="15541" operator="containsText" dxfId="0" text="NF">
      <formula>NOT(ISERROR(SEARCH(("NF"),(Y21))))</formula>
    </cfRule>
    <cfRule type="containsText" priority="13831" operator="containsText" dxfId="15" text="GERIATRIC">
      <formula>NOT(ISERROR(SEARCH(("GERIATRIC"),(Y21))))</formula>
    </cfRule>
    <cfRule type="containsText" priority="13832" operator="containsText" dxfId="7" text="PATH">
      <formula>NOT(ISERROR(SEARCH(("PATH"),(Y21))))</formula>
    </cfRule>
    <cfRule type="containsText" priority="13833" operator="containsText" dxfId="7" text="NEPHRO">
      <formula>NOT(ISERROR(SEARCH(("NEPHRO"),(Y21))))</formula>
    </cfRule>
    <cfRule type="containsText" priority="13834" operator="containsText" dxfId="7" text="PULM">
      <formula>NOT(ISERROR(SEARCH(("PULM"),(Y21))))</formula>
    </cfRule>
    <cfRule type="containsText" priority="13835" operator="containsText" dxfId="7" text="RADIOLOGY">
      <formula>NOT(ISERROR(SEARCH(("RADIOLOGY"),(Y21))))</formula>
    </cfRule>
    <cfRule type="containsText" priority="13836" operator="containsText" dxfId="7" text="HEM/ONC">
      <formula>NOT(ISERROR(SEARCH(("HEM/ONC"),(Y21))))</formula>
    </cfRule>
    <cfRule type="containsText" priority="13837" operator="containsText" dxfId="7" text="CARDIO">
      <formula>NOT(ISERROR(SEARCH(("CARDIO"),(Y21))))</formula>
    </cfRule>
    <cfRule type="containsText" priority="13838" operator="containsText" dxfId="7" text="ID">
      <formula>NOT(ISERROR(SEARCH(("ID"),(Y21))))</formula>
    </cfRule>
    <cfRule type="containsText" priority="13839" operator="containsText" dxfId="7" text="NEURO">
      <formula>NOT(ISERROR(SEARCH(("NEURO"),(Y21))))</formula>
    </cfRule>
    <cfRule type="containsText" priority="13840" operator="containsText" dxfId="6" text="NEURO">
      <formula>NOT(ISERROR(SEARCH(("NEURO"),(Y21))))</formula>
    </cfRule>
    <cfRule type="containsText" priority="13841" operator="containsText" dxfId="5" text="NEURO">
      <formula>NOT(ISERROR(SEARCH(("NEURO"),(Y21))))</formula>
    </cfRule>
    <cfRule type="containsText" priority="13842" operator="containsText" dxfId="3" text="ICU">
      <formula>NOT(ISERROR(SEARCH(("ICU"),(Y21))))</formula>
    </cfRule>
    <cfRule type="containsText" priority="13843" operator="containsText" dxfId="0" text="SWING">
      <formula>NOT(ISERROR(SEARCH(("SWING"),(Y21))))</formula>
    </cfRule>
    <cfRule type="containsText" priority="13844" operator="containsText" dxfId="0" text="NF">
      <formula>NOT(ISERROR(SEARCH(("NF"),(Y21))))</formula>
    </cfRule>
    <cfRule type="containsText" priority="13829" operator="containsText" dxfId="17" text="VACATION">
      <formula>NOT(ISERROR(SEARCH(("VACATION"),(Y21))))</formula>
    </cfRule>
    <cfRule type="containsText" priority="13830" operator="containsText" dxfId="0" text="ICU N">
      <formula>NOT(ISERROR(SEARCH(("ICU N"),(Y21))))</formula>
    </cfRule>
  </conditionalFormatting>
  <conditionalFormatting sqref="X20:X21">
    <cfRule type="containsText" priority="15514" operator="containsText" dxfId="15" text="GERIATRIC">
      <formula>NOT(ISERROR(SEARCH(("GERIATRIC"),(X20))))</formula>
    </cfRule>
    <cfRule type="containsText" priority="15515" operator="containsText" dxfId="7" text="PATH">
      <formula>NOT(ISERROR(SEARCH(("PATH"),(X20))))</formula>
    </cfRule>
    <cfRule type="containsText" priority="15516" operator="containsText" dxfId="7" text="NEPHRO">
      <formula>NOT(ISERROR(SEARCH(("NEPHRO"),(X20))))</formula>
    </cfRule>
    <cfRule type="containsText" priority="15517" operator="containsText" dxfId="7" text="PULM">
      <formula>NOT(ISERROR(SEARCH(("PULM"),(X20))))</formula>
    </cfRule>
    <cfRule type="containsText" priority="15518" operator="containsText" dxfId="7" text="RADIOLOGY">
      <formula>NOT(ISERROR(SEARCH(("RADIOLOGY"),(X20))))</formula>
    </cfRule>
    <cfRule type="containsText" priority="15519" operator="containsText" dxfId="7" text="HEM/ONC">
      <formula>NOT(ISERROR(SEARCH(("HEM/ONC"),(X20))))</formula>
    </cfRule>
    <cfRule type="containsText" priority="15520" operator="containsText" dxfId="7" text="CARDIO">
      <formula>NOT(ISERROR(SEARCH(("CARDIO"),(X20))))</formula>
    </cfRule>
    <cfRule type="containsText" priority="15521" operator="containsText" dxfId="7" text="ID">
      <formula>NOT(ISERROR(SEARCH(("ID"),(X20))))</formula>
    </cfRule>
    <cfRule type="containsText" priority="15522" operator="containsText" dxfId="7" text="NEURO">
      <formula>NOT(ISERROR(SEARCH(("NEURO"),(X20))))</formula>
    </cfRule>
    <cfRule type="containsText" priority="15523" operator="containsText" dxfId="6" text="NEURO">
      <formula>NOT(ISERROR(SEARCH(("NEURO"),(X20))))</formula>
    </cfRule>
    <cfRule type="containsText" priority="15524" operator="containsText" dxfId="5" text="NEURO">
      <formula>NOT(ISERROR(SEARCH(("NEURO"),(X20))))</formula>
    </cfRule>
    <cfRule type="containsText" priority="15525" operator="containsText" dxfId="3" text="ICU">
      <formula>NOT(ISERROR(SEARCH(("ICU"),(X20))))</formula>
    </cfRule>
    <cfRule type="containsText" priority="15526" operator="containsText" dxfId="0" text="SWING">
      <formula>NOT(ISERROR(SEARCH(("SWING"),(X20))))</formula>
    </cfRule>
    <cfRule type="containsText" priority="15527" operator="containsText" dxfId="0" text="NF">
      <formula>NOT(ISERROR(SEARCH(("NF"),(X20))))</formula>
    </cfRule>
    <cfRule type="containsText" priority="13847" operator="containsText" dxfId="15" text="GERIATRIC">
      <formula>NOT(ISERROR(SEARCH(("GERIATRIC"),(X20))))</formula>
    </cfRule>
    <cfRule type="containsText" priority="13848" operator="containsText" dxfId="7" text="PATH">
      <formula>NOT(ISERROR(SEARCH(("PATH"),(X20))))</formula>
    </cfRule>
    <cfRule type="containsText" priority="13849" operator="containsText" dxfId="7" text="NEPHRO">
      <formula>NOT(ISERROR(SEARCH(("NEPHRO"),(X20))))</formula>
    </cfRule>
    <cfRule type="containsText" priority="13850" operator="containsText" dxfId="7" text="PULM">
      <formula>NOT(ISERROR(SEARCH(("PULM"),(X20))))</formula>
    </cfRule>
    <cfRule type="containsText" priority="13851" operator="containsText" dxfId="7" text="RADIOLOGY">
      <formula>NOT(ISERROR(SEARCH(("RADIOLOGY"),(X20))))</formula>
    </cfRule>
    <cfRule type="containsText" priority="13852" operator="containsText" dxfId="7" text="HEM/ONC">
      <formula>NOT(ISERROR(SEARCH(("HEM/ONC"),(X20))))</formula>
    </cfRule>
    <cfRule type="containsText" priority="13853" operator="containsText" dxfId="7" text="CARDIO">
      <formula>NOT(ISERROR(SEARCH(("CARDIO"),(X20))))</formula>
    </cfRule>
    <cfRule type="containsText" priority="13854" operator="containsText" dxfId="7" text="ID">
      <formula>NOT(ISERROR(SEARCH(("ID"),(X20))))</formula>
    </cfRule>
    <cfRule type="containsText" priority="13855" operator="containsText" dxfId="7" text="NEURO">
      <formula>NOT(ISERROR(SEARCH(("NEURO"),(X20))))</formula>
    </cfRule>
    <cfRule type="containsText" priority="13856" operator="containsText" dxfId="6" text="NEURO">
      <formula>NOT(ISERROR(SEARCH(("NEURO"),(X20))))</formula>
    </cfRule>
    <cfRule type="containsText" priority="13857" operator="containsText" dxfId="5" text="NEURO">
      <formula>NOT(ISERROR(SEARCH(("NEURO"),(X20))))</formula>
    </cfRule>
    <cfRule type="containsText" priority="13858" operator="containsText" dxfId="3" text="ICU">
      <formula>NOT(ISERROR(SEARCH(("ICU"),(X20))))</formula>
    </cfRule>
    <cfRule type="containsText" priority="13859" operator="containsText" dxfId="0" text="SWING">
      <formula>NOT(ISERROR(SEARCH(("SWING"),(X20))))</formula>
    </cfRule>
    <cfRule type="containsText" priority="13860" operator="containsText" dxfId="0" text="NF">
      <formula>NOT(ISERROR(SEARCH(("NF"),(X20))))</formula>
    </cfRule>
    <cfRule type="containsText" priority="13845" operator="containsText" dxfId="17" text="VACATION">
      <formula>NOT(ISERROR(SEARCH(("VACATION"),(X20))))</formula>
    </cfRule>
    <cfRule type="containsText" priority="13846" operator="containsText" dxfId="0" text="ICU N">
      <formula>NOT(ISERROR(SEARCH(("ICU N"),(X20))))</formula>
    </cfRule>
  </conditionalFormatting>
  <conditionalFormatting sqref="V19:W19">
    <cfRule type="containsText" priority="15497" operator="containsText" dxfId="17" text="VACATION">
      <formula>NOT(ISERROR(SEARCH(("VACATION"),(V19))))</formula>
    </cfRule>
    <cfRule type="containsText" priority="15498" operator="containsText" dxfId="16" text="ED">
      <formula>NOT(ISERROR(SEARCH(("ED"),(V19))))</formula>
    </cfRule>
    <cfRule type="containsText" priority="15499" operator="containsText" dxfId="15" text="GERIATRIC">
      <formula>NOT(ISERROR(SEARCH(("GERIATRIC"),(V19))))</formula>
    </cfRule>
    <cfRule type="containsText" priority="15500" operator="containsText" dxfId="7" text="PATH">
      <formula>NOT(ISERROR(SEARCH(("PATH"),(V19))))</formula>
    </cfRule>
    <cfRule type="containsText" priority="15501" operator="containsText" dxfId="7" text="NEPHRO">
      <formula>NOT(ISERROR(SEARCH(("NEPHRO"),(V19))))</formula>
    </cfRule>
    <cfRule type="containsText" priority="15502" operator="containsText" dxfId="7" text="PULM">
      <formula>NOT(ISERROR(SEARCH(("PULM"),(V19))))</formula>
    </cfRule>
    <cfRule type="containsText" priority="15503" operator="containsText" dxfId="7" text="RADIOLOGY">
      <formula>NOT(ISERROR(SEARCH(("RADIOLOGY"),(V19))))</formula>
    </cfRule>
    <cfRule type="containsText" priority="15504" operator="containsText" dxfId="7" text="HEM/ONC">
      <formula>NOT(ISERROR(SEARCH(("HEM/ONC"),(V19))))</formula>
    </cfRule>
    <cfRule type="containsText" priority="15505" operator="containsText" dxfId="7" text="CARDIO">
      <formula>NOT(ISERROR(SEARCH(("CARDIO"),(V19))))</formula>
    </cfRule>
    <cfRule type="containsText" priority="15506" operator="containsText" dxfId="7" text="ID">
      <formula>NOT(ISERROR(SEARCH(("ID"),(V19))))</formula>
    </cfRule>
    <cfRule type="containsText" priority="15507" operator="containsText" dxfId="7" text="NEURO">
      <formula>NOT(ISERROR(SEARCH(("NEURO"),(V19))))</formula>
    </cfRule>
    <cfRule type="containsText" priority="15508" operator="containsText" dxfId="6" text="NEURO">
      <formula>NOT(ISERROR(SEARCH(("NEURO"),(V19))))</formula>
    </cfRule>
    <cfRule type="containsText" priority="15509" operator="containsText" dxfId="5" text="NEURO">
      <formula>NOT(ISERROR(SEARCH(("NEURO"),(V19))))</formula>
    </cfRule>
    <cfRule type="containsText" priority="15510" operator="containsText" dxfId="0" text="ICU N">
      <formula>NOT(ISERROR(SEARCH(("ICU N"),(V19))))</formula>
    </cfRule>
    <cfRule type="containsText" priority="15511" operator="containsText" dxfId="3" text="ICU">
      <formula>NOT(ISERROR(SEARCH(("ICU"),(V19))))</formula>
    </cfRule>
    <cfRule type="containsText" priority="15512" operator="containsText" dxfId="0" text="SWING">
      <formula>NOT(ISERROR(SEARCH(("SWING"),(V19))))</formula>
    </cfRule>
    <cfRule type="containsText" priority="15513" operator="containsText" dxfId="0" text="NF">
      <formula>NOT(ISERROR(SEARCH(("NF"),(V19))))</formula>
    </cfRule>
  </conditionalFormatting>
  <conditionalFormatting sqref="V23">
    <cfRule type="containsText" priority="15449" operator="containsText" dxfId="15" text="GERIATRIC">
      <formula>NOT(ISERROR(SEARCH(("GERIATRIC"),(V23))))</formula>
    </cfRule>
    <cfRule type="containsText" priority="15450" operator="containsText" dxfId="7" text="PATH">
      <formula>NOT(ISERROR(SEARCH(("PATH"),(V23))))</formula>
    </cfRule>
    <cfRule type="containsText" priority="15451" operator="containsText" dxfId="7" text="NEPHRO">
      <formula>NOT(ISERROR(SEARCH(("NEPHRO"),(V23))))</formula>
    </cfRule>
    <cfRule type="containsText" priority="15452" operator="containsText" dxfId="7" text="PULM">
      <formula>NOT(ISERROR(SEARCH(("PULM"),(V23))))</formula>
    </cfRule>
    <cfRule type="containsText" priority="15453" operator="containsText" dxfId="7" text="RADIOLOGY">
      <formula>NOT(ISERROR(SEARCH(("RADIOLOGY"),(V23))))</formula>
    </cfRule>
    <cfRule type="containsText" priority="15454" operator="containsText" dxfId="7" text="HEM/ONC">
      <formula>NOT(ISERROR(SEARCH(("HEM/ONC"),(V23))))</formula>
    </cfRule>
    <cfRule type="containsText" priority="15455" operator="containsText" dxfId="7" text="CARDIO">
      <formula>NOT(ISERROR(SEARCH(("CARDIO"),(V23))))</formula>
    </cfRule>
    <cfRule type="containsText" priority="15456" operator="containsText" dxfId="7" text="ID">
      <formula>NOT(ISERROR(SEARCH(("ID"),(V23))))</formula>
    </cfRule>
    <cfRule type="containsText" priority="15457" operator="containsText" dxfId="7" text="NEURO">
      <formula>NOT(ISERROR(SEARCH(("NEURO"),(V23))))</formula>
    </cfRule>
    <cfRule type="containsText" priority="15458" operator="containsText" dxfId="6" text="NEURO">
      <formula>NOT(ISERROR(SEARCH(("NEURO"),(V23))))</formula>
    </cfRule>
    <cfRule type="containsText" priority="15459" operator="containsText" dxfId="5" text="NEURO">
      <formula>NOT(ISERROR(SEARCH(("NEURO"),(V23))))</formula>
    </cfRule>
    <cfRule type="containsText" priority="15460" operator="containsText" dxfId="3" text="ICU">
      <formula>NOT(ISERROR(SEARCH(("ICU"),(V23))))</formula>
    </cfRule>
    <cfRule type="containsText" priority="15461" operator="containsText" dxfId="0" text="SWING">
      <formula>NOT(ISERROR(SEARCH(("SWING"),(V23))))</formula>
    </cfRule>
    <cfRule type="containsText" priority="15462" operator="containsText" dxfId="0" text="NF">
      <formula>NOT(ISERROR(SEARCH(("NF"),(V23))))</formula>
    </cfRule>
  </conditionalFormatting>
  <conditionalFormatting sqref="W23">
    <cfRule type="containsText" priority="15435" operator="containsText" dxfId="15" text="GERIATRIC">
      <formula>NOT(ISERROR(SEARCH(("GERIATRIC"),(W23))))</formula>
    </cfRule>
    <cfRule type="containsText" priority="15436" operator="containsText" dxfId="7" text="PATH">
      <formula>NOT(ISERROR(SEARCH(("PATH"),(W23))))</formula>
    </cfRule>
    <cfRule type="containsText" priority="15437" operator="containsText" dxfId="7" text="NEPHRO">
      <formula>NOT(ISERROR(SEARCH(("NEPHRO"),(W23))))</formula>
    </cfRule>
    <cfRule type="containsText" priority="15438" operator="containsText" dxfId="7" text="PULM">
      <formula>NOT(ISERROR(SEARCH(("PULM"),(W23))))</formula>
    </cfRule>
    <cfRule type="containsText" priority="15439" operator="containsText" dxfId="7" text="RADIOLOGY">
      <formula>NOT(ISERROR(SEARCH(("RADIOLOGY"),(W23))))</formula>
    </cfRule>
    <cfRule type="containsText" priority="15440" operator="containsText" dxfId="7" text="HEM/ONC">
      <formula>NOT(ISERROR(SEARCH(("HEM/ONC"),(W23))))</formula>
    </cfRule>
    <cfRule type="containsText" priority="15441" operator="containsText" dxfId="7" text="CARDIO">
      <formula>NOT(ISERROR(SEARCH(("CARDIO"),(W23))))</formula>
    </cfRule>
    <cfRule type="containsText" priority="15442" operator="containsText" dxfId="7" text="ID">
      <formula>NOT(ISERROR(SEARCH(("ID"),(W23))))</formula>
    </cfRule>
    <cfRule type="containsText" priority="15443" operator="containsText" dxfId="7" text="NEURO">
      <formula>NOT(ISERROR(SEARCH(("NEURO"),(W23))))</formula>
    </cfRule>
    <cfRule type="containsText" priority="15444" operator="containsText" dxfId="6" text="NEURO">
      <formula>NOT(ISERROR(SEARCH(("NEURO"),(W23))))</formula>
    </cfRule>
    <cfRule type="containsText" priority="15445" operator="containsText" dxfId="5" text="NEURO">
      <formula>NOT(ISERROR(SEARCH(("NEURO"),(W23))))</formula>
    </cfRule>
    <cfRule type="containsText" priority="15446" operator="containsText" dxfId="3" text="ICU">
      <formula>NOT(ISERROR(SEARCH(("ICU"),(W23))))</formula>
    </cfRule>
    <cfRule type="containsText" priority="15447" operator="containsText" dxfId="0" text="SWING">
      <formula>NOT(ISERROR(SEARCH(("SWING"),(W23))))</formula>
    </cfRule>
    <cfRule type="containsText" priority="15448" operator="containsText" dxfId="0" text="NF">
      <formula>NOT(ISERROR(SEARCH(("NF"),(W23))))</formula>
    </cfRule>
  </conditionalFormatting>
  <conditionalFormatting sqref="V40">
    <cfRule type="containsText" priority="15431" operator="containsText" dxfId="17" text="VACATION">
      <formula>NOT(ISERROR(SEARCH(("VACATION"),(V40))))</formula>
    </cfRule>
    <cfRule type="containsText" priority="15432" operator="containsText" dxfId="0" text="ICU N">
      <formula>NOT(ISERROR(SEARCH(("ICU N"),(V40))))</formula>
    </cfRule>
  </conditionalFormatting>
  <conditionalFormatting sqref="L52">
    <cfRule type="containsText" priority="15428" operator="containsText" dxfId="16" text="ED">
      <formula>NOT(ISERROR(SEARCH(("ED"),(L52))))</formula>
    </cfRule>
    <cfRule type="containsText" priority="15429" operator="containsText" dxfId="17" text="VACATION">
      <formula>NOT(ISERROR(SEARCH(("VACATION"),(L52))))</formula>
    </cfRule>
    <cfRule type="containsText" priority="15430" operator="containsText" dxfId="0" text="ICU N">
      <formula>NOT(ISERROR(SEARCH(("ICU N"),(L52))))</formula>
    </cfRule>
  </conditionalFormatting>
  <conditionalFormatting sqref="M52">
    <cfRule type="containsText" priority="15425" operator="containsText" dxfId="16" text="ED">
      <formula>NOT(ISERROR(SEARCH(("ED"),(M52))))</formula>
    </cfRule>
    <cfRule type="containsText" priority="15426" operator="containsText" dxfId="17" text="VACATION">
      <formula>NOT(ISERROR(SEARCH(("VACATION"),(M52))))</formula>
    </cfRule>
    <cfRule type="containsText" priority="15427" operator="containsText" dxfId="0" text="ICU N">
      <formula>NOT(ISERROR(SEARCH(("ICU N"),(M52))))</formula>
    </cfRule>
  </conditionalFormatting>
  <conditionalFormatting sqref="N52">
    <cfRule type="containsText" priority="15422" operator="containsText" dxfId="16" text="ED">
      <formula>NOT(ISERROR(SEARCH(("ED"),(N52))))</formula>
    </cfRule>
    <cfRule type="containsText" priority="15423" operator="containsText" dxfId="17" text="VACATION">
      <formula>NOT(ISERROR(SEARCH(("VACATION"),(N52))))</formula>
    </cfRule>
    <cfRule type="containsText" priority="15424" operator="containsText" dxfId="0" text="ICU N">
      <formula>NOT(ISERROR(SEARCH(("ICU N"),(N52))))</formula>
    </cfRule>
  </conditionalFormatting>
  <conditionalFormatting sqref="O52">
    <cfRule type="containsText" priority="15419" operator="containsText" dxfId="16" text="ED">
      <formula>NOT(ISERROR(SEARCH(("ED"),(O52))))</formula>
    </cfRule>
    <cfRule type="containsText" priority="15420" operator="containsText" dxfId="17" text="VACATION">
      <formula>NOT(ISERROR(SEARCH(("VACATION"),(O52))))</formula>
    </cfRule>
    <cfRule type="containsText" priority="15421" operator="containsText" dxfId="0" text="ICU N">
      <formula>NOT(ISERROR(SEARCH(("ICU N"),(O52))))</formula>
    </cfRule>
  </conditionalFormatting>
  <conditionalFormatting sqref="W13">
    <cfRule type="containsText" priority="15330" operator="containsText" dxfId="17" text="VACATION">
      <formula>NOT(ISERROR(SEARCH(("VACATION"),(W13))))</formula>
    </cfRule>
    <cfRule type="containsText" priority="15331" operator="containsText" dxfId="16" text="ED">
      <formula>NOT(ISERROR(SEARCH(("ED"),(W13))))</formula>
    </cfRule>
    <cfRule type="containsText" priority="15332" operator="containsText" dxfId="15" text="GERIATRIC">
      <formula>NOT(ISERROR(SEARCH(("GERIATRIC"),(W13))))</formula>
    </cfRule>
    <cfRule type="containsText" priority="15333" operator="containsText" dxfId="7" text="PATH">
      <formula>NOT(ISERROR(SEARCH(("PATH"),(W13))))</formula>
    </cfRule>
    <cfRule type="containsText" priority="15334" operator="containsText" dxfId="7" text="NEPHRO">
      <formula>NOT(ISERROR(SEARCH(("NEPHRO"),(W13))))</formula>
    </cfRule>
    <cfRule type="containsText" priority="15335" operator="containsText" dxfId="7" text="PULM">
      <formula>NOT(ISERROR(SEARCH(("PULM"),(W13))))</formula>
    </cfRule>
    <cfRule type="containsText" priority="15336" operator="containsText" dxfId="7" text="RADIOLOGY">
      <formula>NOT(ISERROR(SEARCH(("RADIOLOGY"),(W13))))</formula>
    </cfRule>
    <cfRule type="containsText" priority="15337" operator="containsText" dxfId="7" text="HEM/ONC">
      <formula>NOT(ISERROR(SEARCH(("HEM/ONC"),(W13))))</formula>
    </cfRule>
    <cfRule type="containsText" priority="15338" operator="containsText" dxfId="7" text="CARDIO">
      <formula>NOT(ISERROR(SEARCH(("CARDIO"),(W13))))</formula>
    </cfRule>
    <cfRule type="containsText" priority="15339" operator="containsText" dxfId="7" text="ID">
      <formula>NOT(ISERROR(SEARCH(("ID"),(W13))))</formula>
    </cfRule>
    <cfRule type="containsText" priority="15340" operator="containsText" dxfId="7" text="NEURO">
      <formula>NOT(ISERROR(SEARCH(("NEURO"),(W13))))</formula>
    </cfRule>
    <cfRule type="containsText" priority="15341" operator="containsText" dxfId="6" text="NEURO">
      <formula>NOT(ISERROR(SEARCH(("NEURO"),(W13))))</formula>
    </cfRule>
    <cfRule type="containsText" priority="15342" operator="containsText" dxfId="5" text="NEURO">
      <formula>NOT(ISERROR(SEARCH(("NEURO"),(W13))))</formula>
    </cfRule>
    <cfRule type="containsText" priority="15343" operator="containsText" dxfId="0" text="ICU N">
      <formula>NOT(ISERROR(SEARCH(("ICU N"),(W13))))</formula>
    </cfRule>
    <cfRule type="containsText" priority="15344" operator="containsText" dxfId="3" text="ICU">
      <formula>NOT(ISERROR(SEARCH(("ICU"),(W13))))</formula>
    </cfRule>
    <cfRule type="containsText" priority="15345" operator="containsText" dxfId="0" text="SWING">
      <formula>NOT(ISERROR(SEARCH(("SWING"),(W13))))</formula>
    </cfRule>
    <cfRule type="containsText" priority="15346" operator="containsText" dxfId="0" text="NF">
      <formula>NOT(ISERROR(SEARCH(("NF"),(W13))))</formula>
    </cfRule>
  </conditionalFormatting>
  <conditionalFormatting sqref="X13">
    <cfRule type="containsText" priority="15313" operator="containsText" dxfId="17" text="VACATION">
      <formula>NOT(ISERROR(SEARCH(("VACATION"),(X13))))</formula>
    </cfRule>
    <cfRule type="containsText" priority="15314" operator="containsText" dxfId="16" text="ED">
      <formula>NOT(ISERROR(SEARCH(("ED"),(X13))))</formula>
    </cfRule>
    <cfRule type="containsText" priority="15315" operator="containsText" dxfId="15" text="GERIATRIC">
      <formula>NOT(ISERROR(SEARCH(("GERIATRIC"),(X13))))</formula>
    </cfRule>
    <cfRule type="containsText" priority="15316" operator="containsText" dxfId="7" text="PATH">
      <formula>NOT(ISERROR(SEARCH(("PATH"),(X13))))</formula>
    </cfRule>
    <cfRule type="containsText" priority="15317" operator="containsText" dxfId="7" text="NEPHRO">
      <formula>NOT(ISERROR(SEARCH(("NEPHRO"),(X13))))</formula>
    </cfRule>
    <cfRule type="containsText" priority="15318" operator="containsText" dxfId="7" text="PULM">
      <formula>NOT(ISERROR(SEARCH(("PULM"),(X13))))</formula>
    </cfRule>
    <cfRule type="containsText" priority="15319" operator="containsText" dxfId="7" text="RADIOLOGY">
      <formula>NOT(ISERROR(SEARCH(("RADIOLOGY"),(X13))))</formula>
    </cfRule>
    <cfRule type="containsText" priority="15320" operator="containsText" dxfId="7" text="HEM/ONC">
      <formula>NOT(ISERROR(SEARCH(("HEM/ONC"),(X13))))</formula>
    </cfRule>
    <cfRule type="containsText" priority="15321" operator="containsText" dxfId="7" text="CARDIO">
      <formula>NOT(ISERROR(SEARCH(("CARDIO"),(X13))))</formula>
    </cfRule>
    <cfRule type="containsText" priority="15322" operator="containsText" dxfId="7" text="ID">
      <formula>NOT(ISERROR(SEARCH(("ID"),(X13))))</formula>
    </cfRule>
    <cfRule type="containsText" priority="15323" operator="containsText" dxfId="7" text="NEURO">
      <formula>NOT(ISERROR(SEARCH(("NEURO"),(X13))))</formula>
    </cfRule>
    <cfRule type="containsText" priority="15324" operator="containsText" dxfId="6" text="NEURO">
      <formula>NOT(ISERROR(SEARCH(("NEURO"),(X13))))</formula>
    </cfRule>
    <cfRule type="containsText" priority="15325" operator="containsText" dxfId="5" text="NEURO">
      <formula>NOT(ISERROR(SEARCH(("NEURO"),(X13))))</formula>
    </cfRule>
    <cfRule type="containsText" priority="15326" operator="containsText" dxfId="0" text="ICU N">
      <formula>NOT(ISERROR(SEARCH(("ICU N"),(X13))))</formula>
    </cfRule>
    <cfRule type="containsText" priority="15327" operator="containsText" dxfId="3" text="ICU">
      <formula>NOT(ISERROR(SEARCH(("ICU"),(X13))))</formula>
    </cfRule>
    <cfRule type="containsText" priority="15328" operator="containsText" dxfId="0" text="SWING">
      <formula>NOT(ISERROR(SEARCH(("SWING"),(X13))))</formula>
    </cfRule>
    <cfRule type="containsText" priority="15329" operator="containsText" dxfId="0" text="NF">
      <formula>NOT(ISERROR(SEARCH(("NF"),(X13))))</formula>
    </cfRule>
  </conditionalFormatting>
  <conditionalFormatting sqref="W7">
    <cfRule type="containsText" priority="15304" operator="containsText" dxfId="16" text="ED">
      <formula>NOT(ISERROR(SEARCH(("ED"),(W7))))</formula>
    </cfRule>
    <cfRule type="containsText" priority="15305" operator="containsText" dxfId="17" text="VACATION">
      <formula>NOT(ISERROR(SEARCH(("VACATION"),(W7))))</formula>
    </cfRule>
    <cfRule type="containsText" priority="15306" operator="containsText" dxfId="0" text="ICU N">
      <formula>NOT(ISERROR(SEARCH(("ICU N"),(W7))))</formula>
    </cfRule>
  </conditionalFormatting>
  <conditionalFormatting sqref="W29">
    <cfRule type="containsText" priority="15300" operator="containsText" dxfId="17" text="VACATION">
      <formula>NOT(ISERROR(SEARCH(("VACATION"),(W29))))</formula>
    </cfRule>
    <cfRule type="containsText" priority="15286" operator="containsText" dxfId="15" text="GERIATRIC">
      <formula>NOT(ISERROR(SEARCH(("GERIATRIC"),(W29))))</formula>
    </cfRule>
    <cfRule type="containsText" priority="15287" operator="containsText" dxfId="7" text="PATH">
      <formula>NOT(ISERROR(SEARCH(("PATH"),(W29))))</formula>
    </cfRule>
    <cfRule type="containsText" priority="15288" operator="containsText" dxfId="7" text="NEPHRO">
      <formula>NOT(ISERROR(SEARCH(("NEPHRO"),(W29))))</formula>
    </cfRule>
    <cfRule type="containsText" priority="15289" operator="containsText" dxfId="7" text="PULM">
      <formula>NOT(ISERROR(SEARCH(("PULM"),(W29))))</formula>
    </cfRule>
    <cfRule type="containsText" priority="15290" operator="containsText" dxfId="7" text="RADIOLOGY">
      <formula>NOT(ISERROR(SEARCH(("RADIOLOGY"),(W29))))</formula>
    </cfRule>
    <cfRule type="containsText" priority="15291" operator="containsText" dxfId="7" text="HEM/ONC">
      <formula>NOT(ISERROR(SEARCH(("HEM/ONC"),(W29))))</formula>
    </cfRule>
    <cfRule type="containsText" priority="15292" operator="containsText" dxfId="7" text="CARDIO">
      <formula>NOT(ISERROR(SEARCH(("CARDIO"),(W29))))</formula>
    </cfRule>
    <cfRule type="containsText" priority="15293" operator="containsText" dxfId="7" text="ID">
      <formula>NOT(ISERROR(SEARCH(("ID"),(W29))))</formula>
    </cfRule>
    <cfRule type="containsText" priority="15294" operator="containsText" dxfId="7" text="NEURO">
      <formula>NOT(ISERROR(SEARCH(("NEURO"),(W29))))</formula>
    </cfRule>
    <cfRule type="containsText" priority="15295" operator="containsText" dxfId="6" text="NEURO">
      <formula>NOT(ISERROR(SEARCH(("NEURO"),(W29))))</formula>
    </cfRule>
    <cfRule type="containsText" priority="15296" operator="containsText" dxfId="5" text="NEURO">
      <formula>NOT(ISERROR(SEARCH(("NEURO"),(W29))))</formula>
    </cfRule>
    <cfRule type="containsText" priority="15297" operator="containsText" dxfId="3" text="ICU">
      <formula>NOT(ISERROR(SEARCH(("ICU"),(W29))))</formula>
    </cfRule>
    <cfRule type="containsText" priority="15298" operator="containsText" dxfId="0" text="SWING">
      <formula>NOT(ISERROR(SEARCH(("SWING"),(W29))))</formula>
    </cfRule>
    <cfRule type="containsText" priority="15299" operator="containsText" dxfId="0" text="NF">
      <formula>NOT(ISERROR(SEARCH(("NF"),(W29))))</formula>
    </cfRule>
  </conditionalFormatting>
  <conditionalFormatting sqref="X29">
    <cfRule type="containsText" priority="15272" operator="containsText" dxfId="15" text="GERIATRIC">
      <formula>NOT(ISERROR(SEARCH(("GERIATRIC"),(X29))))</formula>
    </cfRule>
    <cfRule type="containsText" priority="15273" operator="containsText" dxfId="7" text="PATH">
      <formula>NOT(ISERROR(SEARCH(("PATH"),(X29))))</formula>
    </cfRule>
    <cfRule type="containsText" priority="15274" operator="containsText" dxfId="7" text="NEPHRO">
      <formula>NOT(ISERROR(SEARCH(("NEPHRO"),(X29))))</formula>
    </cfRule>
    <cfRule type="containsText" priority="15275" operator="containsText" dxfId="7" text="PULM">
      <formula>NOT(ISERROR(SEARCH(("PULM"),(X29))))</formula>
    </cfRule>
    <cfRule type="containsText" priority="15276" operator="containsText" dxfId="7" text="RADIOLOGY">
      <formula>NOT(ISERROR(SEARCH(("RADIOLOGY"),(X29))))</formula>
    </cfRule>
    <cfRule type="containsText" priority="15277" operator="containsText" dxfId="7" text="HEM/ONC">
      <formula>NOT(ISERROR(SEARCH(("HEM/ONC"),(X29))))</formula>
    </cfRule>
    <cfRule type="containsText" priority="15278" operator="containsText" dxfId="7" text="CARDIO">
      <formula>NOT(ISERROR(SEARCH(("CARDIO"),(X29))))</formula>
    </cfRule>
    <cfRule type="containsText" priority="15279" operator="containsText" dxfId="7" text="ID">
      <formula>NOT(ISERROR(SEARCH(("ID"),(X29))))</formula>
    </cfRule>
    <cfRule type="containsText" priority="15280" operator="containsText" dxfId="7" text="NEURO">
      <formula>NOT(ISERROR(SEARCH(("NEURO"),(X29))))</formula>
    </cfRule>
    <cfRule type="containsText" priority="15281" operator="containsText" dxfId="6" text="NEURO">
      <formula>NOT(ISERROR(SEARCH(("NEURO"),(X29))))</formula>
    </cfRule>
    <cfRule type="containsText" priority="15282" operator="containsText" dxfId="5" text="NEURO">
      <formula>NOT(ISERROR(SEARCH(("NEURO"),(X29))))</formula>
    </cfRule>
    <cfRule type="containsText" priority="15283" operator="containsText" dxfId="3" text="ICU">
      <formula>NOT(ISERROR(SEARCH(("ICU"),(X29))))</formula>
    </cfRule>
    <cfRule type="containsText" priority="15284" operator="containsText" dxfId="0" text="SWING">
      <formula>NOT(ISERROR(SEARCH(("SWING"),(X29))))</formula>
    </cfRule>
    <cfRule type="containsText" priority="15285" operator="containsText" dxfId="0" text="NF">
      <formula>NOT(ISERROR(SEARCH(("NF"),(X29))))</formula>
    </cfRule>
  </conditionalFormatting>
  <conditionalFormatting sqref="W10">
    <cfRule type="containsText" priority="15238" operator="containsText" dxfId="17" text="VACATION">
      <formula>NOT(ISERROR(SEARCH(("VACATION"),(W10))))</formula>
    </cfRule>
    <cfRule type="containsText" priority="15239" operator="containsText" dxfId="16" text="ED">
      <formula>NOT(ISERROR(SEARCH(("ED"),(W10))))</formula>
    </cfRule>
    <cfRule type="containsText" priority="15240" operator="containsText" dxfId="15" text="GERIATRIC">
      <formula>NOT(ISERROR(SEARCH(("GERIATRIC"),(W10))))</formula>
    </cfRule>
    <cfRule type="containsText" priority="15241" operator="containsText" dxfId="7" text="PATH">
      <formula>NOT(ISERROR(SEARCH(("PATH"),(W10))))</formula>
    </cfRule>
    <cfRule type="containsText" priority="15242" operator="containsText" dxfId="7" text="NEPHRO">
      <formula>NOT(ISERROR(SEARCH(("NEPHRO"),(W10))))</formula>
    </cfRule>
    <cfRule type="containsText" priority="15243" operator="containsText" dxfId="7" text="PULM">
      <formula>NOT(ISERROR(SEARCH(("PULM"),(W10))))</formula>
    </cfRule>
    <cfRule type="containsText" priority="15244" operator="containsText" dxfId="7" text="RADIOLOGY">
      <formula>NOT(ISERROR(SEARCH(("RADIOLOGY"),(W10))))</formula>
    </cfRule>
    <cfRule type="containsText" priority="15245" operator="containsText" dxfId="7" text="HEM/ONC">
      <formula>NOT(ISERROR(SEARCH(("HEM/ONC"),(W10))))</formula>
    </cfRule>
    <cfRule type="containsText" priority="15246" operator="containsText" dxfId="7" text="CARDIO">
      <formula>NOT(ISERROR(SEARCH(("CARDIO"),(W10))))</formula>
    </cfRule>
    <cfRule type="containsText" priority="15247" operator="containsText" dxfId="7" text="ID">
      <formula>NOT(ISERROR(SEARCH(("ID"),(W10))))</formula>
    </cfRule>
    <cfRule type="containsText" priority="15248" operator="containsText" dxfId="7" text="NEURO">
      <formula>NOT(ISERROR(SEARCH(("NEURO"),(W10))))</formula>
    </cfRule>
    <cfRule type="containsText" priority="15249" operator="containsText" dxfId="6" text="NEURO">
      <formula>NOT(ISERROR(SEARCH(("NEURO"),(W10))))</formula>
    </cfRule>
    <cfRule type="containsText" priority="15250" operator="containsText" dxfId="5" text="NEURO">
      <formula>NOT(ISERROR(SEARCH(("NEURO"),(W10))))</formula>
    </cfRule>
    <cfRule type="containsText" priority="15251" operator="containsText" dxfId="0" text="ICU N">
      <formula>NOT(ISERROR(SEARCH(("ICU N"),(W10))))</formula>
    </cfRule>
    <cfRule type="containsText" priority="15252" operator="containsText" dxfId="3" text="ICU">
      <formula>NOT(ISERROR(SEARCH(("ICU"),(W10))))</formula>
    </cfRule>
    <cfRule type="containsText" priority="15253" operator="containsText" dxfId="0" text="SWING">
      <formula>NOT(ISERROR(SEARCH(("SWING"),(W10))))</formula>
    </cfRule>
    <cfRule type="containsText" priority="15254" operator="containsText" dxfId="0" text="NF">
      <formula>NOT(ISERROR(SEARCH(("NF"),(W10))))</formula>
    </cfRule>
  </conditionalFormatting>
  <conditionalFormatting sqref="W14">
    <cfRule type="containsText" priority="15224" operator="containsText" dxfId="15" text="GERIATRIC">
      <formula>NOT(ISERROR(SEARCH(("GERIATRIC"),(W14))))</formula>
    </cfRule>
    <cfRule type="containsText" priority="15225" operator="containsText" dxfId="7" text="PATH">
      <formula>NOT(ISERROR(SEARCH(("PATH"),(W14))))</formula>
    </cfRule>
    <cfRule type="containsText" priority="15226" operator="containsText" dxfId="7" text="NEPHRO">
      <formula>NOT(ISERROR(SEARCH(("NEPHRO"),(W14))))</formula>
    </cfRule>
    <cfRule type="containsText" priority="15227" operator="containsText" dxfId="7" text="PULM">
      <formula>NOT(ISERROR(SEARCH(("PULM"),(W14))))</formula>
    </cfRule>
    <cfRule type="containsText" priority="15228" operator="containsText" dxfId="7" text="RADIOLOGY">
      <formula>NOT(ISERROR(SEARCH(("RADIOLOGY"),(W14))))</formula>
    </cfRule>
    <cfRule type="containsText" priority="15229" operator="containsText" dxfId="7" text="HEM/ONC">
      <formula>NOT(ISERROR(SEARCH(("HEM/ONC"),(W14))))</formula>
    </cfRule>
    <cfRule type="containsText" priority="15230" operator="containsText" dxfId="7" text="CARDIO">
      <formula>NOT(ISERROR(SEARCH(("CARDIO"),(W14))))</formula>
    </cfRule>
    <cfRule type="containsText" priority="15231" operator="containsText" dxfId="7" text="ID">
      <formula>NOT(ISERROR(SEARCH(("ID"),(W14))))</formula>
    </cfRule>
    <cfRule type="containsText" priority="15232" operator="containsText" dxfId="7" text="NEURO">
      <formula>NOT(ISERROR(SEARCH(("NEURO"),(W14))))</formula>
    </cfRule>
    <cfRule type="containsText" priority="15233" operator="containsText" dxfId="6" text="NEURO">
      <formula>NOT(ISERROR(SEARCH(("NEURO"),(W14))))</formula>
    </cfRule>
    <cfRule type="containsText" priority="15234" operator="containsText" dxfId="5" text="NEURO">
      <formula>NOT(ISERROR(SEARCH(("NEURO"),(W14))))</formula>
    </cfRule>
    <cfRule type="containsText" priority="15235" operator="containsText" dxfId="3" text="ICU">
      <formula>NOT(ISERROR(SEARCH(("ICU"),(W14))))</formula>
    </cfRule>
    <cfRule type="containsText" priority="15236" operator="containsText" dxfId="0" text="SWING">
      <formula>NOT(ISERROR(SEARCH(("SWING"),(W14))))</formula>
    </cfRule>
    <cfRule type="containsText" priority="15237" operator="containsText" dxfId="0" text="NF">
      <formula>NOT(ISERROR(SEARCH(("NF"),(W14))))</formula>
    </cfRule>
  </conditionalFormatting>
  <conditionalFormatting sqref="W17">
    <cfRule type="containsText" priority="15210" operator="containsText" dxfId="15" text="GERIATRIC">
      <formula>NOT(ISERROR(SEARCH(("GERIATRIC"),(W17))))</formula>
    </cfRule>
    <cfRule type="containsText" priority="15211" operator="containsText" dxfId="7" text="PATH">
      <formula>NOT(ISERROR(SEARCH(("PATH"),(W17))))</formula>
    </cfRule>
    <cfRule type="containsText" priority="15212" operator="containsText" dxfId="7" text="NEPHRO">
      <formula>NOT(ISERROR(SEARCH(("NEPHRO"),(W17))))</formula>
    </cfRule>
    <cfRule type="containsText" priority="15213" operator="containsText" dxfId="7" text="PULM">
      <formula>NOT(ISERROR(SEARCH(("PULM"),(W17))))</formula>
    </cfRule>
    <cfRule type="containsText" priority="15214" operator="containsText" dxfId="7" text="RADIOLOGY">
      <formula>NOT(ISERROR(SEARCH(("RADIOLOGY"),(W17))))</formula>
    </cfRule>
    <cfRule type="containsText" priority="15215" operator="containsText" dxfId="7" text="HEM/ONC">
      <formula>NOT(ISERROR(SEARCH(("HEM/ONC"),(W17))))</formula>
    </cfRule>
    <cfRule type="containsText" priority="15216" operator="containsText" dxfId="7" text="CARDIO">
      <formula>NOT(ISERROR(SEARCH(("CARDIO"),(W17))))</formula>
    </cfRule>
    <cfRule type="containsText" priority="15217" operator="containsText" dxfId="7" text="ID">
      <formula>NOT(ISERROR(SEARCH(("ID"),(W17))))</formula>
    </cfRule>
    <cfRule type="containsText" priority="15218" operator="containsText" dxfId="7" text="NEURO">
      <formula>NOT(ISERROR(SEARCH(("NEURO"),(W17))))</formula>
    </cfRule>
    <cfRule type="containsText" priority="15219" operator="containsText" dxfId="6" text="NEURO">
      <formula>NOT(ISERROR(SEARCH(("NEURO"),(W17))))</formula>
    </cfRule>
    <cfRule type="containsText" priority="15220" operator="containsText" dxfId="5" text="NEURO">
      <formula>NOT(ISERROR(SEARCH(("NEURO"),(W17))))</formula>
    </cfRule>
    <cfRule type="containsText" priority="15221" operator="containsText" dxfId="3" text="ICU">
      <formula>NOT(ISERROR(SEARCH(("ICU"),(W17))))</formula>
    </cfRule>
    <cfRule type="containsText" priority="15222" operator="containsText" dxfId="0" text="SWING">
      <formula>NOT(ISERROR(SEARCH(("SWING"),(W17))))</formula>
    </cfRule>
    <cfRule type="containsText" priority="15223" operator="containsText" dxfId="0" text="NF">
      <formula>NOT(ISERROR(SEARCH(("NF"),(W17))))</formula>
    </cfRule>
    <cfRule type="containsText" priority="6798" operator="containsText" dxfId="15" text="GERIATRIC">
      <formula>NOT(ISERROR(SEARCH(("GERIATRIC"),(W17))))</formula>
    </cfRule>
    <cfRule type="containsText" priority="6799" operator="containsText" dxfId="7" text="PATH">
      <formula>NOT(ISERROR(SEARCH(("PATH"),(W17))))</formula>
    </cfRule>
    <cfRule type="containsText" priority="6800" operator="containsText" dxfId="7" text="NEPHRO">
      <formula>NOT(ISERROR(SEARCH(("NEPHRO"),(W17))))</formula>
    </cfRule>
    <cfRule type="containsText" priority="6801" operator="containsText" dxfId="7" text="PULM">
      <formula>NOT(ISERROR(SEARCH(("PULM"),(W17))))</formula>
    </cfRule>
    <cfRule type="containsText" priority="6802" operator="containsText" dxfId="7" text="RADIOLOGY">
      <formula>NOT(ISERROR(SEARCH(("RADIOLOGY"),(W17))))</formula>
    </cfRule>
    <cfRule type="containsText" priority="6803" operator="containsText" dxfId="7" text="HEM/ONC">
      <formula>NOT(ISERROR(SEARCH(("HEM/ONC"),(W17))))</formula>
    </cfRule>
    <cfRule type="containsText" priority="6804" operator="containsText" dxfId="7" text="CARDIO">
      <formula>NOT(ISERROR(SEARCH(("CARDIO"),(W17))))</formula>
    </cfRule>
    <cfRule type="containsText" priority="6805" operator="containsText" dxfId="7" text="ID">
      <formula>NOT(ISERROR(SEARCH(("ID"),(W17))))</formula>
    </cfRule>
    <cfRule type="containsText" priority="6806" operator="containsText" dxfId="7" text="NEURO">
      <formula>NOT(ISERROR(SEARCH(("NEURO"),(W17))))</formula>
    </cfRule>
    <cfRule type="containsText" priority="6807" operator="containsText" dxfId="6" text="NEURO">
      <formula>NOT(ISERROR(SEARCH(("NEURO"),(W17))))</formula>
    </cfRule>
    <cfRule type="containsText" priority="6808" operator="containsText" dxfId="5" text="NEURO">
      <formula>NOT(ISERROR(SEARCH(("NEURO"),(W17))))</formula>
    </cfRule>
    <cfRule type="containsText" priority="6809" operator="containsText" dxfId="3" text="ICU">
      <formula>NOT(ISERROR(SEARCH(("ICU"),(W17))))</formula>
    </cfRule>
    <cfRule type="containsText" priority="6810" operator="containsText" dxfId="0" text="SWING">
      <formula>NOT(ISERROR(SEARCH(("SWING"),(W17))))</formula>
    </cfRule>
    <cfRule type="containsText" priority="6811" operator="containsText" dxfId="0" text="NF">
      <formula>NOT(ISERROR(SEARCH(("NF"),(W17))))</formula>
    </cfRule>
    <cfRule type="containsText" priority="6784" operator="containsText" dxfId="15" text="GERIATRIC">
      <formula>NOT(ISERROR(SEARCH(("GERIATRIC"),(W17))))</formula>
    </cfRule>
    <cfRule type="containsText" priority="6785" operator="containsText" dxfId="7" text="PATH">
      <formula>NOT(ISERROR(SEARCH(("PATH"),(W17))))</formula>
    </cfRule>
    <cfRule type="containsText" priority="6786" operator="containsText" dxfId="7" text="NEPHRO">
      <formula>NOT(ISERROR(SEARCH(("NEPHRO"),(W17))))</formula>
    </cfRule>
    <cfRule type="containsText" priority="6787" operator="containsText" dxfId="7" text="PULM">
      <formula>NOT(ISERROR(SEARCH(("PULM"),(W17))))</formula>
    </cfRule>
    <cfRule type="containsText" priority="6788" operator="containsText" dxfId="7" text="RADIOLOGY">
      <formula>NOT(ISERROR(SEARCH(("RADIOLOGY"),(W17))))</formula>
    </cfRule>
    <cfRule type="containsText" priority="6789" operator="containsText" dxfId="7" text="HEM/ONC">
      <formula>NOT(ISERROR(SEARCH(("HEM/ONC"),(W17))))</formula>
    </cfRule>
    <cfRule type="containsText" priority="6790" operator="containsText" dxfId="7" text="CARDIO">
      <formula>NOT(ISERROR(SEARCH(("CARDIO"),(W17))))</formula>
    </cfRule>
    <cfRule type="containsText" priority="6791" operator="containsText" dxfId="7" text="ID">
      <formula>NOT(ISERROR(SEARCH(("ID"),(W17))))</formula>
    </cfRule>
    <cfRule type="containsText" priority="6792" operator="containsText" dxfId="7" text="NEURO">
      <formula>NOT(ISERROR(SEARCH(("NEURO"),(W17))))</formula>
    </cfRule>
    <cfRule type="containsText" priority="6793" operator="containsText" dxfId="6" text="NEURO">
      <formula>NOT(ISERROR(SEARCH(("NEURO"),(W17))))</formula>
    </cfRule>
    <cfRule type="containsText" priority="6794" operator="containsText" dxfId="5" text="NEURO">
      <formula>NOT(ISERROR(SEARCH(("NEURO"),(W17))))</formula>
    </cfRule>
    <cfRule type="containsText" priority="6795" operator="containsText" dxfId="3" text="ICU">
      <formula>NOT(ISERROR(SEARCH(("ICU"),(W17))))</formula>
    </cfRule>
    <cfRule type="containsText" priority="6796" operator="containsText" dxfId="0" text="SWING">
      <formula>NOT(ISERROR(SEARCH(("SWING"),(W17))))</formula>
    </cfRule>
    <cfRule type="containsText" priority="6797" operator="containsText" dxfId="0" text="NF">
      <formula>NOT(ISERROR(SEARCH(("NF"),(W17))))</formula>
    </cfRule>
  </conditionalFormatting>
  <conditionalFormatting sqref="W16">
    <cfRule type="containsText" priority="15196" operator="containsText" dxfId="15" text="GERIATRIC">
      <formula>NOT(ISERROR(SEARCH(("GERIATRIC"),(W16))))</formula>
    </cfRule>
    <cfRule type="containsText" priority="15197" operator="containsText" dxfId="7" text="PATH">
      <formula>NOT(ISERROR(SEARCH(("PATH"),(W16))))</formula>
    </cfRule>
    <cfRule type="containsText" priority="15198" operator="containsText" dxfId="7" text="NEPHRO">
      <formula>NOT(ISERROR(SEARCH(("NEPHRO"),(W16))))</formula>
    </cfRule>
    <cfRule type="containsText" priority="15199" operator="containsText" dxfId="7" text="PULM">
      <formula>NOT(ISERROR(SEARCH(("PULM"),(W16))))</formula>
    </cfRule>
    <cfRule type="containsText" priority="15200" operator="containsText" dxfId="7" text="RADIOLOGY">
      <formula>NOT(ISERROR(SEARCH(("RADIOLOGY"),(W16))))</formula>
    </cfRule>
    <cfRule type="containsText" priority="15201" operator="containsText" dxfId="7" text="HEM/ONC">
      <formula>NOT(ISERROR(SEARCH(("HEM/ONC"),(W16))))</formula>
    </cfRule>
    <cfRule type="containsText" priority="15202" operator="containsText" dxfId="7" text="CARDIO">
      <formula>NOT(ISERROR(SEARCH(("CARDIO"),(W16))))</formula>
    </cfRule>
    <cfRule type="containsText" priority="15203" operator="containsText" dxfId="7" text="ID">
      <formula>NOT(ISERROR(SEARCH(("ID"),(W16))))</formula>
    </cfRule>
    <cfRule type="containsText" priority="15204" operator="containsText" dxfId="7" text="NEURO">
      <formula>NOT(ISERROR(SEARCH(("NEURO"),(W16))))</formula>
    </cfRule>
    <cfRule type="containsText" priority="15205" operator="containsText" dxfId="6" text="NEURO">
      <formula>NOT(ISERROR(SEARCH(("NEURO"),(W16))))</formula>
    </cfRule>
    <cfRule type="containsText" priority="15206" operator="containsText" dxfId="5" text="NEURO">
      <formula>NOT(ISERROR(SEARCH(("NEURO"),(W16))))</formula>
    </cfRule>
    <cfRule type="containsText" priority="15207" operator="containsText" dxfId="3" text="ICU">
      <formula>NOT(ISERROR(SEARCH(("ICU"),(W16))))</formula>
    </cfRule>
    <cfRule type="containsText" priority="15208" operator="containsText" dxfId="0" text="SWING">
      <formula>NOT(ISERROR(SEARCH(("SWING"),(W16))))</formula>
    </cfRule>
    <cfRule type="containsText" priority="15209" operator="containsText" dxfId="0" text="NF">
      <formula>NOT(ISERROR(SEARCH(("NF"),(W16))))</formula>
    </cfRule>
    <cfRule type="containsText" priority="5302" operator="containsText" dxfId="15" text="GERIATRIC">
      <formula>NOT(ISERROR(SEARCH(("GERIATRIC"),(W16))))</formula>
    </cfRule>
    <cfRule type="containsText" priority="5303" operator="containsText" dxfId="7" text="PATH">
      <formula>NOT(ISERROR(SEARCH(("PATH"),(W16))))</formula>
    </cfRule>
    <cfRule type="containsText" priority="5304" operator="containsText" dxfId="7" text="NEPHRO">
      <formula>NOT(ISERROR(SEARCH(("NEPHRO"),(W16))))</formula>
    </cfRule>
    <cfRule type="containsText" priority="5305" operator="containsText" dxfId="7" text="PULM">
      <formula>NOT(ISERROR(SEARCH(("PULM"),(W16))))</formula>
    </cfRule>
    <cfRule type="containsText" priority="5306" operator="containsText" dxfId="7" text="RADIOLOGY">
      <formula>NOT(ISERROR(SEARCH(("RADIOLOGY"),(W16))))</formula>
    </cfRule>
    <cfRule type="containsText" priority="5307" operator="containsText" dxfId="7" text="HEM/ONC">
      <formula>NOT(ISERROR(SEARCH(("HEM/ONC"),(W16))))</formula>
    </cfRule>
    <cfRule type="containsText" priority="5308" operator="containsText" dxfId="7" text="CARDIO">
      <formula>NOT(ISERROR(SEARCH(("CARDIO"),(W16))))</formula>
    </cfRule>
    <cfRule type="containsText" priority="5309" operator="containsText" dxfId="7" text="ID">
      <formula>NOT(ISERROR(SEARCH(("ID"),(W16))))</formula>
    </cfRule>
    <cfRule type="containsText" priority="5310" operator="containsText" dxfId="7" text="NEURO">
      <formula>NOT(ISERROR(SEARCH(("NEURO"),(W16))))</formula>
    </cfRule>
    <cfRule type="containsText" priority="5311" operator="containsText" dxfId="6" text="NEURO">
      <formula>NOT(ISERROR(SEARCH(("NEURO"),(W16))))</formula>
    </cfRule>
    <cfRule type="containsText" priority="5312" operator="containsText" dxfId="5" text="NEURO">
      <formula>NOT(ISERROR(SEARCH(("NEURO"),(W16))))</formula>
    </cfRule>
    <cfRule type="containsText" priority="5313" operator="containsText" dxfId="3" text="ICU">
      <formula>NOT(ISERROR(SEARCH(("ICU"),(W16))))</formula>
    </cfRule>
    <cfRule type="containsText" priority="5314" operator="containsText" dxfId="0" text="SWING">
      <formula>NOT(ISERROR(SEARCH(("SWING"),(W16))))</formula>
    </cfRule>
    <cfRule type="containsText" priority="5315" operator="containsText" dxfId="0" text="NF">
      <formula>NOT(ISERROR(SEARCH(("NF"),(W16))))</formula>
    </cfRule>
  </conditionalFormatting>
  <conditionalFormatting sqref="X27">
    <cfRule type="containsText" priority="15193" operator="containsText" dxfId="16" text="ED">
      <formula>NOT(ISERROR(SEARCH(("ED"),(X27))))</formula>
    </cfRule>
    <cfRule type="containsText" priority="15194" operator="containsText" dxfId="17" text="VACATION">
      <formula>NOT(ISERROR(SEARCH(("VACATION"),(X27))))</formula>
    </cfRule>
    <cfRule type="containsText" priority="15195" operator="containsText" dxfId="0" text="ICU N">
      <formula>NOT(ISERROR(SEARCH(("ICU N"),(X27))))</formula>
    </cfRule>
    <cfRule type="containsText" priority="15175" operator="containsText" dxfId="16" text="ED">
      <formula>NOT(ISERROR(SEARCH(("ED"),(X27))))</formula>
    </cfRule>
    <cfRule type="containsText" priority="15176" operator="containsText" dxfId="15" text="GERIATRIC">
      <formula>NOT(ISERROR(SEARCH(("GERIATRIC"),(X27))))</formula>
    </cfRule>
    <cfRule type="containsText" priority="15177" operator="containsText" dxfId="17" text="VACATION">
      <formula>NOT(ISERROR(SEARCH(("VACATION"),(X27))))</formula>
    </cfRule>
    <cfRule type="containsText" priority="15178" operator="containsText" dxfId="7" text="PATH">
      <formula>NOT(ISERROR(SEARCH(("PATH"),(X27))))</formula>
    </cfRule>
    <cfRule type="containsText" priority="15179" operator="containsText" dxfId="7" text="NEPHRO">
      <formula>NOT(ISERROR(SEARCH(("NEPHRO"),(X27))))</formula>
    </cfRule>
    <cfRule type="containsText" priority="15180" operator="containsText" dxfId="7" text="PULM">
      <formula>NOT(ISERROR(SEARCH(("PULM"),(X27))))</formula>
    </cfRule>
    <cfRule type="containsText" priority="15181" operator="containsText" dxfId="7" text="RADIOLOGY">
      <formula>NOT(ISERROR(SEARCH(("RADIOLOGY"),(X27))))</formula>
    </cfRule>
    <cfRule type="containsText" priority="15182" operator="containsText" dxfId="7" text="HEM/ONC">
      <formula>NOT(ISERROR(SEARCH(("HEM/ONC"),(X27))))</formula>
    </cfRule>
    <cfRule type="containsText" priority="15183" operator="containsText" dxfId="7" text="CARDIO">
      <formula>NOT(ISERROR(SEARCH(("CARDIO"),(X27))))</formula>
    </cfRule>
    <cfRule type="containsText" priority="15184" operator="containsText" dxfId="7" text="ID">
      <formula>NOT(ISERROR(SEARCH(("ID"),(X27))))</formula>
    </cfRule>
    <cfRule type="containsText" priority="15185" operator="containsText" dxfId="7" text="NEURO">
      <formula>NOT(ISERROR(SEARCH(("NEURO"),(X27))))</formula>
    </cfRule>
    <cfRule type="containsText" priority="15186" operator="containsText" dxfId="6" text="NEURO">
      <formula>NOT(ISERROR(SEARCH(("NEURO"),(X27))))</formula>
    </cfRule>
    <cfRule type="containsText" priority="15187" operator="containsText" dxfId="5" text="NEURO">
      <formula>NOT(ISERROR(SEARCH(("NEURO"),(X27))))</formula>
    </cfRule>
    <cfRule type="containsText" priority="15188" operator="containsText" dxfId="0" text="ICU N">
      <formula>NOT(ISERROR(SEARCH(("ICU N"),(X27))))</formula>
    </cfRule>
    <cfRule type="containsText" priority="15189" operator="containsText" dxfId="3" text="ICU">
      <formula>NOT(ISERROR(SEARCH(("ICU"),(X27))))</formula>
    </cfRule>
    <cfRule type="containsText" priority="15190" operator="containsText" dxfId="0" text="SWING">
      <formula>NOT(ISERROR(SEARCH(("SWING"),(X27))))</formula>
    </cfRule>
    <cfRule type="containsText" priority="15191" operator="containsText" dxfId="0" text="NF">
      <formula>NOT(ISERROR(SEARCH(("NF"),(X27))))</formula>
    </cfRule>
    <cfRule type="containsText" priority="15192" operator="containsText" dxfId="0" text="ICU N">
      <formula>NOT(ISERROR(SEARCH(("ICU N"),(X27))))</formula>
    </cfRule>
    <cfRule type="containsText" priority="15158" operator="containsText" dxfId="17" text="VACATION">
      <formula>NOT(ISERROR(SEARCH(("VACATION"),(X27))))</formula>
    </cfRule>
    <cfRule type="containsText" priority="15159" operator="containsText" dxfId="16" text="ED">
      <formula>NOT(ISERROR(SEARCH(("ED"),(X27))))</formula>
    </cfRule>
    <cfRule type="containsText" priority="15160" operator="containsText" dxfId="15" text="GERIATRIC">
      <formula>NOT(ISERROR(SEARCH(("GERIATRIC"),(X27))))</formula>
    </cfRule>
    <cfRule type="containsText" priority="15161" operator="containsText" dxfId="7" text="PATH">
      <formula>NOT(ISERROR(SEARCH(("PATH"),(X27))))</formula>
    </cfRule>
    <cfRule type="containsText" priority="15162" operator="containsText" dxfId="7" text="NEPHRO">
      <formula>NOT(ISERROR(SEARCH(("NEPHRO"),(X27))))</formula>
    </cfRule>
    <cfRule type="containsText" priority="15163" operator="containsText" dxfId="7" text="PULM">
      <formula>NOT(ISERROR(SEARCH(("PULM"),(X27))))</formula>
    </cfRule>
    <cfRule type="containsText" priority="15164" operator="containsText" dxfId="7" text="RADIOLOGY">
      <formula>NOT(ISERROR(SEARCH(("RADIOLOGY"),(X27))))</formula>
    </cfRule>
    <cfRule type="containsText" priority="15165" operator="containsText" dxfId="7" text="HEM/ONC">
      <formula>NOT(ISERROR(SEARCH(("HEM/ONC"),(X27))))</formula>
    </cfRule>
    <cfRule type="containsText" priority="15166" operator="containsText" dxfId="7" text="CARDIO">
      <formula>NOT(ISERROR(SEARCH(("CARDIO"),(X27))))</formula>
    </cfRule>
    <cfRule type="containsText" priority="15167" operator="containsText" dxfId="7" text="ID">
      <formula>NOT(ISERROR(SEARCH(("ID"),(X27))))</formula>
    </cfRule>
    <cfRule type="containsText" priority="15168" operator="containsText" dxfId="7" text="NEURO">
      <formula>NOT(ISERROR(SEARCH(("NEURO"),(X27))))</formula>
    </cfRule>
    <cfRule type="containsText" priority="15169" operator="containsText" dxfId="6" text="NEURO">
      <formula>NOT(ISERROR(SEARCH(("NEURO"),(X27))))</formula>
    </cfRule>
    <cfRule type="containsText" priority="15170" operator="containsText" dxfId="5" text="NEURO">
      <formula>NOT(ISERROR(SEARCH(("NEURO"),(X27))))</formula>
    </cfRule>
    <cfRule type="containsText" priority="15171" operator="containsText" dxfId="0" text="ICU N">
      <formula>NOT(ISERROR(SEARCH(("ICU N"),(X27))))</formula>
    </cfRule>
    <cfRule type="containsText" priority="15172" operator="containsText" dxfId="3" text="ICU">
      <formula>NOT(ISERROR(SEARCH(("ICU"),(X27))))</formula>
    </cfRule>
    <cfRule type="containsText" priority="15173" operator="containsText" dxfId="0" text="SWING">
      <formula>NOT(ISERROR(SEARCH(("SWING"),(X27))))</formula>
    </cfRule>
    <cfRule type="containsText" priority="15174" operator="containsText" dxfId="0" text="NF">
      <formula>NOT(ISERROR(SEARCH(("NF"),(X27))))</formula>
    </cfRule>
    <cfRule type="containsText" priority="15143" operator="containsText" dxfId="7" text="PATH">
      <formula>NOT(ISERROR(SEARCH(("PATH"),(X27))))</formula>
    </cfRule>
    <cfRule type="containsText" priority="15144" operator="containsText" dxfId="7" text="NEPHRO">
      <formula>NOT(ISERROR(SEARCH(("NEPHRO"),(X27))))</formula>
    </cfRule>
    <cfRule type="containsText" priority="15145" operator="containsText" dxfId="7" text="PULM">
      <formula>NOT(ISERROR(SEARCH(("PULM"),(X27))))</formula>
    </cfRule>
    <cfRule type="containsText" priority="15146" operator="containsText" dxfId="7" text="RADIOLOGY">
      <formula>NOT(ISERROR(SEARCH(("RADIOLOGY"),(X27))))</formula>
    </cfRule>
    <cfRule type="containsText" priority="15147" operator="containsText" dxfId="7" text="HEM/ONC">
      <formula>NOT(ISERROR(SEARCH(("HEM/ONC"),(X27))))</formula>
    </cfRule>
    <cfRule type="containsText" priority="15148" operator="containsText" dxfId="7" text="CARDIO">
      <formula>NOT(ISERROR(SEARCH(("CARDIO"),(X27))))</formula>
    </cfRule>
    <cfRule type="containsText" priority="15149" operator="containsText" dxfId="7" text="ID">
      <formula>NOT(ISERROR(SEARCH(("ID"),(X27))))</formula>
    </cfRule>
    <cfRule type="containsText" priority="15150" operator="containsText" dxfId="7" text="NEURO">
      <formula>NOT(ISERROR(SEARCH(("NEURO"),(X27))))</formula>
    </cfRule>
    <cfRule type="containsText" priority="15151" operator="containsText" dxfId="6" text="NEURO">
      <formula>NOT(ISERROR(SEARCH(("NEURO"),(X27))))</formula>
    </cfRule>
    <cfRule type="containsText" priority="15152" operator="containsText" dxfId="5" text="NEURO">
      <formula>NOT(ISERROR(SEARCH(("NEURO"),(X27))))</formula>
    </cfRule>
    <cfRule type="containsText" priority="15153" operator="containsText" dxfId="0" text="ICU N">
      <formula>NOT(ISERROR(SEARCH(("ICU N"),(X27))))</formula>
    </cfRule>
    <cfRule type="containsText" priority="15154" operator="containsText" dxfId="3" text="ICU">
      <formula>NOT(ISERROR(SEARCH(("ICU"),(X27))))</formula>
    </cfRule>
    <cfRule type="containsText" priority="15155" operator="containsText" dxfId="0" text="SWING">
      <formula>NOT(ISERROR(SEARCH(("SWING"),(X27))))</formula>
    </cfRule>
    <cfRule type="containsText" priority="15156" operator="containsText" dxfId="0" text="NF">
      <formula>NOT(ISERROR(SEARCH(("NF"),(X27))))</formula>
    </cfRule>
    <cfRule type="containsText" priority="15157" operator="containsText" dxfId="0" text="ICU N">
      <formula>NOT(ISERROR(SEARCH(("ICU N"),(X27))))</formula>
    </cfRule>
  </conditionalFormatting>
  <conditionalFormatting sqref="Y27">
    <cfRule type="containsText" priority="15140" operator="containsText" dxfId="16" text="ED">
      <formula>NOT(ISERROR(SEARCH(("ED"),(Y27))))</formula>
    </cfRule>
    <cfRule type="containsText" priority="15141" operator="containsText" dxfId="17" text="VACATION">
      <formula>NOT(ISERROR(SEARCH(("VACATION"),(Y27))))</formula>
    </cfRule>
    <cfRule type="containsText" priority="15142" operator="containsText" dxfId="0" text="ICU N">
      <formula>NOT(ISERROR(SEARCH(("ICU N"),(Y27))))</formula>
    </cfRule>
    <cfRule type="containsText" priority="15122" operator="containsText" dxfId="16" text="ED">
      <formula>NOT(ISERROR(SEARCH(("ED"),(Y27))))</formula>
    </cfRule>
    <cfRule type="containsText" priority="15123" operator="containsText" dxfId="15" text="GERIATRIC">
      <formula>NOT(ISERROR(SEARCH(("GERIATRIC"),(Y27))))</formula>
    </cfRule>
    <cfRule type="containsText" priority="15124" operator="containsText" dxfId="17" text="VACATION">
      <formula>NOT(ISERROR(SEARCH(("VACATION"),(Y27))))</formula>
    </cfRule>
    <cfRule type="containsText" priority="15125" operator="containsText" dxfId="7" text="PATH">
      <formula>NOT(ISERROR(SEARCH(("PATH"),(Y27))))</formula>
    </cfRule>
    <cfRule type="containsText" priority="15126" operator="containsText" dxfId="7" text="NEPHRO">
      <formula>NOT(ISERROR(SEARCH(("NEPHRO"),(Y27))))</formula>
    </cfRule>
    <cfRule type="containsText" priority="15127" operator="containsText" dxfId="7" text="PULM">
      <formula>NOT(ISERROR(SEARCH(("PULM"),(Y27))))</formula>
    </cfRule>
    <cfRule type="containsText" priority="15128" operator="containsText" dxfId="7" text="RADIOLOGY">
      <formula>NOT(ISERROR(SEARCH(("RADIOLOGY"),(Y27))))</formula>
    </cfRule>
    <cfRule type="containsText" priority="15129" operator="containsText" dxfId="7" text="HEM/ONC">
      <formula>NOT(ISERROR(SEARCH(("HEM/ONC"),(Y27))))</formula>
    </cfRule>
    <cfRule type="containsText" priority="15130" operator="containsText" dxfId="7" text="CARDIO">
      <formula>NOT(ISERROR(SEARCH(("CARDIO"),(Y27))))</formula>
    </cfRule>
    <cfRule type="containsText" priority="15131" operator="containsText" dxfId="7" text="ID">
      <formula>NOT(ISERROR(SEARCH(("ID"),(Y27))))</formula>
    </cfRule>
    <cfRule type="containsText" priority="15132" operator="containsText" dxfId="7" text="NEURO">
      <formula>NOT(ISERROR(SEARCH(("NEURO"),(Y27))))</formula>
    </cfRule>
    <cfRule type="containsText" priority="15133" operator="containsText" dxfId="6" text="NEURO">
      <formula>NOT(ISERROR(SEARCH(("NEURO"),(Y27))))</formula>
    </cfRule>
    <cfRule type="containsText" priority="15134" operator="containsText" dxfId="5" text="NEURO">
      <formula>NOT(ISERROR(SEARCH(("NEURO"),(Y27))))</formula>
    </cfRule>
    <cfRule type="containsText" priority="15135" operator="containsText" dxfId="0" text="ICU N">
      <formula>NOT(ISERROR(SEARCH(("ICU N"),(Y27))))</formula>
    </cfRule>
    <cfRule type="containsText" priority="15136" operator="containsText" dxfId="3" text="ICU">
      <formula>NOT(ISERROR(SEARCH(("ICU"),(Y27))))</formula>
    </cfRule>
    <cfRule type="containsText" priority="15137" operator="containsText" dxfId="0" text="SWING">
      <formula>NOT(ISERROR(SEARCH(("SWING"),(Y27))))</formula>
    </cfRule>
    <cfRule type="containsText" priority="15138" operator="containsText" dxfId="0" text="NF">
      <formula>NOT(ISERROR(SEARCH(("NF"),(Y27))))</formula>
    </cfRule>
    <cfRule type="containsText" priority="15139" operator="containsText" dxfId="0" text="ICU N">
      <formula>NOT(ISERROR(SEARCH(("ICU N"),(Y27))))</formula>
    </cfRule>
    <cfRule type="containsText" priority="15105" operator="containsText" dxfId="17" text="VACATION">
      <formula>NOT(ISERROR(SEARCH(("VACATION"),(Y27))))</formula>
    </cfRule>
    <cfRule type="containsText" priority="15106" operator="containsText" dxfId="16" text="ED">
      <formula>NOT(ISERROR(SEARCH(("ED"),(Y27))))</formula>
    </cfRule>
    <cfRule type="containsText" priority="15107" operator="containsText" dxfId="15" text="GERIATRIC">
      <formula>NOT(ISERROR(SEARCH(("GERIATRIC"),(Y27))))</formula>
    </cfRule>
    <cfRule type="containsText" priority="15108" operator="containsText" dxfId="7" text="PATH">
      <formula>NOT(ISERROR(SEARCH(("PATH"),(Y27))))</formula>
    </cfRule>
    <cfRule type="containsText" priority="15109" operator="containsText" dxfId="7" text="NEPHRO">
      <formula>NOT(ISERROR(SEARCH(("NEPHRO"),(Y27))))</formula>
    </cfRule>
    <cfRule type="containsText" priority="15110" operator="containsText" dxfId="7" text="PULM">
      <formula>NOT(ISERROR(SEARCH(("PULM"),(Y27))))</formula>
    </cfRule>
    <cfRule type="containsText" priority="15111" operator="containsText" dxfId="7" text="RADIOLOGY">
      <formula>NOT(ISERROR(SEARCH(("RADIOLOGY"),(Y27))))</formula>
    </cfRule>
    <cfRule type="containsText" priority="15112" operator="containsText" dxfId="7" text="HEM/ONC">
      <formula>NOT(ISERROR(SEARCH(("HEM/ONC"),(Y27))))</formula>
    </cfRule>
    <cfRule type="containsText" priority="15113" operator="containsText" dxfId="7" text="CARDIO">
      <formula>NOT(ISERROR(SEARCH(("CARDIO"),(Y27))))</formula>
    </cfRule>
    <cfRule type="containsText" priority="15114" operator="containsText" dxfId="7" text="ID">
      <formula>NOT(ISERROR(SEARCH(("ID"),(Y27))))</formula>
    </cfRule>
    <cfRule type="containsText" priority="15115" operator="containsText" dxfId="7" text="NEURO">
      <formula>NOT(ISERROR(SEARCH(("NEURO"),(Y27))))</formula>
    </cfRule>
    <cfRule type="containsText" priority="15116" operator="containsText" dxfId="6" text="NEURO">
      <formula>NOT(ISERROR(SEARCH(("NEURO"),(Y27))))</formula>
    </cfRule>
    <cfRule type="containsText" priority="15117" operator="containsText" dxfId="5" text="NEURO">
      <formula>NOT(ISERROR(SEARCH(("NEURO"),(Y27))))</formula>
    </cfRule>
    <cfRule type="containsText" priority="15118" operator="containsText" dxfId="0" text="ICU N">
      <formula>NOT(ISERROR(SEARCH(("ICU N"),(Y27))))</formula>
    </cfRule>
    <cfRule type="containsText" priority="15119" operator="containsText" dxfId="3" text="ICU">
      <formula>NOT(ISERROR(SEARCH(("ICU"),(Y27))))</formula>
    </cfRule>
    <cfRule type="containsText" priority="15120" operator="containsText" dxfId="0" text="SWING">
      <formula>NOT(ISERROR(SEARCH(("SWING"),(Y27))))</formula>
    </cfRule>
    <cfRule type="containsText" priority="15121" operator="containsText" dxfId="0" text="NF">
      <formula>NOT(ISERROR(SEARCH(("NF"),(Y27))))</formula>
    </cfRule>
    <cfRule type="containsText" priority="15090" operator="containsText" dxfId="7" text="PATH">
      <formula>NOT(ISERROR(SEARCH(("PATH"),(Y27))))</formula>
    </cfRule>
    <cfRule type="containsText" priority="15091" operator="containsText" dxfId="7" text="NEPHRO">
      <formula>NOT(ISERROR(SEARCH(("NEPHRO"),(Y27))))</formula>
    </cfRule>
    <cfRule type="containsText" priority="15092" operator="containsText" dxfId="7" text="PULM">
      <formula>NOT(ISERROR(SEARCH(("PULM"),(Y27))))</formula>
    </cfRule>
    <cfRule type="containsText" priority="15093" operator="containsText" dxfId="7" text="RADIOLOGY">
      <formula>NOT(ISERROR(SEARCH(("RADIOLOGY"),(Y27))))</formula>
    </cfRule>
    <cfRule type="containsText" priority="15094" operator="containsText" dxfId="7" text="HEM/ONC">
      <formula>NOT(ISERROR(SEARCH(("HEM/ONC"),(Y27))))</formula>
    </cfRule>
    <cfRule type="containsText" priority="15095" operator="containsText" dxfId="7" text="CARDIO">
      <formula>NOT(ISERROR(SEARCH(("CARDIO"),(Y27))))</formula>
    </cfRule>
    <cfRule type="containsText" priority="15096" operator="containsText" dxfId="7" text="ID">
      <formula>NOT(ISERROR(SEARCH(("ID"),(Y27))))</formula>
    </cfRule>
    <cfRule type="containsText" priority="15097" operator="containsText" dxfId="7" text="NEURO">
      <formula>NOT(ISERROR(SEARCH(("NEURO"),(Y27))))</formula>
    </cfRule>
    <cfRule type="containsText" priority="15098" operator="containsText" dxfId="6" text="NEURO">
      <formula>NOT(ISERROR(SEARCH(("NEURO"),(Y27))))</formula>
    </cfRule>
    <cfRule type="containsText" priority="15099" operator="containsText" dxfId="5" text="NEURO">
      <formula>NOT(ISERROR(SEARCH(("NEURO"),(Y27))))</formula>
    </cfRule>
    <cfRule type="containsText" priority="15100" operator="containsText" dxfId="0" text="ICU N">
      <formula>NOT(ISERROR(SEARCH(("ICU N"),(Y27))))</formula>
    </cfRule>
    <cfRule type="containsText" priority="15101" operator="containsText" dxfId="3" text="ICU">
      <formula>NOT(ISERROR(SEARCH(("ICU"),(Y27))))</formula>
    </cfRule>
    <cfRule type="containsText" priority="15102" operator="containsText" dxfId="0" text="SWING">
      <formula>NOT(ISERROR(SEARCH(("SWING"),(Y27))))</formula>
    </cfRule>
    <cfRule type="containsText" priority="15103" operator="containsText" dxfId="0" text="NF">
      <formula>NOT(ISERROR(SEARCH(("NF"),(Y27))))</formula>
    </cfRule>
    <cfRule type="containsText" priority="15104" operator="containsText" dxfId="0" text="ICU N">
      <formula>NOT(ISERROR(SEARCH(("ICU N"),(Y27))))</formula>
    </cfRule>
  </conditionalFormatting>
  <conditionalFormatting sqref="X39">
    <cfRule type="containsText" priority="15087" operator="containsText" dxfId="16" text="ED">
      <formula>NOT(ISERROR(SEARCH(("ED"),(X39))))</formula>
    </cfRule>
    <cfRule type="containsText" priority="15088" operator="containsText" dxfId="17" text="VACATION">
      <formula>NOT(ISERROR(SEARCH(("VACATION"),(X39))))</formula>
    </cfRule>
    <cfRule type="containsText" priority="15089" operator="containsText" dxfId="0" text="ICU N">
      <formula>NOT(ISERROR(SEARCH(("ICU N"),(X39))))</formula>
    </cfRule>
    <cfRule type="containsText" priority="15069" operator="containsText" dxfId="16" text="ED">
      <formula>NOT(ISERROR(SEARCH(("ED"),(X39))))</formula>
    </cfRule>
    <cfRule type="containsText" priority="15070" operator="containsText" dxfId="15" text="GERIATRIC">
      <formula>NOT(ISERROR(SEARCH(("GERIATRIC"),(X39))))</formula>
    </cfRule>
    <cfRule type="containsText" priority="15071" operator="containsText" dxfId="17" text="VACATION">
      <formula>NOT(ISERROR(SEARCH(("VACATION"),(X39))))</formula>
    </cfRule>
    <cfRule type="containsText" priority="15072" operator="containsText" dxfId="7" text="PATH">
      <formula>NOT(ISERROR(SEARCH(("PATH"),(X39))))</formula>
    </cfRule>
    <cfRule type="containsText" priority="15073" operator="containsText" dxfId="7" text="NEPHRO">
      <formula>NOT(ISERROR(SEARCH(("NEPHRO"),(X39))))</formula>
    </cfRule>
    <cfRule type="containsText" priority="15074" operator="containsText" dxfId="7" text="PULM">
      <formula>NOT(ISERROR(SEARCH(("PULM"),(X39))))</formula>
    </cfRule>
    <cfRule type="containsText" priority="15075" operator="containsText" dxfId="7" text="RADIOLOGY">
      <formula>NOT(ISERROR(SEARCH(("RADIOLOGY"),(X39))))</formula>
    </cfRule>
    <cfRule type="containsText" priority="15076" operator="containsText" dxfId="7" text="HEM/ONC">
      <formula>NOT(ISERROR(SEARCH(("HEM/ONC"),(X39))))</formula>
    </cfRule>
    <cfRule type="containsText" priority="15077" operator="containsText" dxfId="7" text="CARDIO">
      <formula>NOT(ISERROR(SEARCH(("CARDIO"),(X39))))</formula>
    </cfRule>
    <cfRule type="containsText" priority="15078" operator="containsText" dxfId="7" text="ID">
      <formula>NOT(ISERROR(SEARCH(("ID"),(X39))))</formula>
    </cfRule>
    <cfRule type="containsText" priority="15079" operator="containsText" dxfId="7" text="NEURO">
      <formula>NOT(ISERROR(SEARCH(("NEURO"),(X39))))</formula>
    </cfRule>
    <cfRule type="containsText" priority="15080" operator="containsText" dxfId="6" text="NEURO">
      <formula>NOT(ISERROR(SEARCH(("NEURO"),(X39))))</formula>
    </cfRule>
    <cfRule type="containsText" priority="15081" operator="containsText" dxfId="5" text="NEURO">
      <formula>NOT(ISERROR(SEARCH(("NEURO"),(X39))))</formula>
    </cfRule>
    <cfRule type="containsText" priority="15082" operator="containsText" dxfId="0" text="ICU N">
      <formula>NOT(ISERROR(SEARCH(("ICU N"),(X39))))</formula>
    </cfRule>
    <cfRule type="containsText" priority="15083" operator="containsText" dxfId="3" text="ICU">
      <formula>NOT(ISERROR(SEARCH(("ICU"),(X39))))</formula>
    </cfRule>
    <cfRule type="containsText" priority="15084" operator="containsText" dxfId="0" text="SWING">
      <formula>NOT(ISERROR(SEARCH(("SWING"),(X39))))</formula>
    </cfRule>
    <cfRule type="containsText" priority="15085" operator="containsText" dxfId="0" text="NF">
      <formula>NOT(ISERROR(SEARCH(("NF"),(X39))))</formula>
    </cfRule>
    <cfRule type="containsText" priority="15086" operator="containsText" dxfId="0" text="ICU N">
      <formula>NOT(ISERROR(SEARCH(("ICU N"),(X39))))</formula>
    </cfRule>
    <cfRule type="containsText" priority="15052" operator="containsText" dxfId="17" text="VACATION">
      <formula>NOT(ISERROR(SEARCH(("VACATION"),(X39))))</formula>
    </cfRule>
    <cfRule type="containsText" priority="15053" operator="containsText" dxfId="16" text="ED">
      <formula>NOT(ISERROR(SEARCH(("ED"),(X39))))</formula>
    </cfRule>
    <cfRule type="containsText" priority="15054" operator="containsText" dxfId="15" text="GERIATRIC">
      <formula>NOT(ISERROR(SEARCH(("GERIATRIC"),(X39))))</formula>
    </cfRule>
    <cfRule type="containsText" priority="15055" operator="containsText" dxfId="7" text="PATH">
      <formula>NOT(ISERROR(SEARCH(("PATH"),(X39))))</formula>
    </cfRule>
    <cfRule type="containsText" priority="15056" operator="containsText" dxfId="7" text="NEPHRO">
      <formula>NOT(ISERROR(SEARCH(("NEPHRO"),(X39))))</formula>
    </cfRule>
    <cfRule type="containsText" priority="15057" operator="containsText" dxfId="7" text="PULM">
      <formula>NOT(ISERROR(SEARCH(("PULM"),(X39))))</formula>
    </cfRule>
    <cfRule type="containsText" priority="15058" operator="containsText" dxfId="7" text="RADIOLOGY">
      <formula>NOT(ISERROR(SEARCH(("RADIOLOGY"),(X39))))</formula>
    </cfRule>
    <cfRule type="containsText" priority="15059" operator="containsText" dxfId="7" text="HEM/ONC">
      <formula>NOT(ISERROR(SEARCH(("HEM/ONC"),(X39))))</formula>
    </cfRule>
    <cfRule type="containsText" priority="15060" operator="containsText" dxfId="7" text="CARDIO">
      <formula>NOT(ISERROR(SEARCH(("CARDIO"),(X39))))</formula>
    </cfRule>
    <cfRule type="containsText" priority="15061" operator="containsText" dxfId="7" text="ID">
      <formula>NOT(ISERROR(SEARCH(("ID"),(X39))))</formula>
    </cfRule>
    <cfRule type="containsText" priority="15062" operator="containsText" dxfId="7" text="NEURO">
      <formula>NOT(ISERROR(SEARCH(("NEURO"),(X39))))</formula>
    </cfRule>
    <cfRule type="containsText" priority="15063" operator="containsText" dxfId="6" text="NEURO">
      <formula>NOT(ISERROR(SEARCH(("NEURO"),(X39))))</formula>
    </cfRule>
    <cfRule type="containsText" priority="15064" operator="containsText" dxfId="5" text="NEURO">
      <formula>NOT(ISERROR(SEARCH(("NEURO"),(X39))))</formula>
    </cfRule>
    <cfRule type="containsText" priority="15065" operator="containsText" dxfId="0" text="ICU N">
      <formula>NOT(ISERROR(SEARCH(("ICU N"),(X39))))</formula>
    </cfRule>
    <cfRule type="containsText" priority="15066" operator="containsText" dxfId="3" text="ICU">
      <formula>NOT(ISERROR(SEARCH(("ICU"),(X39))))</formula>
    </cfRule>
    <cfRule type="containsText" priority="15067" operator="containsText" dxfId="0" text="SWING">
      <formula>NOT(ISERROR(SEARCH(("SWING"),(X39))))</formula>
    </cfRule>
    <cfRule type="containsText" priority="15068" operator="containsText" dxfId="0" text="NF">
      <formula>NOT(ISERROR(SEARCH(("NF"),(X39))))</formula>
    </cfRule>
    <cfRule type="containsText" priority="15037" operator="containsText" dxfId="7" text="PATH">
      <formula>NOT(ISERROR(SEARCH(("PATH"),(X39))))</formula>
    </cfRule>
    <cfRule type="containsText" priority="15038" operator="containsText" dxfId="7" text="NEPHRO">
      <formula>NOT(ISERROR(SEARCH(("NEPHRO"),(X39))))</formula>
    </cfRule>
    <cfRule type="containsText" priority="15039" operator="containsText" dxfId="7" text="PULM">
      <formula>NOT(ISERROR(SEARCH(("PULM"),(X39))))</formula>
    </cfRule>
    <cfRule type="containsText" priority="15040" operator="containsText" dxfId="7" text="RADIOLOGY">
      <formula>NOT(ISERROR(SEARCH(("RADIOLOGY"),(X39))))</formula>
    </cfRule>
    <cfRule type="containsText" priority="15041" operator="containsText" dxfId="7" text="HEM/ONC">
      <formula>NOT(ISERROR(SEARCH(("HEM/ONC"),(X39))))</formula>
    </cfRule>
    <cfRule type="containsText" priority="15042" operator="containsText" dxfId="7" text="CARDIO">
      <formula>NOT(ISERROR(SEARCH(("CARDIO"),(X39))))</formula>
    </cfRule>
    <cfRule type="containsText" priority="15043" operator="containsText" dxfId="7" text="ID">
      <formula>NOT(ISERROR(SEARCH(("ID"),(X39))))</formula>
    </cfRule>
    <cfRule type="containsText" priority="15044" operator="containsText" dxfId="7" text="NEURO">
      <formula>NOT(ISERROR(SEARCH(("NEURO"),(X39))))</formula>
    </cfRule>
    <cfRule type="containsText" priority="15045" operator="containsText" dxfId="6" text="NEURO">
      <formula>NOT(ISERROR(SEARCH(("NEURO"),(X39))))</formula>
    </cfRule>
    <cfRule type="containsText" priority="15046" operator="containsText" dxfId="5" text="NEURO">
      <formula>NOT(ISERROR(SEARCH(("NEURO"),(X39))))</formula>
    </cfRule>
    <cfRule type="containsText" priority="15047" operator="containsText" dxfId="0" text="ICU N">
      <formula>NOT(ISERROR(SEARCH(("ICU N"),(X39))))</formula>
    </cfRule>
    <cfRule type="containsText" priority="15048" operator="containsText" dxfId="3" text="ICU">
      <formula>NOT(ISERROR(SEARCH(("ICU"),(X39))))</formula>
    </cfRule>
    <cfRule type="containsText" priority="15049" operator="containsText" dxfId="0" text="SWING">
      <formula>NOT(ISERROR(SEARCH(("SWING"),(X39))))</formula>
    </cfRule>
    <cfRule type="containsText" priority="15050" operator="containsText" dxfId="0" text="NF">
      <formula>NOT(ISERROR(SEARCH(("NF"),(X39))))</formula>
    </cfRule>
    <cfRule type="containsText" priority="15051" operator="containsText" dxfId="0" text="ICU N">
      <formula>NOT(ISERROR(SEARCH(("ICU N"),(X39))))</formula>
    </cfRule>
  </conditionalFormatting>
  <conditionalFormatting sqref="Y39">
    <cfRule type="containsText" priority="15034" operator="containsText" dxfId="16" text="ED">
      <formula>NOT(ISERROR(SEARCH(("ED"),(Y39))))</formula>
    </cfRule>
    <cfRule type="containsText" priority="15035" operator="containsText" dxfId="17" text="VACATION">
      <formula>NOT(ISERROR(SEARCH(("VACATION"),(Y39))))</formula>
    </cfRule>
    <cfRule type="containsText" priority="15036" operator="containsText" dxfId="0" text="ICU N">
      <formula>NOT(ISERROR(SEARCH(("ICU N"),(Y39))))</formula>
    </cfRule>
    <cfRule type="containsText" priority="15016" operator="containsText" dxfId="16" text="ED">
      <formula>NOT(ISERROR(SEARCH(("ED"),(Y39))))</formula>
    </cfRule>
    <cfRule type="containsText" priority="15017" operator="containsText" dxfId="15" text="GERIATRIC">
      <formula>NOT(ISERROR(SEARCH(("GERIATRIC"),(Y39))))</formula>
    </cfRule>
    <cfRule type="containsText" priority="15018" operator="containsText" dxfId="17" text="VACATION">
      <formula>NOT(ISERROR(SEARCH(("VACATION"),(Y39))))</formula>
    </cfRule>
    <cfRule type="containsText" priority="15019" operator="containsText" dxfId="7" text="PATH">
      <formula>NOT(ISERROR(SEARCH(("PATH"),(Y39))))</formula>
    </cfRule>
    <cfRule type="containsText" priority="15020" operator="containsText" dxfId="7" text="NEPHRO">
      <formula>NOT(ISERROR(SEARCH(("NEPHRO"),(Y39))))</formula>
    </cfRule>
    <cfRule type="containsText" priority="15021" operator="containsText" dxfId="7" text="PULM">
      <formula>NOT(ISERROR(SEARCH(("PULM"),(Y39))))</formula>
    </cfRule>
    <cfRule type="containsText" priority="15022" operator="containsText" dxfId="7" text="RADIOLOGY">
      <formula>NOT(ISERROR(SEARCH(("RADIOLOGY"),(Y39))))</formula>
    </cfRule>
    <cfRule type="containsText" priority="15023" operator="containsText" dxfId="7" text="HEM/ONC">
      <formula>NOT(ISERROR(SEARCH(("HEM/ONC"),(Y39))))</formula>
    </cfRule>
    <cfRule type="containsText" priority="15024" operator="containsText" dxfId="7" text="CARDIO">
      <formula>NOT(ISERROR(SEARCH(("CARDIO"),(Y39))))</formula>
    </cfRule>
    <cfRule type="containsText" priority="15025" operator="containsText" dxfId="7" text="ID">
      <formula>NOT(ISERROR(SEARCH(("ID"),(Y39))))</formula>
    </cfRule>
    <cfRule type="containsText" priority="15026" operator="containsText" dxfId="7" text="NEURO">
      <formula>NOT(ISERROR(SEARCH(("NEURO"),(Y39))))</formula>
    </cfRule>
    <cfRule type="containsText" priority="15027" operator="containsText" dxfId="6" text="NEURO">
      <formula>NOT(ISERROR(SEARCH(("NEURO"),(Y39))))</formula>
    </cfRule>
    <cfRule type="containsText" priority="15028" operator="containsText" dxfId="5" text="NEURO">
      <formula>NOT(ISERROR(SEARCH(("NEURO"),(Y39))))</formula>
    </cfRule>
    <cfRule type="containsText" priority="15029" operator="containsText" dxfId="0" text="ICU N">
      <formula>NOT(ISERROR(SEARCH(("ICU N"),(Y39))))</formula>
    </cfRule>
    <cfRule type="containsText" priority="15030" operator="containsText" dxfId="3" text="ICU">
      <formula>NOT(ISERROR(SEARCH(("ICU"),(Y39))))</formula>
    </cfRule>
    <cfRule type="containsText" priority="15031" operator="containsText" dxfId="0" text="SWING">
      <formula>NOT(ISERROR(SEARCH(("SWING"),(Y39))))</formula>
    </cfRule>
    <cfRule type="containsText" priority="15032" operator="containsText" dxfId="0" text="NF">
      <formula>NOT(ISERROR(SEARCH(("NF"),(Y39))))</formula>
    </cfRule>
    <cfRule type="containsText" priority="15033" operator="containsText" dxfId="0" text="ICU N">
      <formula>NOT(ISERROR(SEARCH(("ICU N"),(Y39))))</formula>
    </cfRule>
    <cfRule type="containsText" priority="14999" operator="containsText" dxfId="17" text="VACATION">
      <formula>NOT(ISERROR(SEARCH(("VACATION"),(Y39))))</formula>
    </cfRule>
    <cfRule type="containsText" priority="15000" operator="containsText" dxfId="16" text="ED">
      <formula>NOT(ISERROR(SEARCH(("ED"),(Y39))))</formula>
    </cfRule>
    <cfRule type="containsText" priority="15001" operator="containsText" dxfId="15" text="GERIATRIC">
      <formula>NOT(ISERROR(SEARCH(("GERIATRIC"),(Y39))))</formula>
    </cfRule>
    <cfRule type="containsText" priority="15002" operator="containsText" dxfId="7" text="PATH">
      <formula>NOT(ISERROR(SEARCH(("PATH"),(Y39))))</formula>
    </cfRule>
    <cfRule type="containsText" priority="15003" operator="containsText" dxfId="7" text="NEPHRO">
      <formula>NOT(ISERROR(SEARCH(("NEPHRO"),(Y39))))</formula>
    </cfRule>
    <cfRule type="containsText" priority="15004" operator="containsText" dxfId="7" text="PULM">
      <formula>NOT(ISERROR(SEARCH(("PULM"),(Y39))))</formula>
    </cfRule>
    <cfRule type="containsText" priority="15005" operator="containsText" dxfId="7" text="RADIOLOGY">
      <formula>NOT(ISERROR(SEARCH(("RADIOLOGY"),(Y39))))</formula>
    </cfRule>
    <cfRule type="containsText" priority="15006" operator="containsText" dxfId="7" text="HEM/ONC">
      <formula>NOT(ISERROR(SEARCH(("HEM/ONC"),(Y39))))</formula>
    </cfRule>
    <cfRule type="containsText" priority="15007" operator="containsText" dxfId="7" text="CARDIO">
      <formula>NOT(ISERROR(SEARCH(("CARDIO"),(Y39))))</formula>
    </cfRule>
    <cfRule type="containsText" priority="15008" operator="containsText" dxfId="7" text="ID">
      <formula>NOT(ISERROR(SEARCH(("ID"),(Y39))))</formula>
    </cfRule>
    <cfRule type="containsText" priority="15009" operator="containsText" dxfId="7" text="NEURO">
      <formula>NOT(ISERROR(SEARCH(("NEURO"),(Y39))))</formula>
    </cfRule>
    <cfRule type="containsText" priority="15010" operator="containsText" dxfId="6" text="NEURO">
      <formula>NOT(ISERROR(SEARCH(("NEURO"),(Y39))))</formula>
    </cfRule>
    <cfRule type="containsText" priority="15011" operator="containsText" dxfId="5" text="NEURO">
      <formula>NOT(ISERROR(SEARCH(("NEURO"),(Y39))))</formula>
    </cfRule>
    <cfRule type="containsText" priority="15012" operator="containsText" dxfId="0" text="ICU N">
      <formula>NOT(ISERROR(SEARCH(("ICU N"),(Y39))))</formula>
    </cfRule>
    <cfRule type="containsText" priority="15013" operator="containsText" dxfId="3" text="ICU">
      <formula>NOT(ISERROR(SEARCH(("ICU"),(Y39))))</formula>
    </cfRule>
    <cfRule type="containsText" priority="15014" operator="containsText" dxfId="0" text="SWING">
      <formula>NOT(ISERROR(SEARCH(("SWING"),(Y39))))</formula>
    </cfRule>
    <cfRule type="containsText" priority="15015" operator="containsText" dxfId="0" text="NF">
      <formula>NOT(ISERROR(SEARCH(("NF"),(Y39))))</formula>
    </cfRule>
    <cfRule type="containsText" priority="14984" operator="containsText" dxfId="7" text="PATH">
      <formula>NOT(ISERROR(SEARCH(("PATH"),(Y39))))</formula>
    </cfRule>
    <cfRule type="containsText" priority="14985" operator="containsText" dxfId="7" text="NEPHRO">
      <formula>NOT(ISERROR(SEARCH(("NEPHRO"),(Y39))))</formula>
    </cfRule>
    <cfRule type="containsText" priority="14986" operator="containsText" dxfId="7" text="PULM">
      <formula>NOT(ISERROR(SEARCH(("PULM"),(Y39))))</formula>
    </cfRule>
    <cfRule type="containsText" priority="14987" operator="containsText" dxfId="7" text="RADIOLOGY">
      <formula>NOT(ISERROR(SEARCH(("RADIOLOGY"),(Y39))))</formula>
    </cfRule>
    <cfRule type="containsText" priority="14988" operator="containsText" dxfId="7" text="HEM/ONC">
      <formula>NOT(ISERROR(SEARCH(("HEM/ONC"),(Y39))))</formula>
    </cfRule>
    <cfRule type="containsText" priority="14989" operator="containsText" dxfId="7" text="CARDIO">
      <formula>NOT(ISERROR(SEARCH(("CARDIO"),(Y39))))</formula>
    </cfRule>
    <cfRule type="containsText" priority="14990" operator="containsText" dxfId="7" text="ID">
      <formula>NOT(ISERROR(SEARCH(("ID"),(Y39))))</formula>
    </cfRule>
    <cfRule type="containsText" priority="14991" operator="containsText" dxfId="7" text="NEURO">
      <formula>NOT(ISERROR(SEARCH(("NEURO"),(Y39))))</formula>
    </cfRule>
    <cfRule type="containsText" priority="14992" operator="containsText" dxfId="6" text="NEURO">
      <formula>NOT(ISERROR(SEARCH(("NEURO"),(Y39))))</formula>
    </cfRule>
    <cfRule type="containsText" priority="14993" operator="containsText" dxfId="5" text="NEURO">
      <formula>NOT(ISERROR(SEARCH(("NEURO"),(Y39))))</formula>
    </cfRule>
    <cfRule type="containsText" priority="14994" operator="containsText" dxfId="0" text="ICU N">
      <formula>NOT(ISERROR(SEARCH(("ICU N"),(Y39))))</formula>
    </cfRule>
    <cfRule type="containsText" priority="14995" operator="containsText" dxfId="3" text="ICU">
      <formula>NOT(ISERROR(SEARCH(("ICU"),(Y39))))</formula>
    </cfRule>
    <cfRule type="containsText" priority="14996" operator="containsText" dxfId="0" text="SWING">
      <formula>NOT(ISERROR(SEARCH(("SWING"),(Y39))))</formula>
    </cfRule>
    <cfRule type="containsText" priority="14997" operator="containsText" dxfId="0" text="NF">
      <formula>NOT(ISERROR(SEARCH(("NF"),(Y39))))</formula>
    </cfRule>
    <cfRule type="containsText" priority="14998" operator="containsText" dxfId="0" text="ICU N">
      <formula>NOT(ISERROR(SEARCH(("ICU N"),(Y39))))</formula>
    </cfRule>
  </conditionalFormatting>
  <conditionalFormatting sqref="X40">
    <cfRule type="containsText" priority="14981" operator="containsText" dxfId="16" text="ED">
      <formula>NOT(ISERROR(SEARCH(("ED"),(X40))))</formula>
    </cfRule>
    <cfRule type="containsText" priority="14982" operator="containsText" dxfId="17" text="VACATION">
      <formula>NOT(ISERROR(SEARCH(("VACATION"),(X40))))</formula>
    </cfRule>
    <cfRule type="containsText" priority="14983" operator="containsText" dxfId="0" text="ICU N">
      <formula>NOT(ISERROR(SEARCH(("ICU N"),(X40))))</formula>
    </cfRule>
    <cfRule type="containsText" priority="14963" operator="containsText" dxfId="16" text="ED">
      <formula>NOT(ISERROR(SEARCH(("ED"),(X40))))</formula>
    </cfRule>
    <cfRule type="containsText" priority="14964" operator="containsText" dxfId="15" text="GERIATRIC">
      <formula>NOT(ISERROR(SEARCH(("GERIATRIC"),(X40))))</formula>
    </cfRule>
    <cfRule type="containsText" priority="14965" operator="containsText" dxfId="17" text="VACATION">
      <formula>NOT(ISERROR(SEARCH(("VACATION"),(X40))))</formula>
    </cfRule>
    <cfRule type="containsText" priority="14966" operator="containsText" dxfId="7" text="PATH">
      <formula>NOT(ISERROR(SEARCH(("PATH"),(X40))))</formula>
    </cfRule>
    <cfRule type="containsText" priority="14967" operator="containsText" dxfId="7" text="NEPHRO">
      <formula>NOT(ISERROR(SEARCH(("NEPHRO"),(X40))))</formula>
    </cfRule>
    <cfRule type="containsText" priority="14968" operator="containsText" dxfId="7" text="PULM">
      <formula>NOT(ISERROR(SEARCH(("PULM"),(X40))))</formula>
    </cfRule>
    <cfRule type="containsText" priority="14969" operator="containsText" dxfId="7" text="RADIOLOGY">
      <formula>NOT(ISERROR(SEARCH(("RADIOLOGY"),(X40))))</formula>
    </cfRule>
    <cfRule type="containsText" priority="14970" operator="containsText" dxfId="7" text="HEM/ONC">
      <formula>NOT(ISERROR(SEARCH(("HEM/ONC"),(X40))))</formula>
    </cfRule>
    <cfRule type="containsText" priority="14971" operator="containsText" dxfId="7" text="CARDIO">
      <formula>NOT(ISERROR(SEARCH(("CARDIO"),(X40))))</formula>
    </cfRule>
    <cfRule type="containsText" priority="14972" operator="containsText" dxfId="7" text="ID">
      <formula>NOT(ISERROR(SEARCH(("ID"),(X40))))</formula>
    </cfRule>
    <cfRule type="containsText" priority="14973" operator="containsText" dxfId="7" text="NEURO">
      <formula>NOT(ISERROR(SEARCH(("NEURO"),(X40))))</formula>
    </cfRule>
    <cfRule type="containsText" priority="14974" operator="containsText" dxfId="6" text="NEURO">
      <formula>NOT(ISERROR(SEARCH(("NEURO"),(X40))))</formula>
    </cfRule>
    <cfRule type="containsText" priority="14975" operator="containsText" dxfId="5" text="NEURO">
      <formula>NOT(ISERROR(SEARCH(("NEURO"),(X40))))</formula>
    </cfRule>
    <cfRule type="containsText" priority="14976" operator="containsText" dxfId="0" text="ICU N">
      <formula>NOT(ISERROR(SEARCH(("ICU N"),(X40))))</formula>
    </cfRule>
    <cfRule type="containsText" priority="14977" operator="containsText" dxfId="3" text="ICU">
      <formula>NOT(ISERROR(SEARCH(("ICU"),(X40))))</formula>
    </cfRule>
    <cfRule type="containsText" priority="14978" operator="containsText" dxfId="0" text="SWING">
      <formula>NOT(ISERROR(SEARCH(("SWING"),(X40))))</formula>
    </cfRule>
    <cfRule type="containsText" priority="14979" operator="containsText" dxfId="0" text="NF">
      <formula>NOT(ISERROR(SEARCH(("NF"),(X40))))</formula>
    </cfRule>
    <cfRule type="containsText" priority="14980" operator="containsText" dxfId="0" text="ICU N">
      <formula>NOT(ISERROR(SEARCH(("ICU N"),(X40))))</formula>
    </cfRule>
    <cfRule type="containsText" priority="14946" operator="containsText" dxfId="17" text="VACATION">
      <formula>NOT(ISERROR(SEARCH(("VACATION"),(X40))))</formula>
    </cfRule>
    <cfRule type="containsText" priority="14947" operator="containsText" dxfId="16" text="ED">
      <formula>NOT(ISERROR(SEARCH(("ED"),(X40))))</formula>
    </cfRule>
    <cfRule type="containsText" priority="14948" operator="containsText" dxfId="15" text="GERIATRIC">
      <formula>NOT(ISERROR(SEARCH(("GERIATRIC"),(X40))))</formula>
    </cfRule>
    <cfRule type="containsText" priority="14949" operator="containsText" dxfId="7" text="PATH">
      <formula>NOT(ISERROR(SEARCH(("PATH"),(X40))))</formula>
    </cfRule>
    <cfRule type="containsText" priority="14950" operator="containsText" dxfId="7" text="NEPHRO">
      <formula>NOT(ISERROR(SEARCH(("NEPHRO"),(X40))))</formula>
    </cfRule>
    <cfRule type="containsText" priority="14951" operator="containsText" dxfId="7" text="PULM">
      <formula>NOT(ISERROR(SEARCH(("PULM"),(X40))))</formula>
    </cfRule>
    <cfRule type="containsText" priority="14952" operator="containsText" dxfId="7" text="RADIOLOGY">
      <formula>NOT(ISERROR(SEARCH(("RADIOLOGY"),(X40))))</formula>
    </cfRule>
    <cfRule type="containsText" priority="14953" operator="containsText" dxfId="7" text="HEM/ONC">
      <formula>NOT(ISERROR(SEARCH(("HEM/ONC"),(X40))))</formula>
    </cfRule>
    <cfRule type="containsText" priority="14954" operator="containsText" dxfId="7" text="CARDIO">
      <formula>NOT(ISERROR(SEARCH(("CARDIO"),(X40))))</formula>
    </cfRule>
    <cfRule type="containsText" priority="14955" operator="containsText" dxfId="7" text="ID">
      <formula>NOT(ISERROR(SEARCH(("ID"),(X40))))</formula>
    </cfRule>
    <cfRule type="containsText" priority="14956" operator="containsText" dxfId="7" text="NEURO">
      <formula>NOT(ISERROR(SEARCH(("NEURO"),(X40))))</formula>
    </cfRule>
    <cfRule type="containsText" priority="14957" operator="containsText" dxfId="6" text="NEURO">
      <formula>NOT(ISERROR(SEARCH(("NEURO"),(X40))))</formula>
    </cfRule>
    <cfRule type="containsText" priority="14958" operator="containsText" dxfId="5" text="NEURO">
      <formula>NOT(ISERROR(SEARCH(("NEURO"),(X40))))</formula>
    </cfRule>
    <cfRule type="containsText" priority="14959" operator="containsText" dxfId="0" text="ICU N">
      <formula>NOT(ISERROR(SEARCH(("ICU N"),(X40))))</formula>
    </cfRule>
    <cfRule type="containsText" priority="14960" operator="containsText" dxfId="3" text="ICU">
      <formula>NOT(ISERROR(SEARCH(("ICU"),(X40))))</formula>
    </cfRule>
    <cfRule type="containsText" priority="14961" operator="containsText" dxfId="0" text="SWING">
      <formula>NOT(ISERROR(SEARCH(("SWING"),(X40))))</formula>
    </cfRule>
    <cfRule type="containsText" priority="14962" operator="containsText" dxfId="0" text="NF">
      <formula>NOT(ISERROR(SEARCH(("NF"),(X40))))</formula>
    </cfRule>
    <cfRule type="containsText" priority="14931" operator="containsText" dxfId="7" text="PATH">
      <formula>NOT(ISERROR(SEARCH(("PATH"),(X40))))</formula>
    </cfRule>
    <cfRule type="containsText" priority="14932" operator="containsText" dxfId="7" text="NEPHRO">
      <formula>NOT(ISERROR(SEARCH(("NEPHRO"),(X40))))</formula>
    </cfRule>
    <cfRule type="containsText" priority="14933" operator="containsText" dxfId="7" text="PULM">
      <formula>NOT(ISERROR(SEARCH(("PULM"),(X40))))</formula>
    </cfRule>
    <cfRule type="containsText" priority="14934" operator="containsText" dxfId="7" text="RADIOLOGY">
      <formula>NOT(ISERROR(SEARCH(("RADIOLOGY"),(X40))))</formula>
    </cfRule>
    <cfRule type="containsText" priority="14935" operator="containsText" dxfId="7" text="HEM/ONC">
      <formula>NOT(ISERROR(SEARCH(("HEM/ONC"),(X40))))</formula>
    </cfRule>
    <cfRule type="containsText" priority="14936" operator="containsText" dxfId="7" text="CARDIO">
      <formula>NOT(ISERROR(SEARCH(("CARDIO"),(X40))))</formula>
    </cfRule>
    <cfRule type="containsText" priority="14937" operator="containsText" dxfId="7" text="ID">
      <formula>NOT(ISERROR(SEARCH(("ID"),(X40))))</formula>
    </cfRule>
    <cfRule type="containsText" priority="14938" operator="containsText" dxfId="7" text="NEURO">
      <formula>NOT(ISERROR(SEARCH(("NEURO"),(X40))))</formula>
    </cfRule>
    <cfRule type="containsText" priority="14939" operator="containsText" dxfId="6" text="NEURO">
      <formula>NOT(ISERROR(SEARCH(("NEURO"),(X40))))</formula>
    </cfRule>
    <cfRule type="containsText" priority="14940" operator="containsText" dxfId="5" text="NEURO">
      <formula>NOT(ISERROR(SEARCH(("NEURO"),(X40))))</formula>
    </cfRule>
    <cfRule type="containsText" priority="14941" operator="containsText" dxfId="0" text="ICU N">
      <formula>NOT(ISERROR(SEARCH(("ICU N"),(X40))))</formula>
    </cfRule>
    <cfRule type="containsText" priority="14942" operator="containsText" dxfId="3" text="ICU">
      <formula>NOT(ISERROR(SEARCH(("ICU"),(X40))))</formula>
    </cfRule>
    <cfRule type="containsText" priority="14943" operator="containsText" dxfId="0" text="SWING">
      <formula>NOT(ISERROR(SEARCH(("SWING"),(X40))))</formula>
    </cfRule>
    <cfRule type="containsText" priority="14944" operator="containsText" dxfId="0" text="NF">
      <formula>NOT(ISERROR(SEARCH(("NF"),(X40))))</formula>
    </cfRule>
    <cfRule type="containsText" priority="14945" operator="containsText" dxfId="0" text="ICU N">
      <formula>NOT(ISERROR(SEARCH(("ICU N"),(X40))))</formula>
    </cfRule>
  </conditionalFormatting>
  <conditionalFormatting sqref="Y40">
    <cfRule type="containsText" priority="14928" operator="containsText" dxfId="16" text="ED">
      <formula>NOT(ISERROR(SEARCH(("ED"),(Y40))))</formula>
    </cfRule>
    <cfRule type="containsText" priority="14929" operator="containsText" dxfId="17" text="VACATION">
      <formula>NOT(ISERROR(SEARCH(("VACATION"),(Y40))))</formula>
    </cfRule>
    <cfRule type="containsText" priority="14930" operator="containsText" dxfId="0" text="ICU N">
      <formula>NOT(ISERROR(SEARCH(("ICU N"),(Y40))))</formula>
    </cfRule>
    <cfRule type="containsText" priority="14910" operator="containsText" dxfId="16" text="ED">
      <formula>NOT(ISERROR(SEARCH(("ED"),(Y40))))</formula>
    </cfRule>
    <cfRule type="containsText" priority="14911" operator="containsText" dxfId="15" text="GERIATRIC">
      <formula>NOT(ISERROR(SEARCH(("GERIATRIC"),(Y40))))</formula>
    </cfRule>
    <cfRule type="containsText" priority="14912" operator="containsText" dxfId="17" text="VACATION">
      <formula>NOT(ISERROR(SEARCH(("VACATION"),(Y40))))</formula>
    </cfRule>
    <cfRule type="containsText" priority="14913" operator="containsText" dxfId="7" text="PATH">
      <formula>NOT(ISERROR(SEARCH(("PATH"),(Y40))))</formula>
    </cfRule>
    <cfRule type="containsText" priority="14914" operator="containsText" dxfId="7" text="NEPHRO">
      <formula>NOT(ISERROR(SEARCH(("NEPHRO"),(Y40))))</formula>
    </cfRule>
    <cfRule type="containsText" priority="14915" operator="containsText" dxfId="7" text="PULM">
      <formula>NOT(ISERROR(SEARCH(("PULM"),(Y40))))</formula>
    </cfRule>
    <cfRule type="containsText" priority="14916" operator="containsText" dxfId="7" text="RADIOLOGY">
      <formula>NOT(ISERROR(SEARCH(("RADIOLOGY"),(Y40))))</formula>
    </cfRule>
    <cfRule type="containsText" priority="14917" operator="containsText" dxfId="7" text="HEM/ONC">
      <formula>NOT(ISERROR(SEARCH(("HEM/ONC"),(Y40))))</formula>
    </cfRule>
    <cfRule type="containsText" priority="14918" operator="containsText" dxfId="7" text="CARDIO">
      <formula>NOT(ISERROR(SEARCH(("CARDIO"),(Y40))))</formula>
    </cfRule>
    <cfRule type="containsText" priority="14919" operator="containsText" dxfId="7" text="ID">
      <formula>NOT(ISERROR(SEARCH(("ID"),(Y40))))</formula>
    </cfRule>
    <cfRule type="containsText" priority="14920" operator="containsText" dxfId="7" text="NEURO">
      <formula>NOT(ISERROR(SEARCH(("NEURO"),(Y40))))</formula>
    </cfRule>
    <cfRule type="containsText" priority="14921" operator="containsText" dxfId="6" text="NEURO">
      <formula>NOT(ISERROR(SEARCH(("NEURO"),(Y40))))</formula>
    </cfRule>
    <cfRule type="containsText" priority="14922" operator="containsText" dxfId="5" text="NEURO">
      <formula>NOT(ISERROR(SEARCH(("NEURO"),(Y40))))</formula>
    </cfRule>
    <cfRule type="containsText" priority="14923" operator="containsText" dxfId="0" text="ICU N">
      <formula>NOT(ISERROR(SEARCH(("ICU N"),(Y40))))</formula>
    </cfRule>
    <cfRule type="containsText" priority="14924" operator="containsText" dxfId="3" text="ICU">
      <formula>NOT(ISERROR(SEARCH(("ICU"),(Y40))))</formula>
    </cfRule>
    <cfRule type="containsText" priority="14925" operator="containsText" dxfId="0" text="SWING">
      <formula>NOT(ISERROR(SEARCH(("SWING"),(Y40))))</formula>
    </cfRule>
    <cfRule type="containsText" priority="14926" operator="containsText" dxfId="0" text="NF">
      <formula>NOT(ISERROR(SEARCH(("NF"),(Y40))))</formula>
    </cfRule>
    <cfRule type="containsText" priority="14927" operator="containsText" dxfId="0" text="ICU N">
      <formula>NOT(ISERROR(SEARCH(("ICU N"),(Y40))))</formula>
    </cfRule>
    <cfRule type="containsText" priority="14893" operator="containsText" dxfId="17" text="VACATION">
      <formula>NOT(ISERROR(SEARCH(("VACATION"),(Y40))))</formula>
    </cfRule>
    <cfRule type="containsText" priority="14894" operator="containsText" dxfId="16" text="ED">
      <formula>NOT(ISERROR(SEARCH(("ED"),(Y40))))</formula>
    </cfRule>
    <cfRule type="containsText" priority="14895" operator="containsText" dxfId="15" text="GERIATRIC">
      <formula>NOT(ISERROR(SEARCH(("GERIATRIC"),(Y40))))</formula>
    </cfRule>
    <cfRule type="containsText" priority="14896" operator="containsText" dxfId="7" text="PATH">
      <formula>NOT(ISERROR(SEARCH(("PATH"),(Y40))))</formula>
    </cfRule>
    <cfRule type="containsText" priority="14897" operator="containsText" dxfId="7" text="NEPHRO">
      <formula>NOT(ISERROR(SEARCH(("NEPHRO"),(Y40))))</formula>
    </cfRule>
    <cfRule type="containsText" priority="14898" operator="containsText" dxfId="7" text="PULM">
      <formula>NOT(ISERROR(SEARCH(("PULM"),(Y40))))</formula>
    </cfRule>
    <cfRule type="containsText" priority="14899" operator="containsText" dxfId="7" text="RADIOLOGY">
      <formula>NOT(ISERROR(SEARCH(("RADIOLOGY"),(Y40))))</formula>
    </cfRule>
    <cfRule type="containsText" priority="14900" operator="containsText" dxfId="7" text="HEM/ONC">
      <formula>NOT(ISERROR(SEARCH(("HEM/ONC"),(Y40))))</formula>
    </cfRule>
    <cfRule type="containsText" priority="14901" operator="containsText" dxfId="7" text="CARDIO">
      <formula>NOT(ISERROR(SEARCH(("CARDIO"),(Y40))))</formula>
    </cfRule>
    <cfRule type="containsText" priority="14902" operator="containsText" dxfId="7" text="ID">
      <formula>NOT(ISERROR(SEARCH(("ID"),(Y40))))</formula>
    </cfRule>
    <cfRule type="containsText" priority="14903" operator="containsText" dxfId="7" text="NEURO">
      <formula>NOT(ISERROR(SEARCH(("NEURO"),(Y40))))</formula>
    </cfRule>
    <cfRule type="containsText" priority="14904" operator="containsText" dxfId="6" text="NEURO">
      <formula>NOT(ISERROR(SEARCH(("NEURO"),(Y40))))</formula>
    </cfRule>
    <cfRule type="containsText" priority="14905" operator="containsText" dxfId="5" text="NEURO">
      <formula>NOT(ISERROR(SEARCH(("NEURO"),(Y40))))</formula>
    </cfRule>
    <cfRule type="containsText" priority="14906" operator="containsText" dxfId="0" text="ICU N">
      <formula>NOT(ISERROR(SEARCH(("ICU N"),(Y40))))</formula>
    </cfRule>
    <cfRule type="containsText" priority="14907" operator="containsText" dxfId="3" text="ICU">
      <formula>NOT(ISERROR(SEARCH(("ICU"),(Y40))))</formula>
    </cfRule>
    <cfRule type="containsText" priority="14908" operator="containsText" dxfId="0" text="SWING">
      <formula>NOT(ISERROR(SEARCH(("SWING"),(Y40))))</formula>
    </cfRule>
    <cfRule type="containsText" priority="14909" operator="containsText" dxfId="0" text="NF">
      <formula>NOT(ISERROR(SEARCH(("NF"),(Y40))))</formula>
    </cfRule>
    <cfRule type="containsText" priority="14878" operator="containsText" dxfId="7" text="PATH">
      <formula>NOT(ISERROR(SEARCH(("PATH"),(Y40))))</formula>
    </cfRule>
    <cfRule type="containsText" priority="14879" operator="containsText" dxfId="7" text="NEPHRO">
      <formula>NOT(ISERROR(SEARCH(("NEPHRO"),(Y40))))</formula>
    </cfRule>
    <cfRule type="containsText" priority="14880" operator="containsText" dxfId="7" text="PULM">
      <formula>NOT(ISERROR(SEARCH(("PULM"),(Y40))))</formula>
    </cfRule>
    <cfRule type="containsText" priority="14881" operator="containsText" dxfId="7" text="RADIOLOGY">
      <formula>NOT(ISERROR(SEARCH(("RADIOLOGY"),(Y40))))</formula>
    </cfRule>
    <cfRule type="containsText" priority="14882" operator="containsText" dxfId="7" text="HEM/ONC">
      <formula>NOT(ISERROR(SEARCH(("HEM/ONC"),(Y40))))</formula>
    </cfRule>
    <cfRule type="containsText" priority="14883" operator="containsText" dxfId="7" text="CARDIO">
      <formula>NOT(ISERROR(SEARCH(("CARDIO"),(Y40))))</formula>
    </cfRule>
    <cfRule type="containsText" priority="14884" operator="containsText" dxfId="7" text="ID">
      <formula>NOT(ISERROR(SEARCH(("ID"),(Y40))))</formula>
    </cfRule>
    <cfRule type="containsText" priority="14885" operator="containsText" dxfId="7" text="NEURO">
      <formula>NOT(ISERROR(SEARCH(("NEURO"),(Y40))))</formula>
    </cfRule>
    <cfRule type="containsText" priority="14886" operator="containsText" dxfId="6" text="NEURO">
      <formula>NOT(ISERROR(SEARCH(("NEURO"),(Y40))))</formula>
    </cfRule>
    <cfRule type="containsText" priority="14887" operator="containsText" dxfId="5" text="NEURO">
      <formula>NOT(ISERROR(SEARCH(("NEURO"),(Y40))))</formula>
    </cfRule>
    <cfRule type="containsText" priority="14888" operator="containsText" dxfId="0" text="ICU N">
      <formula>NOT(ISERROR(SEARCH(("ICU N"),(Y40))))</formula>
    </cfRule>
    <cfRule type="containsText" priority="14889" operator="containsText" dxfId="3" text="ICU">
      <formula>NOT(ISERROR(SEARCH(("ICU"),(Y40))))</formula>
    </cfRule>
    <cfRule type="containsText" priority="14890" operator="containsText" dxfId="0" text="SWING">
      <formula>NOT(ISERROR(SEARCH(("SWING"),(Y40))))</formula>
    </cfRule>
    <cfRule type="containsText" priority="14891" operator="containsText" dxfId="0" text="NF">
      <formula>NOT(ISERROR(SEARCH(("NF"),(Y40))))</formula>
    </cfRule>
    <cfRule type="containsText" priority="14892" operator="containsText" dxfId="0" text="ICU N">
      <formula>NOT(ISERROR(SEARCH(("ICU N"),(Y40))))</formula>
    </cfRule>
  </conditionalFormatting>
  <conditionalFormatting sqref="X28">
    <cfRule type="containsText" priority="14875" operator="containsText" dxfId="16" text="ED">
      <formula>NOT(ISERROR(SEARCH(("ED"),(X28))))</formula>
    </cfRule>
    <cfRule type="containsText" priority="14876" operator="containsText" dxfId="17" text="VACATION">
      <formula>NOT(ISERROR(SEARCH(("VACATION"),(X28))))</formula>
    </cfRule>
    <cfRule type="containsText" priority="14877" operator="containsText" dxfId="0" text="ICU N">
      <formula>NOT(ISERROR(SEARCH(("ICU N"),(X28))))</formula>
    </cfRule>
    <cfRule type="containsText" priority="14857" operator="containsText" dxfId="16" text="ED">
      <formula>NOT(ISERROR(SEARCH(("ED"),(X28))))</formula>
    </cfRule>
    <cfRule type="containsText" priority="14858" operator="containsText" dxfId="15" text="GERIATRIC">
      <formula>NOT(ISERROR(SEARCH(("GERIATRIC"),(X28))))</formula>
    </cfRule>
    <cfRule type="containsText" priority="14859" operator="containsText" dxfId="17" text="VACATION">
      <formula>NOT(ISERROR(SEARCH(("VACATION"),(X28))))</formula>
    </cfRule>
    <cfRule type="containsText" priority="14860" operator="containsText" dxfId="7" text="PATH">
      <formula>NOT(ISERROR(SEARCH(("PATH"),(X28))))</formula>
    </cfRule>
    <cfRule type="containsText" priority="14861" operator="containsText" dxfId="7" text="NEPHRO">
      <formula>NOT(ISERROR(SEARCH(("NEPHRO"),(X28))))</formula>
    </cfRule>
    <cfRule type="containsText" priority="14862" operator="containsText" dxfId="7" text="PULM">
      <formula>NOT(ISERROR(SEARCH(("PULM"),(X28))))</formula>
    </cfRule>
    <cfRule type="containsText" priority="14863" operator="containsText" dxfId="7" text="RADIOLOGY">
      <formula>NOT(ISERROR(SEARCH(("RADIOLOGY"),(X28))))</formula>
    </cfRule>
    <cfRule type="containsText" priority="14864" operator="containsText" dxfId="7" text="HEM/ONC">
      <formula>NOT(ISERROR(SEARCH(("HEM/ONC"),(X28))))</formula>
    </cfRule>
    <cfRule type="containsText" priority="14865" operator="containsText" dxfId="7" text="CARDIO">
      <formula>NOT(ISERROR(SEARCH(("CARDIO"),(X28))))</formula>
    </cfRule>
    <cfRule type="containsText" priority="14866" operator="containsText" dxfId="7" text="ID">
      <formula>NOT(ISERROR(SEARCH(("ID"),(X28))))</formula>
    </cfRule>
    <cfRule type="containsText" priority="14867" operator="containsText" dxfId="7" text="NEURO">
      <formula>NOT(ISERROR(SEARCH(("NEURO"),(X28))))</formula>
    </cfRule>
    <cfRule type="containsText" priority="14868" operator="containsText" dxfId="6" text="NEURO">
      <formula>NOT(ISERROR(SEARCH(("NEURO"),(X28))))</formula>
    </cfRule>
    <cfRule type="containsText" priority="14869" operator="containsText" dxfId="5" text="NEURO">
      <formula>NOT(ISERROR(SEARCH(("NEURO"),(X28))))</formula>
    </cfRule>
    <cfRule type="containsText" priority="14870" operator="containsText" dxfId="0" text="ICU N">
      <formula>NOT(ISERROR(SEARCH(("ICU N"),(X28))))</formula>
    </cfRule>
    <cfRule type="containsText" priority="14871" operator="containsText" dxfId="3" text="ICU">
      <formula>NOT(ISERROR(SEARCH(("ICU"),(X28))))</formula>
    </cfRule>
    <cfRule type="containsText" priority="14872" operator="containsText" dxfId="0" text="SWING">
      <formula>NOT(ISERROR(SEARCH(("SWING"),(X28))))</formula>
    </cfRule>
    <cfRule type="containsText" priority="14873" operator="containsText" dxfId="0" text="NF">
      <formula>NOT(ISERROR(SEARCH(("NF"),(X28))))</formula>
    </cfRule>
    <cfRule type="containsText" priority="14874" operator="containsText" dxfId="0" text="ICU N">
      <formula>NOT(ISERROR(SEARCH(("ICU N"),(X28))))</formula>
    </cfRule>
    <cfRule type="containsText" priority="14840" operator="containsText" dxfId="17" text="VACATION">
      <formula>NOT(ISERROR(SEARCH(("VACATION"),(X28))))</formula>
    </cfRule>
    <cfRule type="containsText" priority="14841" operator="containsText" dxfId="16" text="ED">
      <formula>NOT(ISERROR(SEARCH(("ED"),(X28))))</formula>
    </cfRule>
    <cfRule type="containsText" priority="14842" operator="containsText" dxfId="15" text="GERIATRIC">
      <formula>NOT(ISERROR(SEARCH(("GERIATRIC"),(X28))))</formula>
    </cfRule>
    <cfRule type="containsText" priority="14843" operator="containsText" dxfId="7" text="PATH">
      <formula>NOT(ISERROR(SEARCH(("PATH"),(X28))))</formula>
    </cfRule>
    <cfRule type="containsText" priority="14844" operator="containsText" dxfId="7" text="NEPHRO">
      <formula>NOT(ISERROR(SEARCH(("NEPHRO"),(X28))))</formula>
    </cfRule>
    <cfRule type="containsText" priority="14845" operator="containsText" dxfId="7" text="PULM">
      <formula>NOT(ISERROR(SEARCH(("PULM"),(X28))))</formula>
    </cfRule>
    <cfRule type="containsText" priority="14846" operator="containsText" dxfId="7" text="RADIOLOGY">
      <formula>NOT(ISERROR(SEARCH(("RADIOLOGY"),(X28))))</formula>
    </cfRule>
    <cfRule type="containsText" priority="14847" operator="containsText" dxfId="7" text="HEM/ONC">
      <formula>NOT(ISERROR(SEARCH(("HEM/ONC"),(X28))))</formula>
    </cfRule>
    <cfRule type="containsText" priority="14848" operator="containsText" dxfId="7" text="CARDIO">
      <formula>NOT(ISERROR(SEARCH(("CARDIO"),(X28))))</formula>
    </cfRule>
    <cfRule type="containsText" priority="14849" operator="containsText" dxfId="7" text="ID">
      <formula>NOT(ISERROR(SEARCH(("ID"),(X28))))</formula>
    </cfRule>
    <cfRule type="containsText" priority="14850" operator="containsText" dxfId="7" text="NEURO">
      <formula>NOT(ISERROR(SEARCH(("NEURO"),(X28))))</formula>
    </cfRule>
    <cfRule type="containsText" priority="14851" operator="containsText" dxfId="6" text="NEURO">
      <formula>NOT(ISERROR(SEARCH(("NEURO"),(X28))))</formula>
    </cfRule>
    <cfRule type="containsText" priority="14852" operator="containsText" dxfId="5" text="NEURO">
      <formula>NOT(ISERROR(SEARCH(("NEURO"),(X28))))</formula>
    </cfRule>
    <cfRule type="containsText" priority="14853" operator="containsText" dxfId="0" text="ICU N">
      <formula>NOT(ISERROR(SEARCH(("ICU N"),(X28))))</formula>
    </cfRule>
    <cfRule type="containsText" priority="14854" operator="containsText" dxfId="3" text="ICU">
      <formula>NOT(ISERROR(SEARCH(("ICU"),(X28))))</formula>
    </cfRule>
    <cfRule type="containsText" priority="14855" operator="containsText" dxfId="0" text="SWING">
      <formula>NOT(ISERROR(SEARCH(("SWING"),(X28))))</formula>
    </cfRule>
    <cfRule type="containsText" priority="14856" operator="containsText" dxfId="0" text="NF">
      <formula>NOT(ISERROR(SEARCH(("NF"),(X28))))</formula>
    </cfRule>
    <cfRule type="containsText" priority="14825" operator="containsText" dxfId="7" text="PATH">
      <formula>NOT(ISERROR(SEARCH(("PATH"),(X28))))</formula>
    </cfRule>
    <cfRule type="containsText" priority="14826" operator="containsText" dxfId="7" text="NEPHRO">
      <formula>NOT(ISERROR(SEARCH(("NEPHRO"),(X28))))</formula>
    </cfRule>
    <cfRule type="containsText" priority="14827" operator="containsText" dxfId="7" text="PULM">
      <formula>NOT(ISERROR(SEARCH(("PULM"),(X28))))</formula>
    </cfRule>
    <cfRule type="containsText" priority="14828" operator="containsText" dxfId="7" text="RADIOLOGY">
      <formula>NOT(ISERROR(SEARCH(("RADIOLOGY"),(X28))))</formula>
    </cfRule>
    <cfRule type="containsText" priority="14829" operator="containsText" dxfId="7" text="HEM/ONC">
      <formula>NOT(ISERROR(SEARCH(("HEM/ONC"),(X28))))</formula>
    </cfRule>
    <cfRule type="containsText" priority="14830" operator="containsText" dxfId="7" text="CARDIO">
      <formula>NOT(ISERROR(SEARCH(("CARDIO"),(X28))))</formula>
    </cfRule>
    <cfRule type="containsText" priority="14831" operator="containsText" dxfId="7" text="ID">
      <formula>NOT(ISERROR(SEARCH(("ID"),(X28))))</formula>
    </cfRule>
    <cfRule type="containsText" priority="14832" operator="containsText" dxfId="7" text="NEURO">
      <formula>NOT(ISERROR(SEARCH(("NEURO"),(X28))))</formula>
    </cfRule>
    <cfRule type="containsText" priority="14833" operator="containsText" dxfId="6" text="NEURO">
      <formula>NOT(ISERROR(SEARCH(("NEURO"),(X28))))</formula>
    </cfRule>
    <cfRule type="containsText" priority="14834" operator="containsText" dxfId="5" text="NEURO">
      <formula>NOT(ISERROR(SEARCH(("NEURO"),(X28))))</formula>
    </cfRule>
    <cfRule type="containsText" priority="14835" operator="containsText" dxfId="0" text="ICU N">
      <formula>NOT(ISERROR(SEARCH(("ICU N"),(X28))))</formula>
    </cfRule>
    <cfRule type="containsText" priority="14836" operator="containsText" dxfId="3" text="ICU">
      <formula>NOT(ISERROR(SEARCH(("ICU"),(X28))))</formula>
    </cfRule>
    <cfRule type="containsText" priority="14837" operator="containsText" dxfId="0" text="SWING">
      <formula>NOT(ISERROR(SEARCH(("SWING"),(X28))))</formula>
    </cfRule>
    <cfRule type="containsText" priority="14838" operator="containsText" dxfId="0" text="NF">
      <formula>NOT(ISERROR(SEARCH(("NF"),(X28))))</formula>
    </cfRule>
    <cfRule type="containsText" priority="14839" operator="containsText" dxfId="0" text="ICU N">
      <formula>NOT(ISERROR(SEARCH(("ICU N"),(X28))))</formula>
    </cfRule>
  </conditionalFormatting>
  <conditionalFormatting sqref="Y28">
    <cfRule type="containsText" priority="14822" operator="containsText" dxfId="16" text="ED">
      <formula>NOT(ISERROR(SEARCH(("ED"),(Y28))))</formula>
    </cfRule>
    <cfRule type="containsText" priority="14823" operator="containsText" dxfId="17" text="VACATION">
      <formula>NOT(ISERROR(SEARCH(("VACATION"),(Y28))))</formula>
    </cfRule>
    <cfRule type="containsText" priority="14824" operator="containsText" dxfId="0" text="ICU N">
      <formula>NOT(ISERROR(SEARCH(("ICU N"),(Y28))))</formula>
    </cfRule>
    <cfRule type="containsText" priority="14804" operator="containsText" dxfId="16" text="ED">
      <formula>NOT(ISERROR(SEARCH(("ED"),(Y28))))</formula>
    </cfRule>
    <cfRule type="containsText" priority="14805" operator="containsText" dxfId="15" text="GERIATRIC">
      <formula>NOT(ISERROR(SEARCH(("GERIATRIC"),(Y28))))</formula>
    </cfRule>
    <cfRule type="containsText" priority="14806" operator="containsText" dxfId="17" text="VACATION">
      <formula>NOT(ISERROR(SEARCH(("VACATION"),(Y28))))</formula>
    </cfRule>
    <cfRule type="containsText" priority="14807" operator="containsText" dxfId="7" text="PATH">
      <formula>NOT(ISERROR(SEARCH(("PATH"),(Y28))))</formula>
    </cfRule>
    <cfRule type="containsText" priority="14808" operator="containsText" dxfId="7" text="NEPHRO">
      <formula>NOT(ISERROR(SEARCH(("NEPHRO"),(Y28))))</formula>
    </cfRule>
    <cfRule type="containsText" priority="14809" operator="containsText" dxfId="7" text="PULM">
      <formula>NOT(ISERROR(SEARCH(("PULM"),(Y28))))</formula>
    </cfRule>
    <cfRule type="containsText" priority="14810" operator="containsText" dxfId="7" text="RADIOLOGY">
      <formula>NOT(ISERROR(SEARCH(("RADIOLOGY"),(Y28))))</formula>
    </cfRule>
    <cfRule type="containsText" priority="14811" operator="containsText" dxfId="7" text="HEM/ONC">
      <formula>NOT(ISERROR(SEARCH(("HEM/ONC"),(Y28))))</formula>
    </cfRule>
    <cfRule type="containsText" priority="14812" operator="containsText" dxfId="7" text="CARDIO">
      <formula>NOT(ISERROR(SEARCH(("CARDIO"),(Y28))))</formula>
    </cfRule>
    <cfRule type="containsText" priority="14813" operator="containsText" dxfId="7" text="ID">
      <formula>NOT(ISERROR(SEARCH(("ID"),(Y28))))</formula>
    </cfRule>
    <cfRule type="containsText" priority="14814" operator="containsText" dxfId="7" text="NEURO">
      <formula>NOT(ISERROR(SEARCH(("NEURO"),(Y28))))</formula>
    </cfRule>
    <cfRule type="containsText" priority="14815" operator="containsText" dxfId="6" text="NEURO">
      <formula>NOT(ISERROR(SEARCH(("NEURO"),(Y28))))</formula>
    </cfRule>
    <cfRule type="containsText" priority="14816" operator="containsText" dxfId="5" text="NEURO">
      <formula>NOT(ISERROR(SEARCH(("NEURO"),(Y28))))</formula>
    </cfRule>
    <cfRule type="containsText" priority="14817" operator="containsText" dxfId="0" text="ICU N">
      <formula>NOT(ISERROR(SEARCH(("ICU N"),(Y28))))</formula>
    </cfRule>
    <cfRule type="containsText" priority="14818" operator="containsText" dxfId="3" text="ICU">
      <formula>NOT(ISERROR(SEARCH(("ICU"),(Y28))))</formula>
    </cfRule>
    <cfRule type="containsText" priority="14819" operator="containsText" dxfId="0" text="SWING">
      <formula>NOT(ISERROR(SEARCH(("SWING"),(Y28))))</formula>
    </cfRule>
    <cfRule type="containsText" priority="14820" operator="containsText" dxfId="0" text="NF">
      <formula>NOT(ISERROR(SEARCH(("NF"),(Y28))))</formula>
    </cfRule>
    <cfRule type="containsText" priority="14821" operator="containsText" dxfId="0" text="ICU N">
      <formula>NOT(ISERROR(SEARCH(("ICU N"),(Y28))))</formula>
    </cfRule>
    <cfRule type="containsText" priority="14787" operator="containsText" dxfId="17" text="VACATION">
      <formula>NOT(ISERROR(SEARCH(("VACATION"),(Y28))))</formula>
    </cfRule>
    <cfRule type="containsText" priority="14788" operator="containsText" dxfId="16" text="ED">
      <formula>NOT(ISERROR(SEARCH(("ED"),(Y28))))</formula>
    </cfRule>
    <cfRule type="containsText" priority="14789" operator="containsText" dxfId="15" text="GERIATRIC">
      <formula>NOT(ISERROR(SEARCH(("GERIATRIC"),(Y28))))</formula>
    </cfRule>
    <cfRule type="containsText" priority="14790" operator="containsText" dxfId="7" text="PATH">
      <formula>NOT(ISERROR(SEARCH(("PATH"),(Y28))))</formula>
    </cfRule>
    <cfRule type="containsText" priority="14791" operator="containsText" dxfId="7" text="NEPHRO">
      <formula>NOT(ISERROR(SEARCH(("NEPHRO"),(Y28))))</formula>
    </cfRule>
    <cfRule type="containsText" priority="14792" operator="containsText" dxfId="7" text="PULM">
      <formula>NOT(ISERROR(SEARCH(("PULM"),(Y28))))</formula>
    </cfRule>
    <cfRule type="containsText" priority="14793" operator="containsText" dxfId="7" text="RADIOLOGY">
      <formula>NOT(ISERROR(SEARCH(("RADIOLOGY"),(Y28))))</formula>
    </cfRule>
    <cfRule type="containsText" priority="14794" operator="containsText" dxfId="7" text="HEM/ONC">
      <formula>NOT(ISERROR(SEARCH(("HEM/ONC"),(Y28))))</formula>
    </cfRule>
    <cfRule type="containsText" priority="14795" operator="containsText" dxfId="7" text="CARDIO">
      <formula>NOT(ISERROR(SEARCH(("CARDIO"),(Y28))))</formula>
    </cfRule>
    <cfRule type="containsText" priority="14796" operator="containsText" dxfId="7" text="ID">
      <formula>NOT(ISERROR(SEARCH(("ID"),(Y28))))</formula>
    </cfRule>
    <cfRule type="containsText" priority="14797" operator="containsText" dxfId="7" text="NEURO">
      <formula>NOT(ISERROR(SEARCH(("NEURO"),(Y28))))</formula>
    </cfRule>
    <cfRule type="containsText" priority="14798" operator="containsText" dxfId="6" text="NEURO">
      <formula>NOT(ISERROR(SEARCH(("NEURO"),(Y28))))</formula>
    </cfRule>
    <cfRule type="containsText" priority="14799" operator="containsText" dxfId="5" text="NEURO">
      <formula>NOT(ISERROR(SEARCH(("NEURO"),(Y28))))</formula>
    </cfRule>
    <cfRule type="containsText" priority="14800" operator="containsText" dxfId="0" text="ICU N">
      <formula>NOT(ISERROR(SEARCH(("ICU N"),(Y28))))</formula>
    </cfRule>
    <cfRule type="containsText" priority="14801" operator="containsText" dxfId="3" text="ICU">
      <formula>NOT(ISERROR(SEARCH(("ICU"),(Y28))))</formula>
    </cfRule>
    <cfRule type="containsText" priority="14802" operator="containsText" dxfId="0" text="SWING">
      <formula>NOT(ISERROR(SEARCH(("SWING"),(Y28))))</formula>
    </cfRule>
    <cfRule type="containsText" priority="14803" operator="containsText" dxfId="0" text="NF">
      <formula>NOT(ISERROR(SEARCH(("NF"),(Y28))))</formula>
    </cfRule>
    <cfRule type="containsText" priority="14772" operator="containsText" dxfId="7" text="PATH">
      <formula>NOT(ISERROR(SEARCH(("PATH"),(Y28))))</formula>
    </cfRule>
    <cfRule type="containsText" priority="14773" operator="containsText" dxfId="7" text="NEPHRO">
      <formula>NOT(ISERROR(SEARCH(("NEPHRO"),(Y28))))</formula>
    </cfRule>
    <cfRule type="containsText" priority="14774" operator="containsText" dxfId="7" text="PULM">
      <formula>NOT(ISERROR(SEARCH(("PULM"),(Y28))))</formula>
    </cfRule>
    <cfRule type="containsText" priority="14775" operator="containsText" dxfId="7" text="RADIOLOGY">
      <formula>NOT(ISERROR(SEARCH(("RADIOLOGY"),(Y28))))</formula>
    </cfRule>
    <cfRule type="containsText" priority="14776" operator="containsText" dxfId="7" text="HEM/ONC">
      <formula>NOT(ISERROR(SEARCH(("HEM/ONC"),(Y28))))</formula>
    </cfRule>
    <cfRule type="containsText" priority="14777" operator="containsText" dxfId="7" text="CARDIO">
      <formula>NOT(ISERROR(SEARCH(("CARDIO"),(Y28))))</formula>
    </cfRule>
    <cfRule type="containsText" priority="14778" operator="containsText" dxfId="7" text="ID">
      <formula>NOT(ISERROR(SEARCH(("ID"),(Y28))))</formula>
    </cfRule>
    <cfRule type="containsText" priority="14779" operator="containsText" dxfId="7" text="NEURO">
      <formula>NOT(ISERROR(SEARCH(("NEURO"),(Y28))))</formula>
    </cfRule>
    <cfRule type="containsText" priority="14780" operator="containsText" dxfId="6" text="NEURO">
      <formula>NOT(ISERROR(SEARCH(("NEURO"),(Y28))))</formula>
    </cfRule>
    <cfRule type="containsText" priority="14781" operator="containsText" dxfId="5" text="NEURO">
      <formula>NOT(ISERROR(SEARCH(("NEURO"),(Y28))))</formula>
    </cfRule>
    <cfRule type="containsText" priority="14782" operator="containsText" dxfId="0" text="ICU N">
      <formula>NOT(ISERROR(SEARCH(("ICU N"),(Y28))))</formula>
    </cfRule>
    <cfRule type="containsText" priority="14783" operator="containsText" dxfId="3" text="ICU">
      <formula>NOT(ISERROR(SEARCH(("ICU"),(Y28))))</formula>
    </cfRule>
    <cfRule type="containsText" priority="14784" operator="containsText" dxfId="0" text="SWING">
      <formula>NOT(ISERROR(SEARCH(("SWING"),(Y28))))</formula>
    </cfRule>
    <cfRule type="containsText" priority="14785" operator="containsText" dxfId="0" text="NF">
      <formula>NOT(ISERROR(SEARCH(("NF"),(Y28))))</formula>
    </cfRule>
    <cfRule type="containsText" priority="14786" operator="containsText" dxfId="0" text="ICU N">
      <formula>NOT(ISERROR(SEARCH(("ICU N"),(Y28))))</formula>
    </cfRule>
  </conditionalFormatting>
  <conditionalFormatting sqref="X26">
    <cfRule type="containsText" priority="14721" operator="containsText" dxfId="17" text="VACATION">
      <formula>NOT(ISERROR(SEARCH(("VACATION"),(X26))))</formula>
    </cfRule>
    <cfRule type="containsText" priority="14722" operator="containsText" dxfId="16" text="ED">
      <formula>NOT(ISERROR(SEARCH(("ED"),(X26))))</formula>
    </cfRule>
    <cfRule type="containsText" priority="14723" operator="containsText" dxfId="15" text="GERIATRIC">
      <formula>NOT(ISERROR(SEARCH(("GERIATRIC"),(X26))))</formula>
    </cfRule>
    <cfRule type="containsText" priority="14724" operator="containsText" dxfId="7" text="PATH">
      <formula>NOT(ISERROR(SEARCH(("PATH"),(X26))))</formula>
    </cfRule>
    <cfRule type="containsText" priority="14725" operator="containsText" dxfId="7" text="NEPHRO">
      <formula>NOT(ISERROR(SEARCH(("NEPHRO"),(X26))))</formula>
    </cfRule>
    <cfRule type="containsText" priority="14726" operator="containsText" dxfId="7" text="PULM">
      <formula>NOT(ISERROR(SEARCH(("PULM"),(X26))))</formula>
    </cfRule>
    <cfRule type="containsText" priority="14727" operator="containsText" dxfId="7" text="RADIOLOGY">
      <formula>NOT(ISERROR(SEARCH(("RADIOLOGY"),(X26))))</formula>
    </cfRule>
    <cfRule type="containsText" priority="14728" operator="containsText" dxfId="7" text="HEM/ONC">
      <formula>NOT(ISERROR(SEARCH(("HEM/ONC"),(X26))))</formula>
    </cfRule>
    <cfRule type="containsText" priority="14729" operator="containsText" dxfId="7" text="CARDIO">
      <formula>NOT(ISERROR(SEARCH(("CARDIO"),(X26))))</formula>
    </cfRule>
    <cfRule type="containsText" priority="14730" operator="containsText" dxfId="7" text="ID">
      <formula>NOT(ISERROR(SEARCH(("ID"),(X26))))</formula>
    </cfRule>
    <cfRule type="containsText" priority="14731" operator="containsText" dxfId="7" text="NEURO">
      <formula>NOT(ISERROR(SEARCH(("NEURO"),(X26))))</formula>
    </cfRule>
    <cfRule type="containsText" priority="14732" operator="containsText" dxfId="6" text="NEURO">
      <formula>NOT(ISERROR(SEARCH(("NEURO"),(X26))))</formula>
    </cfRule>
    <cfRule type="containsText" priority="14733" operator="containsText" dxfId="5" text="NEURO">
      <formula>NOT(ISERROR(SEARCH(("NEURO"),(X26))))</formula>
    </cfRule>
    <cfRule type="containsText" priority="14734" operator="containsText" dxfId="0" text="ICU N">
      <formula>NOT(ISERROR(SEARCH(("ICU N"),(X26))))</formula>
    </cfRule>
    <cfRule type="containsText" priority="14735" operator="containsText" dxfId="3" text="ICU">
      <formula>NOT(ISERROR(SEARCH(("ICU"),(X26))))</formula>
    </cfRule>
    <cfRule type="containsText" priority="14736" operator="containsText" dxfId="0" text="SWING">
      <formula>NOT(ISERROR(SEARCH(("SWING"),(X26))))</formula>
    </cfRule>
    <cfRule type="containsText" priority="14737" operator="containsText" dxfId="0" text="NF">
      <formula>NOT(ISERROR(SEARCH(("NF"),(X26))))</formula>
    </cfRule>
  </conditionalFormatting>
  <conditionalFormatting sqref="Y26">
    <cfRule type="containsText" priority="14704" operator="containsText" dxfId="17" text="VACATION">
      <formula>NOT(ISERROR(SEARCH(("VACATION"),(Y26))))</formula>
    </cfRule>
    <cfRule type="containsText" priority="14705" operator="containsText" dxfId="16" text="ED">
      <formula>NOT(ISERROR(SEARCH(("ED"),(Y26))))</formula>
    </cfRule>
    <cfRule type="containsText" priority="14706" operator="containsText" dxfId="15" text="GERIATRIC">
      <formula>NOT(ISERROR(SEARCH(("GERIATRIC"),(Y26))))</formula>
    </cfRule>
    <cfRule type="containsText" priority="14707" operator="containsText" dxfId="7" text="PATH">
      <formula>NOT(ISERROR(SEARCH(("PATH"),(Y26))))</formula>
    </cfRule>
    <cfRule type="containsText" priority="14708" operator="containsText" dxfId="7" text="NEPHRO">
      <formula>NOT(ISERROR(SEARCH(("NEPHRO"),(Y26))))</formula>
    </cfRule>
    <cfRule type="containsText" priority="14709" operator="containsText" dxfId="7" text="PULM">
      <formula>NOT(ISERROR(SEARCH(("PULM"),(Y26))))</formula>
    </cfRule>
    <cfRule type="containsText" priority="14710" operator="containsText" dxfId="7" text="RADIOLOGY">
      <formula>NOT(ISERROR(SEARCH(("RADIOLOGY"),(Y26))))</formula>
    </cfRule>
    <cfRule type="containsText" priority="14711" operator="containsText" dxfId="7" text="HEM/ONC">
      <formula>NOT(ISERROR(SEARCH(("HEM/ONC"),(Y26))))</formula>
    </cfRule>
    <cfRule type="containsText" priority="14712" operator="containsText" dxfId="7" text="CARDIO">
      <formula>NOT(ISERROR(SEARCH(("CARDIO"),(Y26))))</formula>
    </cfRule>
    <cfRule type="containsText" priority="14713" operator="containsText" dxfId="7" text="ID">
      <formula>NOT(ISERROR(SEARCH(("ID"),(Y26))))</formula>
    </cfRule>
    <cfRule type="containsText" priority="14714" operator="containsText" dxfId="7" text="NEURO">
      <formula>NOT(ISERROR(SEARCH(("NEURO"),(Y26))))</formula>
    </cfRule>
    <cfRule type="containsText" priority="14715" operator="containsText" dxfId="6" text="NEURO">
      <formula>NOT(ISERROR(SEARCH(("NEURO"),(Y26))))</formula>
    </cfRule>
    <cfRule type="containsText" priority="14716" operator="containsText" dxfId="5" text="NEURO">
      <formula>NOT(ISERROR(SEARCH(("NEURO"),(Y26))))</formula>
    </cfRule>
    <cfRule type="containsText" priority="14717" operator="containsText" dxfId="0" text="ICU N">
      <formula>NOT(ISERROR(SEARCH(("ICU N"),(Y26))))</formula>
    </cfRule>
    <cfRule type="containsText" priority="14718" operator="containsText" dxfId="3" text="ICU">
      <formula>NOT(ISERROR(SEARCH(("ICU"),(Y26))))</formula>
    </cfRule>
    <cfRule type="containsText" priority="14719" operator="containsText" dxfId="0" text="SWING">
      <formula>NOT(ISERROR(SEARCH(("SWING"),(Y26))))</formula>
    </cfRule>
    <cfRule type="containsText" priority="14720" operator="containsText" dxfId="0" text="NF">
      <formula>NOT(ISERROR(SEARCH(("NF"),(Y26))))</formula>
    </cfRule>
  </conditionalFormatting>
  <conditionalFormatting sqref="Y42">
    <cfRule type="containsText" priority="14698" operator="containsText" dxfId="16" text="ED">
      <formula>NOT(ISERROR(SEARCH(("ED"),(Y42))))</formula>
    </cfRule>
    <cfRule type="containsText" priority="14699" operator="containsText" dxfId="17" text="VACATION">
      <formula>NOT(ISERROR(SEARCH(("VACATION"),(Y42))))</formula>
    </cfRule>
    <cfRule type="containsText" priority="14700" operator="containsText" dxfId="0" text="ICU N">
      <formula>NOT(ISERROR(SEARCH(("ICU N"),(Y42))))</formula>
    </cfRule>
  </conditionalFormatting>
  <conditionalFormatting sqref="X25">
    <cfRule type="containsText" priority="14678" operator="containsText" dxfId="15" text="GERIATRIC">
      <formula>NOT(ISERROR(SEARCH(("GERIATRIC"),(X25))))</formula>
    </cfRule>
    <cfRule type="containsText" priority="14679" operator="containsText" dxfId="7" text="PATH">
      <formula>NOT(ISERROR(SEARCH(("PATH"),(X25))))</formula>
    </cfRule>
    <cfRule type="containsText" priority="14680" operator="containsText" dxfId="7" text="NEPHRO">
      <formula>NOT(ISERROR(SEARCH(("NEPHRO"),(X25))))</formula>
    </cfRule>
    <cfRule type="containsText" priority="14681" operator="containsText" dxfId="7" text="PULM">
      <formula>NOT(ISERROR(SEARCH(("PULM"),(X25))))</formula>
    </cfRule>
    <cfRule type="containsText" priority="14682" operator="containsText" dxfId="7" text="RADIOLOGY">
      <formula>NOT(ISERROR(SEARCH(("RADIOLOGY"),(X25))))</formula>
    </cfRule>
    <cfRule type="containsText" priority="14683" operator="containsText" dxfId="7" text="HEM/ONC">
      <formula>NOT(ISERROR(SEARCH(("HEM/ONC"),(X25))))</formula>
    </cfRule>
    <cfRule type="containsText" priority="14684" operator="containsText" dxfId="7" text="CARDIO">
      <formula>NOT(ISERROR(SEARCH(("CARDIO"),(X25))))</formula>
    </cfRule>
    <cfRule type="containsText" priority="14685" operator="containsText" dxfId="7" text="ID">
      <formula>NOT(ISERROR(SEARCH(("ID"),(X25))))</formula>
    </cfRule>
    <cfRule type="containsText" priority="14686" operator="containsText" dxfId="7" text="NEURO">
      <formula>NOT(ISERROR(SEARCH(("NEURO"),(X25))))</formula>
    </cfRule>
    <cfRule type="containsText" priority="14687" operator="containsText" dxfId="6" text="NEURO">
      <formula>NOT(ISERROR(SEARCH(("NEURO"),(X25))))</formula>
    </cfRule>
    <cfRule type="containsText" priority="14688" operator="containsText" dxfId="5" text="NEURO">
      <formula>NOT(ISERROR(SEARCH(("NEURO"),(X25))))</formula>
    </cfRule>
    <cfRule type="containsText" priority="14689" operator="containsText" dxfId="3" text="ICU">
      <formula>NOT(ISERROR(SEARCH(("ICU"),(X25))))</formula>
    </cfRule>
    <cfRule type="containsText" priority="14690" operator="containsText" dxfId="0" text="SWING">
      <formula>NOT(ISERROR(SEARCH(("SWING"),(X25))))</formula>
    </cfRule>
    <cfRule type="containsText" priority="14691" operator="containsText" dxfId="0" text="NF">
      <formula>NOT(ISERROR(SEARCH(("NF"),(X25))))</formula>
    </cfRule>
  </conditionalFormatting>
  <conditionalFormatting sqref="Y25">
    <cfRule type="containsText" priority="14664" operator="containsText" dxfId="15" text="GERIATRIC">
      <formula>NOT(ISERROR(SEARCH(("GERIATRIC"),(Y25))))</formula>
    </cfRule>
    <cfRule type="containsText" priority="14665" operator="containsText" dxfId="7" text="PATH">
      <formula>NOT(ISERROR(SEARCH(("PATH"),(Y25))))</formula>
    </cfRule>
    <cfRule type="containsText" priority="14666" operator="containsText" dxfId="7" text="NEPHRO">
      <formula>NOT(ISERROR(SEARCH(("NEPHRO"),(Y25))))</formula>
    </cfRule>
    <cfRule type="containsText" priority="14667" operator="containsText" dxfId="7" text="PULM">
      <formula>NOT(ISERROR(SEARCH(("PULM"),(Y25))))</formula>
    </cfRule>
    <cfRule type="containsText" priority="14668" operator="containsText" dxfId="7" text="RADIOLOGY">
      <formula>NOT(ISERROR(SEARCH(("RADIOLOGY"),(Y25))))</formula>
    </cfRule>
    <cfRule type="containsText" priority="14669" operator="containsText" dxfId="7" text="HEM/ONC">
      <formula>NOT(ISERROR(SEARCH(("HEM/ONC"),(Y25))))</formula>
    </cfRule>
    <cfRule type="containsText" priority="14670" operator="containsText" dxfId="7" text="CARDIO">
      <formula>NOT(ISERROR(SEARCH(("CARDIO"),(Y25))))</formula>
    </cfRule>
    <cfRule type="containsText" priority="14671" operator="containsText" dxfId="7" text="ID">
      <formula>NOT(ISERROR(SEARCH(("ID"),(Y25))))</formula>
    </cfRule>
    <cfRule type="containsText" priority="14672" operator="containsText" dxfId="7" text="NEURO">
      <formula>NOT(ISERROR(SEARCH(("NEURO"),(Y25))))</formula>
    </cfRule>
    <cfRule type="containsText" priority="14673" operator="containsText" dxfId="6" text="NEURO">
      <formula>NOT(ISERROR(SEARCH(("NEURO"),(Y25))))</formula>
    </cfRule>
    <cfRule type="containsText" priority="14674" operator="containsText" dxfId="5" text="NEURO">
      <formula>NOT(ISERROR(SEARCH(("NEURO"),(Y25))))</formula>
    </cfRule>
    <cfRule type="containsText" priority="14675" operator="containsText" dxfId="3" text="ICU">
      <formula>NOT(ISERROR(SEARCH(("ICU"),(Y25))))</formula>
    </cfRule>
    <cfRule type="containsText" priority="14676" operator="containsText" dxfId="0" text="SWING">
      <formula>NOT(ISERROR(SEARCH(("SWING"),(Y25))))</formula>
    </cfRule>
    <cfRule type="containsText" priority="14677" operator="containsText" dxfId="0" text="NF">
      <formula>NOT(ISERROR(SEARCH(("NF"),(Y25))))</formula>
    </cfRule>
  </conditionalFormatting>
  <conditionalFormatting sqref="X35">
    <cfRule type="containsText" priority="14647" operator="containsText" dxfId="17" text="VACATION">
      <formula>NOT(ISERROR(SEARCH(("VACATION"),(X35))))</formula>
    </cfRule>
    <cfRule type="containsText" priority="14648" operator="containsText" dxfId="16" text="ED">
      <formula>NOT(ISERROR(SEARCH(("ED"),(X35))))</formula>
    </cfRule>
    <cfRule type="containsText" priority="14649" operator="containsText" dxfId="15" text="GERIATRIC">
      <formula>NOT(ISERROR(SEARCH(("GERIATRIC"),(X35))))</formula>
    </cfRule>
    <cfRule type="containsText" priority="14650" operator="containsText" dxfId="7" text="PATH">
      <formula>NOT(ISERROR(SEARCH(("PATH"),(X35))))</formula>
    </cfRule>
    <cfRule type="containsText" priority="14651" operator="containsText" dxfId="7" text="NEPHRO">
      <formula>NOT(ISERROR(SEARCH(("NEPHRO"),(X35))))</formula>
    </cfRule>
    <cfRule type="containsText" priority="14652" operator="containsText" dxfId="7" text="PULM">
      <formula>NOT(ISERROR(SEARCH(("PULM"),(X35))))</formula>
    </cfRule>
    <cfRule type="containsText" priority="14653" operator="containsText" dxfId="7" text="RADIOLOGY">
      <formula>NOT(ISERROR(SEARCH(("RADIOLOGY"),(X35))))</formula>
    </cfRule>
    <cfRule type="containsText" priority="14654" operator="containsText" dxfId="7" text="HEM/ONC">
      <formula>NOT(ISERROR(SEARCH(("HEM/ONC"),(X35))))</formula>
    </cfRule>
    <cfRule type="containsText" priority="14655" operator="containsText" dxfId="7" text="CARDIO">
      <formula>NOT(ISERROR(SEARCH(("CARDIO"),(X35))))</formula>
    </cfRule>
    <cfRule type="containsText" priority="14656" operator="containsText" dxfId="7" text="ID">
      <formula>NOT(ISERROR(SEARCH(("ID"),(X35))))</formula>
    </cfRule>
    <cfRule type="containsText" priority="14657" operator="containsText" dxfId="7" text="NEURO">
      <formula>NOT(ISERROR(SEARCH(("NEURO"),(X35))))</formula>
    </cfRule>
    <cfRule type="containsText" priority="14658" operator="containsText" dxfId="6" text="NEURO">
      <formula>NOT(ISERROR(SEARCH(("NEURO"),(X35))))</formula>
    </cfRule>
    <cfRule type="containsText" priority="14659" operator="containsText" dxfId="5" text="NEURO">
      <formula>NOT(ISERROR(SEARCH(("NEURO"),(X35))))</formula>
    </cfRule>
    <cfRule type="containsText" priority="14660" operator="containsText" dxfId="0" text="ICU N">
      <formula>NOT(ISERROR(SEARCH(("ICU N"),(X35))))</formula>
    </cfRule>
    <cfRule type="containsText" priority="14661" operator="containsText" dxfId="3" text="ICU">
      <formula>NOT(ISERROR(SEARCH(("ICU"),(X35))))</formula>
    </cfRule>
    <cfRule type="containsText" priority="14662" operator="containsText" dxfId="0" text="SWING">
      <formula>NOT(ISERROR(SEARCH(("SWING"),(X35))))</formula>
    </cfRule>
    <cfRule type="containsText" priority="14663" operator="containsText" dxfId="0" text="NF">
      <formula>NOT(ISERROR(SEARCH(("NF"),(X35))))</formula>
    </cfRule>
  </conditionalFormatting>
  <conditionalFormatting sqref="X23">
    <cfRule type="containsText" priority="14633" operator="containsText" dxfId="15" text="GERIATRIC">
      <formula>NOT(ISERROR(SEARCH(("GERIATRIC"),(X23))))</formula>
    </cfRule>
    <cfRule type="containsText" priority="14634" operator="containsText" dxfId="7" text="PATH">
      <formula>NOT(ISERROR(SEARCH(("PATH"),(X23))))</formula>
    </cfRule>
    <cfRule type="containsText" priority="14635" operator="containsText" dxfId="7" text="NEPHRO">
      <formula>NOT(ISERROR(SEARCH(("NEPHRO"),(X23))))</formula>
    </cfRule>
    <cfRule type="containsText" priority="14636" operator="containsText" dxfId="7" text="PULM">
      <formula>NOT(ISERROR(SEARCH(("PULM"),(X23))))</formula>
    </cfRule>
    <cfRule type="containsText" priority="14637" operator="containsText" dxfId="7" text="RADIOLOGY">
      <formula>NOT(ISERROR(SEARCH(("RADIOLOGY"),(X23))))</formula>
    </cfRule>
    <cfRule type="containsText" priority="14638" operator="containsText" dxfId="7" text="HEM/ONC">
      <formula>NOT(ISERROR(SEARCH(("HEM/ONC"),(X23))))</formula>
    </cfRule>
    <cfRule type="containsText" priority="14639" operator="containsText" dxfId="7" text="CARDIO">
      <formula>NOT(ISERROR(SEARCH(("CARDIO"),(X23))))</formula>
    </cfRule>
    <cfRule type="containsText" priority="14640" operator="containsText" dxfId="7" text="ID">
      <formula>NOT(ISERROR(SEARCH(("ID"),(X23))))</formula>
    </cfRule>
    <cfRule type="containsText" priority="14641" operator="containsText" dxfId="7" text="NEURO">
      <formula>NOT(ISERROR(SEARCH(("NEURO"),(X23))))</formula>
    </cfRule>
    <cfRule type="containsText" priority="14642" operator="containsText" dxfId="6" text="NEURO">
      <formula>NOT(ISERROR(SEARCH(("NEURO"),(X23))))</formula>
    </cfRule>
    <cfRule type="containsText" priority="14643" operator="containsText" dxfId="5" text="NEURO">
      <formula>NOT(ISERROR(SEARCH(("NEURO"),(X23))))</formula>
    </cfRule>
    <cfRule type="containsText" priority="14644" operator="containsText" dxfId="3" text="ICU">
      <formula>NOT(ISERROR(SEARCH(("ICU"),(X23))))</formula>
    </cfRule>
    <cfRule type="containsText" priority="14645" operator="containsText" dxfId="0" text="SWING">
      <formula>NOT(ISERROR(SEARCH(("SWING"),(X23))))</formula>
    </cfRule>
    <cfRule type="containsText" priority="14646" operator="containsText" dxfId="0" text="NF">
      <formula>NOT(ISERROR(SEARCH(("NF"),(X23))))</formula>
    </cfRule>
  </conditionalFormatting>
  <conditionalFormatting sqref="X19">
    <cfRule type="containsText" priority="14619" operator="containsText" dxfId="15" text="GERIATRIC">
      <formula>NOT(ISERROR(SEARCH(("GERIATRIC"),(X19))))</formula>
    </cfRule>
    <cfRule type="containsText" priority="14620" operator="containsText" dxfId="7" text="PATH">
      <formula>NOT(ISERROR(SEARCH(("PATH"),(X19))))</formula>
    </cfRule>
    <cfRule type="containsText" priority="14621" operator="containsText" dxfId="7" text="NEPHRO">
      <formula>NOT(ISERROR(SEARCH(("NEPHRO"),(X19))))</formula>
    </cfRule>
    <cfRule type="containsText" priority="14622" operator="containsText" dxfId="7" text="PULM">
      <formula>NOT(ISERROR(SEARCH(("PULM"),(X19))))</formula>
    </cfRule>
    <cfRule type="containsText" priority="14623" operator="containsText" dxfId="7" text="RADIOLOGY">
      <formula>NOT(ISERROR(SEARCH(("RADIOLOGY"),(X19))))</formula>
    </cfRule>
    <cfRule type="containsText" priority="14624" operator="containsText" dxfId="7" text="HEM/ONC">
      <formula>NOT(ISERROR(SEARCH(("HEM/ONC"),(X19))))</formula>
    </cfRule>
    <cfRule type="containsText" priority="14625" operator="containsText" dxfId="7" text="CARDIO">
      <formula>NOT(ISERROR(SEARCH(("CARDIO"),(X19))))</formula>
    </cfRule>
    <cfRule type="containsText" priority="14626" operator="containsText" dxfId="7" text="ID">
      <formula>NOT(ISERROR(SEARCH(("ID"),(X19))))</formula>
    </cfRule>
    <cfRule type="containsText" priority="14627" operator="containsText" dxfId="7" text="NEURO">
      <formula>NOT(ISERROR(SEARCH(("NEURO"),(X19))))</formula>
    </cfRule>
    <cfRule type="containsText" priority="14628" operator="containsText" dxfId="6" text="NEURO">
      <formula>NOT(ISERROR(SEARCH(("NEURO"),(X19))))</formula>
    </cfRule>
    <cfRule type="containsText" priority="14629" operator="containsText" dxfId="5" text="NEURO">
      <formula>NOT(ISERROR(SEARCH(("NEURO"),(X19))))</formula>
    </cfRule>
    <cfRule type="containsText" priority="14630" operator="containsText" dxfId="3" text="ICU">
      <formula>NOT(ISERROR(SEARCH(("ICU"),(X19))))</formula>
    </cfRule>
    <cfRule type="containsText" priority="14631" operator="containsText" dxfId="0" text="SWING">
      <formula>NOT(ISERROR(SEARCH(("SWING"),(X19))))</formula>
    </cfRule>
    <cfRule type="containsText" priority="14632" operator="containsText" dxfId="0" text="NF">
      <formula>NOT(ISERROR(SEARCH(("NF"),(X19))))</formula>
    </cfRule>
  </conditionalFormatting>
  <conditionalFormatting sqref="X18">
    <cfRule type="containsText" priority="14605" operator="containsText" dxfId="15" text="GERIATRIC">
      <formula>NOT(ISERROR(SEARCH(("GERIATRIC"),(X18))))</formula>
    </cfRule>
    <cfRule type="containsText" priority="14606" operator="containsText" dxfId="7" text="PATH">
      <formula>NOT(ISERROR(SEARCH(("PATH"),(X18))))</formula>
    </cfRule>
    <cfRule type="containsText" priority="14607" operator="containsText" dxfId="7" text="NEPHRO">
      <formula>NOT(ISERROR(SEARCH(("NEPHRO"),(X18))))</formula>
    </cfRule>
    <cfRule type="containsText" priority="14608" operator="containsText" dxfId="7" text="PULM">
      <formula>NOT(ISERROR(SEARCH(("PULM"),(X18))))</formula>
    </cfRule>
    <cfRule type="containsText" priority="14609" operator="containsText" dxfId="7" text="RADIOLOGY">
      <formula>NOT(ISERROR(SEARCH(("RADIOLOGY"),(X18))))</formula>
    </cfRule>
    <cfRule type="containsText" priority="14610" operator="containsText" dxfId="7" text="HEM/ONC">
      <formula>NOT(ISERROR(SEARCH(("HEM/ONC"),(X18))))</formula>
    </cfRule>
    <cfRule type="containsText" priority="14611" operator="containsText" dxfId="7" text="CARDIO">
      <formula>NOT(ISERROR(SEARCH(("CARDIO"),(X18))))</formula>
    </cfRule>
    <cfRule type="containsText" priority="14612" operator="containsText" dxfId="7" text="ID">
      <formula>NOT(ISERROR(SEARCH(("ID"),(X18))))</formula>
    </cfRule>
    <cfRule type="containsText" priority="14613" operator="containsText" dxfId="7" text="NEURO">
      <formula>NOT(ISERROR(SEARCH(("NEURO"),(X18))))</formula>
    </cfRule>
    <cfRule type="containsText" priority="14614" operator="containsText" dxfId="6" text="NEURO">
      <formula>NOT(ISERROR(SEARCH(("NEURO"),(X18))))</formula>
    </cfRule>
    <cfRule type="containsText" priority="14615" operator="containsText" dxfId="5" text="NEURO">
      <formula>NOT(ISERROR(SEARCH(("NEURO"),(X18))))</formula>
    </cfRule>
    <cfRule type="containsText" priority="14616" operator="containsText" dxfId="3" text="ICU">
      <formula>NOT(ISERROR(SEARCH(("ICU"),(X18))))</formula>
    </cfRule>
    <cfRule type="containsText" priority="14617" operator="containsText" dxfId="0" text="SWING">
      <formula>NOT(ISERROR(SEARCH(("SWING"),(X18))))</formula>
    </cfRule>
    <cfRule type="containsText" priority="14618" operator="containsText" dxfId="0" text="NF">
      <formula>NOT(ISERROR(SEARCH(("NF"),(X18))))</formula>
    </cfRule>
  </conditionalFormatting>
  <conditionalFormatting sqref="X33">
    <cfRule type="containsText" priority="14591" operator="containsText" dxfId="15" text="GERIATRIC">
      <formula>NOT(ISERROR(SEARCH(("GERIATRIC"),(X33))))</formula>
    </cfRule>
    <cfRule type="containsText" priority="14592" operator="containsText" dxfId="7" text="PATH">
      <formula>NOT(ISERROR(SEARCH(("PATH"),(X33))))</formula>
    </cfRule>
    <cfRule type="containsText" priority="14593" operator="containsText" dxfId="7" text="NEPHRO">
      <formula>NOT(ISERROR(SEARCH(("NEPHRO"),(X33))))</formula>
    </cfRule>
    <cfRule type="containsText" priority="14594" operator="containsText" dxfId="7" text="PULM">
      <formula>NOT(ISERROR(SEARCH(("PULM"),(X33))))</formula>
    </cfRule>
    <cfRule type="containsText" priority="14595" operator="containsText" dxfId="7" text="RADIOLOGY">
      <formula>NOT(ISERROR(SEARCH(("RADIOLOGY"),(X33))))</formula>
    </cfRule>
    <cfRule type="containsText" priority="14596" operator="containsText" dxfId="7" text="HEM/ONC">
      <formula>NOT(ISERROR(SEARCH(("HEM/ONC"),(X33))))</formula>
    </cfRule>
    <cfRule type="containsText" priority="14597" operator="containsText" dxfId="7" text="CARDIO">
      <formula>NOT(ISERROR(SEARCH(("CARDIO"),(X33))))</formula>
    </cfRule>
    <cfRule type="containsText" priority="14598" operator="containsText" dxfId="7" text="ID">
      <formula>NOT(ISERROR(SEARCH(("ID"),(X33))))</formula>
    </cfRule>
    <cfRule type="containsText" priority="14599" operator="containsText" dxfId="7" text="NEURO">
      <formula>NOT(ISERROR(SEARCH(("NEURO"),(X33))))</formula>
    </cfRule>
    <cfRule type="containsText" priority="14600" operator="containsText" dxfId="6" text="NEURO">
      <formula>NOT(ISERROR(SEARCH(("NEURO"),(X33))))</formula>
    </cfRule>
    <cfRule type="containsText" priority="14601" operator="containsText" dxfId="5" text="NEURO">
      <formula>NOT(ISERROR(SEARCH(("NEURO"),(X33))))</formula>
    </cfRule>
    <cfRule type="containsText" priority="14602" operator="containsText" dxfId="3" text="ICU">
      <formula>NOT(ISERROR(SEARCH(("ICU"),(X33))))</formula>
    </cfRule>
    <cfRule type="containsText" priority="14603" operator="containsText" dxfId="0" text="SWING">
      <formula>NOT(ISERROR(SEARCH(("SWING"),(X33))))</formula>
    </cfRule>
    <cfRule type="containsText" priority="14604" operator="containsText" dxfId="0" text="NF">
      <formula>NOT(ISERROR(SEARCH(("NF"),(X33))))</formula>
    </cfRule>
  </conditionalFormatting>
  <conditionalFormatting sqref="Y50">
    <cfRule type="containsText" priority="14574" operator="containsText" dxfId="17" text="VACATION">
      <formula>NOT(ISERROR(SEARCH(("VACATION"),(Y50))))</formula>
    </cfRule>
    <cfRule type="containsText" priority="14575" operator="containsText" dxfId="16" text="ED">
      <formula>NOT(ISERROR(SEARCH(("ED"),(Y50))))</formula>
    </cfRule>
    <cfRule type="containsText" priority="14576" operator="containsText" dxfId="15" text="GERIATRIC">
      <formula>NOT(ISERROR(SEARCH(("GERIATRIC"),(Y50))))</formula>
    </cfRule>
    <cfRule type="containsText" priority="14577" operator="containsText" dxfId="7" text="PATH">
      <formula>NOT(ISERROR(SEARCH(("PATH"),(Y50))))</formula>
    </cfRule>
    <cfRule type="containsText" priority="14578" operator="containsText" dxfId="7" text="NEPHRO">
      <formula>NOT(ISERROR(SEARCH(("NEPHRO"),(Y50))))</formula>
    </cfRule>
    <cfRule type="containsText" priority="14579" operator="containsText" dxfId="7" text="PULM">
      <formula>NOT(ISERROR(SEARCH(("PULM"),(Y50))))</formula>
    </cfRule>
    <cfRule type="containsText" priority="14580" operator="containsText" dxfId="7" text="RADIOLOGY">
      <formula>NOT(ISERROR(SEARCH(("RADIOLOGY"),(Y50))))</formula>
    </cfRule>
    <cfRule type="containsText" priority="14581" operator="containsText" dxfId="7" text="HEM/ONC">
      <formula>NOT(ISERROR(SEARCH(("HEM/ONC"),(Y50))))</formula>
    </cfRule>
    <cfRule type="containsText" priority="14582" operator="containsText" dxfId="7" text="CARDIO">
      <formula>NOT(ISERROR(SEARCH(("CARDIO"),(Y50))))</formula>
    </cfRule>
    <cfRule type="containsText" priority="14583" operator="containsText" dxfId="7" text="ID">
      <formula>NOT(ISERROR(SEARCH(("ID"),(Y50))))</formula>
    </cfRule>
    <cfRule type="containsText" priority="14584" operator="containsText" dxfId="7" text="NEURO">
      <formula>NOT(ISERROR(SEARCH(("NEURO"),(Y50))))</formula>
    </cfRule>
    <cfRule type="containsText" priority="14585" operator="containsText" dxfId="6" text="NEURO">
      <formula>NOT(ISERROR(SEARCH(("NEURO"),(Y50))))</formula>
    </cfRule>
    <cfRule type="containsText" priority="14586" operator="containsText" dxfId="5" text="NEURO">
      <formula>NOT(ISERROR(SEARCH(("NEURO"),(Y50))))</formula>
    </cfRule>
    <cfRule type="containsText" priority="14587" operator="containsText" dxfId="0" text="ICU N">
      <formula>NOT(ISERROR(SEARCH(("ICU N"),(Y50))))</formula>
    </cfRule>
    <cfRule type="containsText" priority="14588" operator="containsText" dxfId="3" text="ICU">
      <formula>NOT(ISERROR(SEARCH(("ICU"),(Y50))))</formula>
    </cfRule>
    <cfRule type="containsText" priority="14589" operator="containsText" dxfId="0" text="SWING">
      <formula>NOT(ISERROR(SEARCH(("SWING"),(Y50))))</formula>
    </cfRule>
    <cfRule type="containsText" priority="14590" operator="containsText" dxfId="0" text="NF">
      <formula>NOT(ISERROR(SEARCH(("NF"),(Y50))))</formula>
    </cfRule>
  </conditionalFormatting>
  <conditionalFormatting sqref="Z50">
    <cfRule type="containsText" priority="14557" operator="containsText" dxfId="17" text="VACATION">
      <formula>NOT(ISERROR(SEARCH(("VACATION"),(Z50))))</formula>
    </cfRule>
    <cfRule type="containsText" priority="14558" operator="containsText" dxfId="16" text="ED">
      <formula>NOT(ISERROR(SEARCH(("ED"),(Z50))))</formula>
    </cfRule>
    <cfRule type="containsText" priority="14559" operator="containsText" dxfId="15" text="GERIATRIC">
      <formula>NOT(ISERROR(SEARCH(("GERIATRIC"),(Z50))))</formula>
    </cfRule>
    <cfRule type="containsText" priority="14560" operator="containsText" dxfId="7" text="PATH">
      <formula>NOT(ISERROR(SEARCH(("PATH"),(Z50))))</formula>
    </cfRule>
    <cfRule type="containsText" priority="14561" operator="containsText" dxfId="7" text="NEPHRO">
      <formula>NOT(ISERROR(SEARCH(("NEPHRO"),(Z50))))</formula>
    </cfRule>
    <cfRule type="containsText" priority="14562" operator="containsText" dxfId="7" text="PULM">
      <formula>NOT(ISERROR(SEARCH(("PULM"),(Z50))))</formula>
    </cfRule>
    <cfRule type="containsText" priority="14563" operator="containsText" dxfId="7" text="RADIOLOGY">
      <formula>NOT(ISERROR(SEARCH(("RADIOLOGY"),(Z50))))</formula>
    </cfRule>
    <cfRule type="containsText" priority="14564" operator="containsText" dxfId="7" text="HEM/ONC">
      <formula>NOT(ISERROR(SEARCH(("HEM/ONC"),(Z50))))</formula>
    </cfRule>
    <cfRule type="containsText" priority="14565" operator="containsText" dxfId="7" text="CARDIO">
      <formula>NOT(ISERROR(SEARCH(("CARDIO"),(Z50))))</formula>
    </cfRule>
    <cfRule type="containsText" priority="14566" operator="containsText" dxfId="7" text="ID">
      <formula>NOT(ISERROR(SEARCH(("ID"),(Z50))))</formula>
    </cfRule>
    <cfRule type="containsText" priority="14567" operator="containsText" dxfId="7" text="NEURO">
      <formula>NOT(ISERROR(SEARCH(("NEURO"),(Z50))))</formula>
    </cfRule>
    <cfRule type="containsText" priority="14568" operator="containsText" dxfId="6" text="NEURO">
      <formula>NOT(ISERROR(SEARCH(("NEURO"),(Z50))))</formula>
    </cfRule>
    <cfRule type="containsText" priority="14569" operator="containsText" dxfId="5" text="NEURO">
      <formula>NOT(ISERROR(SEARCH(("NEURO"),(Z50))))</formula>
    </cfRule>
    <cfRule type="containsText" priority="14570" operator="containsText" dxfId="0" text="ICU N">
      <formula>NOT(ISERROR(SEARCH(("ICU N"),(Z50))))</formula>
    </cfRule>
    <cfRule type="containsText" priority="14571" operator="containsText" dxfId="3" text="ICU">
      <formula>NOT(ISERROR(SEARCH(("ICU"),(Z50))))</formula>
    </cfRule>
    <cfRule type="containsText" priority="14572" operator="containsText" dxfId="0" text="SWING">
      <formula>NOT(ISERROR(SEARCH(("SWING"),(Z50))))</formula>
    </cfRule>
    <cfRule type="containsText" priority="14573" operator="containsText" dxfId="0" text="NF">
      <formula>NOT(ISERROR(SEARCH(("NF"),(Z50))))</formula>
    </cfRule>
  </conditionalFormatting>
  <conditionalFormatting sqref="Y52">
    <cfRule type="containsText" priority="14459" operator="containsText" dxfId="17" text="VACATION">
      <formula>NOT(ISERROR(SEARCH(("VACATION"),(Y52))))</formula>
    </cfRule>
    <cfRule type="containsText" priority="14460" operator="containsText" dxfId="16" text="ED">
      <formula>NOT(ISERROR(SEARCH(("ED"),(Y52))))</formula>
    </cfRule>
    <cfRule type="containsText" priority="14461" operator="containsText" dxfId="15" text="GERIATRIC">
      <formula>NOT(ISERROR(SEARCH(("GERIATRIC"),(Y52))))</formula>
    </cfRule>
    <cfRule type="containsText" priority="14462" operator="containsText" dxfId="17" text="VACATION">
      <formula>NOT(ISERROR(SEARCH(("VACATION"),(Y52))))</formula>
    </cfRule>
    <cfRule type="containsText" priority="14463" operator="containsText" dxfId="7" text="PATH">
      <formula>NOT(ISERROR(SEARCH(("PATH"),(Y52))))</formula>
    </cfRule>
    <cfRule type="containsText" priority="14464" operator="containsText" dxfId="7" text="NEPHRO">
      <formula>NOT(ISERROR(SEARCH(("NEPHRO"),(Y52))))</formula>
    </cfRule>
    <cfRule type="containsText" priority="14465" operator="containsText" dxfId="7" text="PULM">
      <formula>NOT(ISERROR(SEARCH(("PULM"),(Y52))))</formula>
    </cfRule>
    <cfRule type="containsText" priority="14466" operator="containsText" dxfId="7" text="RADIOLOGY">
      <formula>NOT(ISERROR(SEARCH(("RADIOLOGY"),(Y52))))</formula>
    </cfRule>
    <cfRule type="containsText" priority="14467" operator="containsText" dxfId="7" text="HEM/ONC">
      <formula>NOT(ISERROR(SEARCH(("HEM/ONC"),(Y52))))</formula>
    </cfRule>
    <cfRule type="containsText" priority="14468" operator="containsText" dxfId="7" text="CARDIO">
      <formula>NOT(ISERROR(SEARCH(("CARDIO"),(Y52))))</formula>
    </cfRule>
    <cfRule type="containsText" priority="14469" operator="containsText" dxfId="7" text="ID">
      <formula>NOT(ISERROR(SEARCH(("ID"),(Y52))))</formula>
    </cfRule>
    <cfRule type="containsText" priority="14470" operator="containsText" dxfId="7" text="NEURO">
      <formula>NOT(ISERROR(SEARCH(("NEURO"),(Y52))))</formula>
    </cfRule>
    <cfRule type="containsText" priority="14471" operator="containsText" dxfId="6" text="NEURO">
      <formula>NOT(ISERROR(SEARCH(("NEURO"),(Y52))))</formula>
    </cfRule>
    <cfRule type="containsText" priority="14472" operator="containsText" dxfId="5" text="NEURO">
      <formula>NOT(ISERROR(SEARCH(("NEURO"),(Y52))))</formula>
    </cfRule>
    <cfRule type="containsText" priority="14473" operator="containsText" dxfId="0" text="ICU N">
      <formula>NOT(ISERROR(SEARCH(("ICU N"),(Y52))))</formula>
    </cfRule>
    <cfRule type="containsText" priority="14474" operator="containsText" dxfId="3" text="ICU">
      <formula>NOT(ISERROR(SEARCH(("ICU"),(Y52))))</formula>
    </cfRule>
    <cfRule type="containsText" priority="14475" operator="containsText" dxfId="0" text="SWING">
      <formula>NOT(ISERROR(SEARCH(("SWING"),(Y52))))</formula>
    </cfRule>
    <cfRule type="containsText" priority="14476" operator="containsText" dxfId="0" text="NF">
      <formula>NOT(ISERROR(SEARCH(("NF"),(Y52))))</formula>
    </cfRule>
    <cfRule type="containsText" priority="14477" operator="containsText" dxfId="0" text="ICU N">
      <formula>NOT(ISERROR(SEARCH(("ICU N"),(Y52))))</formula>
    </cfRule>
    <cfRule type="containsText" priority="14445" operator="containsText" dxfId="15" text="GERIATRIC">
      <formula>NOT(ISERROR(SEARCH(("GERIATRIC"),(Y52))))</formula>
    </cfRule>
    <cfRule type="containsText" priority="14446" operator="containsText" dxfId="7" text="PATH">
      <formula>NOT(ISERROR(SEARCH(("PATH"),(Y52))))</formula>
    </cfRule>
    <cfRule type="containsText" priority="14447" operator="containsText" dxfId="7" text="NEPHRO">
      <formula>NOT(ISERROR(SEARCH(("NEPHRO"),(Y52))))</formula>
    </cfRule>
    <cfRule type="containsText" priority="14448" operator="containsText" dxfId="7" text="PULM">
      <formula>NOT(ISERROR(SEARCH(("PULM"),(Y52))))</formula>
    </cfRule>
    <cfRule type="containsText" priority="14449" operator="containsText" dxfId="7" text="RADIOLOGY">
      <formula>NOT(ISERROR(SEARCH(("RADIOLOGY"),(Y52))))</formula>
    </cfRule>
    <cfRule type="containsText" priority="14450" operator="containsText" dxfId="7" text="HEM/ONC">
      <formula>NOT(ISERROR(SEARCH(("HEM/ONC"),(Y52))))</formula>
    </cfRule>
    <cfRule type="containsText" priority="14451" operator="containsText" dxfId="7" text="CARDIO">
      <formula>NOT(ISERROR(SEARCH(("CARDIO"),(Y52))))</formula>
    </cfRule>
    <cfRule type="containsText" priority="14452" operator="containsText" dxfId="7" text="ID">
      <formula>NOT(ISERROR(SEARCH(("ID"),(Y52))))</formula>
    </cfRule>
    <cfRule type="containsText" priority="14453" operator="containsText" dxfId="7" text="NEURO">
      <formula>NOT(ISERROR(SEARCH(("NEURO"),(Y52))))</formula>
    </cfRule>
    <cfRule type="containsText" priority="14454" operator="containsText" dxfId="6" text="NEURO">
      <formula>NOT(ISERROR(SEARCH(("NEURO"),(Y52))))</formula>
    </cfRule>
    <cfRule type="containsText" priority="14455" operator="containsText" dxfId="5" text="NEURO">
      <formula>NOT(ISERROR(SEARCH(("NEURO"),(Y52))))</formula>
    </cfRule>
    <cfRule type="containsText" priority="14456" operator="containsText" dxfId="3" text="ICU">
      <formula>NOT(ISERROR(SEARCH(("ICU"),(Y52))))</formula>
    </cfRule>
    <cfRule type="containsText" priority="14457" operator="containsText" dxfId="0" text="SWING">
      <formula>NOT(ISERROR(SEARCH(("SWING"),(Y52))))</formula>
    </cfRule>
    <cfRule type="containsText" priority="14458" operator="containsText" dxfId="0" text="NF">
      <formula>NOT(ISERROR(SEARCH(("NF"),(Y52))))</formula>
    </cfRule>
  </conditionalFormatting>
  <conditionalFormatting sqref="Y44">
    <cfRule type="containsText" priority="14428" operator="containsText" dxfId="17" text="VACATION">
      <formula>NOT(ISERROR(SEARCH(("VACATION"),(Y44))))</formula>
    </cfRule>
    <cfRule type="containsText" priority="14429" operator="containsText" dxfId="16" text="ED">
      <formula>NOT(ISERROR(SEARCH(("ED"),(Y44))))</formula>
    </cfRule>
    <cfRule type="containsText" priority="14430" operator="containsText" dxfId="15" text="GERIATRIC">
      <formula>NOT(ISERROR(SEARCH(("GERIATRIC"),(Y44))))</formula>
    </cfRule>
    <cfRule type="containsText" priority="14431" operator="containsText" dxfId="7" text="PATH">
      <formula>NOT(ISERROR(SEARCH(("PATH"),(Y44))))</formula>
    </cfRule>
    <cfRule type="containsText" priority="14432" operator="containsText" dxfId="7" text="NEPHRO">
      <formula>NOT(ISERROR(SEARCH(("NEPHRO"),(Y44))))</formula>
    </cfRule>
    <cfRule type="containsText" priority="14433" operator="containsText" dxfId="7" text="PULM">
      <formula>NOT(ISERROR(SEARCH(("PULM"),(Y44))))</formula>
    </cfRule>
    <cfRule type="containsText" priority="14434" operator="containsText" dxfId="7" text="RADIOLOGY">
      <formula>NOT(ISERROR(SEARCH(("RADIOLOGY"),(Y44))))</formula>
    </cfRule>
    <cfRule type="containsText" priority="14435" operator="containsText" dxfId="7" text="HEM/ONC">
      <formula>NOT(ISERROR(SEARCH(("HEM/ONC"),(Y44))))</formula>
    </cfRule>
    <cfRule type="containsText" priority="14436" operator="containsText" dxfId="7" text="CARDIO">
      <formula>NOT(ISERROR(SEARCH(("CARDIO"),(Y44))))</formula>
    </cfRule>
    <cfRule type="containsText" priority="14437" operator="containsText" dxfId="7" text="ID">
      <formula>NOT(ISERROR(SEARCH(("ID"),(Y44))))</formula>
    </cfRule>
    <cfRule type="containsText" priority="14438" operator="containsText" dxfId="7" text="NEURO">
      <formula>NOT(ISERROR(SEARCH(("NEURO"),(Y44))))</formula>
    </cfRule>
    <cfRule type="containsText" priority="14439" operator="containsText" dxfId="6" text="NEURO">
      <formula>NOT(ISERROR(SEARCH(("NEURO"),(Y44))))</formula>
    </cfRule>
    <cfRule type="containsText" priority="14440" operator="containsText" dxfId="5" text="NEURO">
      <formula>NOT(ISERROR(SEARCH(("NEURO"),(Y44))))</formula>
    </cfRule>
    <cfRule type="containsText" priority="14441" operator="containsText" dxfId="0" text="ICU N">
      <formula>NOT(ISERROR(SEARCH(("ICU N"),(Y44))))</formula>
    </cfRule>
    <cfRule type="containsText" priority="14442" operator="containsText" dxfId="3" text="ICU">
      <formula>NOT(ISERROR(SEARCH(("ICU"),(Y44))))</formula>
    </cfRule>
    <cfRule type="containsText" priority="14443" operator="containsText" dxfId="0" text="SWING">
      <formula>NOT(ISERROR(SEARCH(("SWING"),(Y44))))</formula>
    </cfRule>
    <cfRule type="containsText" priority="14444" operator="containsText" dxfId="0" text="NF">
      <formula>NOT(ISERROR(SEARCH(("NF"),(Y44))))</formula>
    </cfRule>
  </conditionalFormatting>
  <conditionalFormatting sqref="Z55">
    <cfRule type="containsText" priority="14375" operator="containsText" dxfId="17" text="VACATION">
      <formula>NOT(ISERROR(SEARCH(("VACATION"),(Z55))))</formula>
    </cfRule>
    <cfRule type="containsText" priority="14376" operator="containsText" dxfId="16" text="ED">
      <formula>NOT(ISERROR(SEARCH(("ED"),(Z55))))</formula>
    </cfRule>
    <cfRule type="containsText" priority="14377" operator="containsText" dxfId="15" text="GERIATRIC">
      <formula>NOT(ISERROR(SEARCH(("GERIATRIC"),(Z55))))</formula>
    </cfRule>
    <cfRule type="containsText" priority="14378" operator="containsText" dxfId="7" text="PATH">
      <formula>NOT(ISERROR(SEARCH(("PATH"),(Z55))))</formula>
    </cfRule>
    <cfRule type="containsText" priority="14379" operator="containsText" dxfId="7" text="NEPHRO">
      <formula>NOT(ISERROR(SEARCH(("NEPHRO"),(Z55))))</formula>
    </cfRule>
    <cfRule type="containsText" priority="14380" operator="containsText" dxfId="7" text="PULM">
      <formula>NOT(ISERROR(SEARCH(("PULM"),(Z55))))</formula>
    </cfRule>
    <cfRule type="containsText" priority="14381" operator="containsText" dxfId="7" text="RADIOLOGY">
      <formula>NOT(ISERROR(SEARCH(("RADIOLOGY"),(Z55))))</formula>
    </cfRule>
    <cfRule type="containsText" priority="14382" operator="containsText" dxfId="7" text="HEM/ONC">
      <formula>NOT(ISERROR(SEARCH(("HEM/ONC"),(Z55))))</formula>
    </cfRule>
    <cfRule type="containsText" priority="14383" operator="containsText" dxfId="7" text="CARDIO">
      <formula>NOT(ISERROR(SEARCH(("CARDIO"),(Z55))))</formula>
    </cfRule>
    <cfRule type="containsText" priority="14384" operator="containsText" dxfId="7" text="ID">
      <formula>NOT(ISERROR(SEARCH(("ID"),(Z55))))</formula>
    </cfRule>
    <cfRule type="containsText" priority="14385" operator="containsText" dxfId="7" text="NEURO">
      <formula>NOT(ISERROR(SEARCH(("NEURO"),(Z55))))</formula>
    </cfRule>
    <cfRule type="containsText" priority="14386" operator="containsText" dxfId="6" text="NEURO">
      <formula>NOT(ISERROR(SEARCH(("NEURO"),(Z55))))</formula>
    </cfRule>
    <cfRule type="containsText" priority="14387" operator="containsText" dxfId="5" text="NEURO">
      <formula>NOT(ISERROR(SEARCH(("NEURO"),(Z55))))</formula>
    </cfRule>
    <cfRule type="containsText" priority="14388" operator="containsText" dxfId="0" text="ICU N">
      <formula>NOT(ISERROR(SEARCH(("ICU N"),(Z55))))</formula>
    </cfRule>
    <cfRule type="containsText" priority="14389" operator="containsText" dxfId="3" text="ICU">
      <formula>NOT(ISERROR(SEARCH(("ICU"),(Z55))))</formula>
    </cfRule>
    <cfRule type="containsText" priority="14390" operator="containsText" dxfId="0" text="SWING">
      <formula>NOT(ISERROR(SEARCH(("SWING"),(Z55))))</formula>
    </cfRule>
    <cfRule type="containsText" priority="14391" operator="containsText" dxfId="0" text="NF">
      <formula>NOT(ISERROR(SEARCH(("NF"),(Z55))))</formula>
    </cfRule>
    <cfRule type="containsText" priority="14373" operator="containsText" dxfId="17" text="VACATION">
      <formula>NOT(ISERROR(SEARCH(("VACATION"),(Z55))))</formula>
    </cfRule>
    <cfRule type="containsText" priority="14374" operator="containsText" dxfId="0" text="ICU N">
      <formula>NOT(ISERROR(SEARCH(("ICU N"),(Z55))))</formula>
    </cfRule>
  </conditionalFormatting>
  <conditionalFormatting sqref="AA55">
    <cfRule type="containsText" priority="14356" operator="containsText" dxfId="17" text="VACATION">
      <formula>NOT(ISERROR(SEARCH(("VACATION"),(AA55))))</formula>
    </cfRule>
    <cfRule type="containsText" priority="14357" operator="containsText" dxfId="16" text="ED">
      <formula>NOT(ISERROR(SEARCH(("ED"),(AA55))))</formula>
    </cfRule>
    <cfRule type="containsText" priority="14358" operator="containsText" dxfId="15" text="GERIATRIC">
      <formula>NOT(ISERROR(SEARCH(("GERIATRIC"),(AA55))))</formula>
    </cfRule>
    <cfRule type="containsText" priority="14359" operator="containsText" dxfId="7" text="PATH">
      <formula>NOT(ISERROR(SEARCH(("PATH"),(AA55))))</formula>
    </cfRule>
    <cfRule type="containsText" priority="14360" operator="containsText" dxfId="7" text="NEPHRO">
      <formula>NOT(ISERROR(SEARCH(("NEPHRO"),(AA55))))</formula>
    </cfRule>
    <cfRule type="containsText" priority="14361" operator="containsText" dxfId="7" text="PULM">
      <formula>NOT(ISERROR(SEARCH(("PULM"),(AA55))))</formula>
    </cfRule>
    <cfRule type="containsText" priority="14362" operator="containsText" dxfId="7" text="RADIOLOGY">
      <formula>NOT(ISERROR(SEARCH(("RADIOLOGY"),(AA55))))</formula>
    </cfRule>
    <cfRule type="containsText" priority="14363" operator="containsText" dxfId="7" text="HEM/ONC">
      <formula>NOT(ISERROR(SEARCH(("HEM/ONC"),(AA55))))</formula>
    </cfRule>
    <cfRule type="containsText" priority="14364" operator="containsText" dxfId="7" text="CARDIO">
      <formula>NOT(ISERROR(SEARCH(("CARDIO"),(AA55))))</formula>
    </cfRule>
    <cfRule type="containsText" priority="14365" operator="containsText" dxfId="7" text="ID">
      <formula>NOT(ISERROR(SEARCH(("ID"),(AA55))))</formula>
    </cfRule>
    <cfRule type="containsText" priority="14366" operator="containsText" dxfId="7" text="NEURO">
      <formula>NOT(ISERROR(SEARCH(("NEURO"),(AA55))))</formula>
    </cfRule>
    <cfRule type="containsText" priority="14367" operator="containsText" dxfId="6" text="NEURO">
      <formula>NOT(ISERROR(SEARCH(("NEURO"),(AA55))))</formula>
    </cfRule>
    <cfRule type="containsText" priority="14368" operator="containsText" dxfId="5" text="NEURO">
      <formula>NOT(ISERROR(SEARCH(("NEURO"),(AA55))))</formula>
    </cfRule>
    <cfRule type="containsText" priority="14369" operator="containsText" dxfId="0" text="ICU N">
      <formula>NOT(ISERROR(SEARCH(("ICU N"),(AA55))))</formula>
    </cfRule>
    <cfRule type="containsText" priority="14370" operator="containsText" dxfId="3" text="ICU">
      <formula>NOT(ISERROR(SEARCH(("ICU"),(AA55))))</formula>
    </cfRule>
    <cfRule type="containsText" priority="14371" operator="containsText" dxfId="0" text="SWING">
      <formula>NOT(ISERROR(SEARCH(("SWING"),(AA55))))</formula>
    </cfRule>
    <cfRule type="containsText" priority="14372" operator="containsText" dxfId="0" text="NF">
      <formula>NOT(ISERROR(SEARCH(("NF"),(AA55))))</formula>
    </cfRule>
    <cfRule type="containsText" priority="14354" operator="containsText" dxfId="17" text="VACATION">
      <formula>NOT(ISERROR(SEARCH(("VACATION"),(AA55))))</formula>
    </cfRule>
    <cfRule type="containsText" priority="14355" operator="containsText" dxfId="0" text="ICU N">
      <formula>NOT(ISERROR(SEARCH(("ICU N"),(AA55))))</formula>
    </cfRule>
  </conditionalFormatting>
  <conditionalFormatting sqref="Z6">
    <cfRule type="containsText" priority="14351" operator="containsText" dxfId="16" text="ED">
      <formula>NOT(ISERROR(SEARCH(("ED"),(Z6))))</formula>
    </cfRule>
    <cfRule type="containsText" priority="14352" operator="containsText" dxfId="17" text="VACATION">
      <formula>NOT(ISERROR(SEARCH(("VACATION"),(Z6))))</formula>
    </cfRule>
    <cfRule type="containsText" priority="14353" operator="containsText" dxfId="0" text="ICU N">
      <formula>NOT(ISERROR(SEARCH(("ICU N"),(Z6))))</formula>
    </cfRule>
  </conditionalFormatting>
  <conditionalFormatting sqref="AA6">
    <cfRule type="containsText" priority="14348" operator="containsText" dxfId="16" text="ED">
      <formula>NOT(ISERROR(SEARCH(("ED"),(AA6))))</formula>
    </cfRule>
    <cfRule type="containsText" priority="14349" operator="containsText" dxfId="17" text="VACATION">
      <formula>NOT(ISERROR(SEARCH(("VACATION"),(AA6))))</formula>
    </cfRule>
    <cfRule type="containsText" priority="14350" operator="containsText" dxfId="0" text="ICU N">
      <formula>NOT(ISERROR(SEARCH(("ICU N"),(AA6))))</formula>
    </cfRule>
  </conditionalFormatting>
  <conditionalFormatting sqref="Z51">
    <cfRule type="containsText" priority="14345" operator="containsText" dxfId="16" text="ED">
      <formula>NOT(ISERROR(SEARCH(("ED"),(Z51))))</formula>
    </cfRule>
    <cfRule type="containsText" priority="14346" operator="containsText" dxfId="17" text="VACATION">
      <formula>NOT(ISERROR(SEARCH(("VACATION"),(Z51))))</formula>
    </cfRule>
    <cfRule type="containsText" priority="14347" operator="containsText" dxfId="0" text="ICU N">
      <formula>NOT(ISERROR(SEARCH(("ICU N"),(Z51))))</formula>
    </cfRule>
  </conditionalFormatting>
  <conditionalFormatting sqref="Z19">
    <cfRule type="containsText" priority="14292" operator="containsText" dxfId="17" text="VACATION">
      <formula>NOT(ISERROR(SEARCH(("VACATION"),(Z19))))</formula>
    </cfRule>
    <cfRule type="containsText" priority="14293" operator="containsText" dxfId="16" text="ED">
      <formula>NOT(ISERROR(SEARCH(("ED"),(Z19))))</formula>
    </cfRule>
    <cfRule type="containsText" priority="14294" operator="containsText" dxfId="15" text="GERIATRIC">
      <formula>NOT(ISERROR(SEARCH(("GERIATRIC"),(Z19))))</formula>
    </cfRule>
    <cfRule type="containsText" priority="14295" operator="containsText" dxfId="7" text="PATH">
      <formula>NOT(ISERROR(SEARCH(("PATH"),(Z19))))</formula>
    </cfRule>
    <cfRule type="containsText" priority="14296" operator="containsText" dxfId="7" text="NEPHRO">
      <formula>NOT(ISERROR(SEARCH(("NEPHRO"),(Z19))))</formula>
    </cfRule>
    <cfRule type="containsText" priority="14297" operator="containsText" dxfId="7" text="PULM">
      <formula>NOT(ISERROR(SEARCH(("PULM"),(Z19))))</formula>
    </cfRule>
    <cfRule type="containsText" priority="14298" operator="containsText" dxfId="7" text="RADIOLOGY">
      <formula>NOT(ISERROR(SEARCH(("RADIOLOGY"),(Z19))))</formula>
    </cfRule>
    <cfRule type="containsText" priority="14299" operator="containsText" dxfId="7" text="HEM/ONC">
      <formula>NOT(ISERROR(SEARCH(("HEM/ONC"),(Z19))))</formula>
    </cfRule>
    <cfRule type="containsText" priority="14300" operator="containsText" dxfId="7" text="CARDIO">
      <formula>NOT(ISERROR(SEARCH(("CARDIO"),(Z19))))</formula>
    </cfRule>
    <cfRule type="containsText" priority="14301" operator="containsText" dxfId="7" text="ID">
      <formula>NOT(ISERROR(SEARCH(("ID"),(Z19))))</formula>
    </cfRule>
    <cfRule type="containsText" priority="14302" operator="containsText" dxfId="7" text="NEURO">
      <formula>NOT(ISERROR(SEARCH(("NEURO"),(Z19))))</formula>
    </cfRule>
    <cfRule type="containsText" priority="14303" operator="containsText" dxfId="6" text="NEURO">
      <formula>NOT(ISERROR(SEARCH(("NEURO"),(Z19))))</formula>
    </cfRule>
    <cfRule type="containsText" priority="14304" operator="containsText" dxfId="5" text="NEURO">
      <formula>NOT(ISERROR(SEARCH(("NEURO"),(Z19))))</formula>
    </cfRule>
    <cfRule type="containsText" priority="14305" operator="containsText" dxfId="0" text="ICU N">
      <formula>NOT(ISERROR(SEARCH(("ICU N"),(Z19))))</formula>
    </cfRule>
    <cfRule type="containsText" priority="14306" operator="containsText" dxfId="3" text="ICU">
      <formula>NOT(ISERROR(SEARCH(("ICU"),(Z19))))</formula>
    </cfRule>
    <cfRule type="containsText" priority="14307" operator="containsText" dxfId="0" text="SWING">
      <formula>NOT(ISERROR(SEARCH(("SWING"),(Z19))))</formula>
    </cfRule>
    <cfRule type="containsText" priority="14308" operator="containsText" dxfId="0" text="NF">
      <formula>NOT(ISERROR(SEARCH(("NF"),(Z19))))</formula>
    </cfRule>
  </conditionalFormatting>
  <conditionalFormatting sqref="AA20">
    <cfRule type="containsText" priority="14273" operator="containsText" dxfId="17" text="VACATION">
      <formula>NOT(ISERROR(SEARCH(("VACATION"),(AA20))))</formula>
    </cfRule>
    <cfRule type="containsText" priority="14274" operator="containsText" dxfId="16" text="ED">
      <formula>NOT(ISERROR(SEARCH(("ED"),(AA20))))</formula>
    </cfRule>
    <cfRule type="containsText" priority="14275" operator="containsText" dxfId="15" text="GERIATRIC">
      <formula>NOT(ISERROR(SEARCH(("GERIATRIC"),(AA20))))</formula>
    </cfRule>
    <cfRule type="containsText" priority="14276" operator="containsText" dxfId="7" text="PATH">
      <formula>NOT(ISERROR(SEARCH(("PATH"),(AA20))))</formula>
    </cfRule>
    <cfRule type="containsText" priority="14277" operator="containsText" dxfId="7" text="NEPHRO">
      <formula>NOT(ISERROR(SEARCH(("NEPHRO"),(AA20))))</formula>
    </cfRule>
    <cfRule type="containsText" priority="14278" operator="containsText" dxfId="7" text="PULM">
      <formula>NOT(ISERROR(SEARCH(("PULM"),(AA20))))</formula>
    </cfRule>
    <cfRule type="containsText" priority="14279" operator="containsText" dxfId="7" text="RADIOLOGY">
      <formula>NOT(ISERROR(SEARCH(("RADIOLOGY"),(AA20))))</formula>
    </cfRule>
    <cfRule type="containsText" priority="14280" operator="containsText" dxfId="7" text="HEM/ONC">
      <formula>NOT(ISERROR(SEARCH(("HEM/ONC"),(AA20))))</formula>
    </cfRule>
    <cfRule type="containsText" priority="14281" operator="containsText" dxfId="7" text="CARDIO">
      <formula>NOT(ISERROR(SEARCH(("CARDIO"),(AA20))))</formula>
    </cfRule>
    <cfRule type="containsText" priority="14282" operator="containsText" dxfId="7" text="ID">
      <formula>NOT(ISERROR(SEARCH(("ID"),(AA20))))</formula>
    </cfRule>
    <cfRule type="containsText" priority="14283" operator="containsText" dxfId="7" text="NEURO">
      <formula>NOT(ISERROR(SEARCH(("NEURO"),(AA20))))</formula>
    </cfRule>
    <cfRule type="containsText" priority="14284" operator="containsText" dxfId="6" text="NEURO">
      <formula>NOT(ISERROR(SEARCH(("NEURO"),(AA20))))</formula>
    </cfRule>
    <cfRule type="containsText" priority="14285" operator="containsText" dxfId="5" text="NEURO">
      <formula>NOT(ISERROR(SEARCH(("NEURO"),(AA20))))</formula>
    </cfRule>
    <cfRule type="containsText" priority="14286" operator="containsText" dxfId="0" text="ICU N">
      <formula>NOT(ISERROR(SEARCH(("ICU N"),(AA20))))</formula>
    </cfRule>
    <cfRule type="containsText" priority="14287" operator="containsText" dxfId="3" text="ICU">
      <formula>NOT(ISERROR(SEARCH(("ICU"),(AA20))))</formula>
    </cfRule>
    <cfRule type="containsText" priority="14288" operator="containsText" dxfId="0" text="SWING">
      <formula>NOT(ISERROR(SEARCH(("SWING"),(AA20))))</formula>
    </cfRule>
    <cfRule type="containsText" priority="14289" operator="containsText" dxfId="0" text="NF">
      <formula>NOT(ISERROR(SEARCH(("NF"),(AA20))))</formula>
    </cfRule>
  </conditionalFormatting>
  <conditionalFormatting sqref="AA21">
    <cfRule type="containsText" priority="14165" operator="containsText" dxfId="17" text="VACATION">
      <formula>NOT(ISERROR(SEARCH(("VACATION"),(AA21))))</formula>
    </cfRule>
    <cfRule type="containsText" priority="14166" operator="containsText" dxfId="16" text="ED">
      <formula>NOT(ISERROR(SEARCH(("ED"),(AA21))))</formula>
    </cfRule>
    <cfRule type="containsText" priority="14167" operator="containsText" dxfId="15" text="GERIATRIC">
      <formula>NOT(ISERROR(SEARCH(("GERIATRIC"),(AA21))))</formula>
    </cfRule>
    <cfRule type="containsText" priority="14168" operator="containsText" dxfId="17" text="VACATION">
      <formula>NOT(ISERROR(SEARCH(("VACATION"),(AA21))))</formula>
    </cfRule>
    <cfRule type="containsText" priority="14169" operator="containsText" dxfId="7" text="PATH">
      <formula>NOT(ISERROR(SEARCH(("PATH"),(AA21))))</formula>
    </cfRule>
    <cfRule type="containsText" priority="14170" operator="containsText" dxfId="7" text="NEPHRO">
      <formula>NOT(ISERROR(SEARCH(("NEPHRO"),(AA21))))</formula>
    </cfRule>
    <cfRule type="containsText" priority="14171" operator="containsText" dxfId="7" text="PULM">
      <formula>NOT(ISERROR(SEARCH(("PULM"),(AA21))))</formula>
    </cfRule>
    <cfRule type="containsText" priority="14172" operator="containsText" dxfId="7" text="RADIOLOGY">
      <formula>NOT(ISERROR(SEARCH(("RADIOLOGY"),(AA21))))</formula>
    </cfRule>
    <cfRule type="containsText" priority="14173" operator="containsText" dxfId="7" text="HEM/ONC">
      <formula>NOT(ISERROR(SEARCH(("HEM/ONC"),(AA21))))</formula>
    </cfRule>
    <cfRule type="containsText" priority="14174" operator="containsText" dxfId="7" text="CARDIO">
      <formula>NOT(ISERROR(SEARCH(("CARDIO"),(AA21))))</formula>
    </cfRule>
    <cfRule type="containsText" priority="14175" operator="containsText" dxfId="7" text="ID">
      <formula>NOT(ISERROR(SEARCH(("ID"),(AA21))))</formula>
    </cfRule>
    <cfRule type="containsText" priority="14176" operator="containsText" dxfId="7" text="NEURO">
      <formula>NOT(ISERROR(SEARCH(("NEURO"),(AA21))))</formula>
    </cfRule>
    <cfRule type="containsText" priority="14177" operator="containsText" dxfId="6" text="NEURO">
      <formula>NOT(ISERROR(SEARCH(("NEURO"),(AA21))))</formula>
    </cfRule>
    <cfRule type="containsText" priority="14178" operator="containsText" dxfId="5" text="NEURO">
      <formula>NOT(ISERROR(SEARCH(("NEURO"),(AA21))))</formula>
    </cfRule>
    <cfRule type="containsText" priority="14179" operator="containsText" dxfId="0" text="ICU N">
      <formula>NOT(ISERROR(SEARCH(("ICU N"),(AA21))))</formula>
    </cfRule>
    <cfRule type="containsText" priority="14180" operator="containsText" dxfId="3" text="ICU">
      <formula>NOT(ISERROR(SEARCH(("ICU"),(AA21))))</formula>
    </cfRule>
    <cfRule type="containsText" priority="14181" operator="containsText" dxfId="0" text="SWING">
      <formula>NOT(ISERROR(SEARCH(("SWING"),(AA21))))</formula>
    </cfRule>
    <cfRule type="containsText" priority="14182" operator="containsText" dxfId="0" text="NF">
      <formula>NOT(ISERROR(SEARCH(("NF"),(AA21))))</formula>
    </cfRule>
    <cfRule type="containsText" priority="14183" operator="containsText" dxfId="0" text="ICU N">
      <formula>NOT(ISERROR(SEARCH(("ICU N"),(AA21))))</formula>
    </cfRule>
    <cfRule type="containsText" priority="14151" operator="containsText" dxfId="15" text="GERIATRIC">
      <formula>NOT(ISERROR(SEARCH(("GERIATRIC"),(AA21))))</formula>
    </cfRule>
    <cfRule type="containsText" priority="14152" operator="containsText" dxfId="7" text="PATH">
      <formula>NOT(ISERROR(SEARCH(("PATH"),(AA21))))</formula>
    </cfRule>
    <cfRule type="containsText" priority="14153" operator="containsText" dxfId="7" text="NEPHRO">
      <formula>NOT(ISERROR(SEARCH(("NEPHRO"),(AA21))))</formula>
    </cfRule>
    <cfRule type="containsText" priority="14154" operator="containsText" dxfId="7" text="PULM">
      <formula>NOT(ISERROR(SEARCH(("PULM"),(AA21))))</formula>
    </cfRule>
    <cfRule type="containsText" priority="14155" operator="containsText" dxfId="7" text="RADIOLOGY">
      <formula>NOT(ISERROR(SEARCH(("RADIOLOGY"),(AA21))))</formula>
    </cfRule>
    <cfRule type="containsText" priority="14156" operator="containsText" dxfId="7" text="HEM/ONC">
      <formula>NOT(ISERROR(SEARCH(("HEM/ONC"),(AA21))))</formula>
    </cfRule>
    <cfRule type="containsText" priority="14157" operator="containsText" dxfId="7" text="CARDIO">
      <formula>NOT(ISERROR(SEARCH(("CARDIO"),(AA21))))</formula>
    </cfRule>
    <cfRule type="containsText" priority="14158" operator="containsText" dxfId="7" text="ID">
      <formula>NOT(ISERROR(SEARCH(("ID"),(AA21))))</formula>
    </cfRule>
    <cfRule type="containsText" priority="14159" operator="containsText" dxfId="7" text="NEURO">
      <formula>NOT(ISERROR(SEARCH(("NEURO"),(AA21))))</formula>
    </cfRule>
    <cfRule type="containsText" priority="14160" operator="containsText" dxfId="6" text="NEURO">
      <formula>NOT(ISERROR(SEARCH(("NEURO"),(AA21))))</formula>
    </cfRule>
    <cfRule type="containsText" priority="14161" operator="containsText" dxfId="5" text="NEURO">
      <formula>NOT(ISERROR(SEARCH(("NEURO"),(AA21))))</formula>
    </cfRule>
    <cfRule type="containsText" priority="14162" operator="containsText" dxfId="3" text="ICU">
      <formula>NOT(ISERROR(SEARCH(("ICU"),(AA21))))</formula>
    </cfRule>
    <cfRule type="containsText" priority="14163" operator="containsText" dxfId="0" text="SWING">
      <formula>NOT(ISERROR(SEARCH(("SWING"),(AA21))))</formula>
    </cfRule>
    <cfRule type="containsText" priority="14164" operator="containsText" dxfId="0" text="NF">
      <formula>NOT(ISERROR(SEARCH(("NF"),(AA21))))</formula>
    </cfRule>
  </conditionalFormatting>
  <conditionalFormatting sqref="AB21">
    <cfRule type="containsText" priority="14132" operator="containsText" dxfId="17" text="VACATION">
      <formula>NOT(ISERROR(SEARCH(("VACATION"),(AB21))))</formula>
    </cfRule>
    <cfRule type="containsText" priority="14133" operator="containsText" dxfId="16" text="ED">
      <formula>NOT(ISERROR(SEARCH(("ED"),(AB21))))</formula>
    </cfRule>
    <cfRule type="containsText" priority="14134" operator="containsText" dxfId="15" text="GERIATRIC">
      <formula>NOT(ISERROR(SEARCH(("GERIATRIC"),(AB21))))</formula>
    </cfRule>
    <cfRule type="containsText" priority="14135" operator="containsText" dxfId="17" text="VACATION">
      <formula>NOT(ISERROR(SEARCH(("VACATION"),(AB21))))</formula>
    </cfRule>
    <cfRule type="containsText" priority="14136" operator="containsText" dxfId="7" text="PATH">
      <formula>NOT(ISERROR(SEARCH(("PATH"),(AB21))))</formula>
    </cfRule>
    <cfRule type="containsText" priority="14137" operator="containsText" dxfId="7" text="NEPHRO">
      <formula>NOT(ISERROR(SEARCH(("NEPHRO"),(AB21))))</formula>
    </cfRule>
    <cfRule type="containsText" priority="14138" operator="containsText" dxfId="7" text="PULM">
      <formula>NOT(ISERROR(SEARCH(("PULM"),(AB21))))</formula>
    </cfRule>
    <cfRule type="containsText" priority="14139" operator="containsText" dxfId="7" text="RADIOLOGY">
      <formula>NOT(ISERROR(SEARCH(("RADIOLOGY"),(AB21))))</formula>
    </cfRule>
    <cfRule type="containsText" priority="14140" operator="containsText" dxfId="7" text="HEM/ONC">
      <formula>NOT(ISERROR(SEARCH(("HEM/ONC"),(AB21))))</formula>
    </cfRule>
    <cfRule type="containsText" priority="14141" operator="containsText" dxfId="7" text="CARDIO">
      <formula>NOT(ISERROR(SEARCH(("CARDIO"),(AB21))))</formula>
    </cfRule>
    <cfRule type="containsText" priority="14142" operator="containsText" dxfId="7" text="ID">
      <formula>NOT(ISERROR(SEARCH(("ID"),(AB21))))</formula>
    </cfRule>
    <cfRule type="containsText" priority="14143" operator="containsText" dxfId="7" text="NEURO">
      <formula>NOT(ISERROR(SEARCH(("NEURO"),(AB21))))</formula>
    </cfRule>
    <cfRule type="containsText" priority="14144" operator="containsText" dxfId="6" text="NEURO">
      <formula>NOT(ISERROR(SEARCH(("NEURO"),(AB21))))</formula>
    </cfRule>
    <cfRule type="containsText" priority="14145" operator="containsText" dxfId="5" text="NEURO">
      <formula>NOT(ISERROR(SEARCH(("NEURO"),(AB21))))</formula>
    </cfRule>
    <cfRule type="containsText" priority="14146" operator="containsText" dxfId="0" text="ICU N">
      <formula>NOT(ISERROR(SEARCH(("ICU N"),(AB21))))</formula>
    </cfRule>
    <cfRule type="containsText" priority="14147" operator="containsText" dxfId="3" text="ICU">
      <formula>NOT(ISERROR(SEARCH(("ICU"),(AB21))))</formula>
    </cfRule>
    <cfRule type="containsText" priority="14148" operator="containsText" dxfId="0" text="SWING">
      <formula>NOT(ISERROR(SEARCH(("SWING"),(AB21))))</formula>
    </cfRule>
    <cfRule type="containsText" priority="14149" operator="containsText" dxfId="0" text="NF">
      <formula>NOT(ISERROR(SEARCH(("NF"),(AB21))))</formula>
    </cfRule>
    <cfRule type="containsText" priority="14150" operator="containsText" dxfId="0" text="ICU N">
      <formula>NOT(ISERROR(SEARCH(("ICU N"),(AB21))))</formula>
    </cfRule>
    <cfRule type="containsText" priority="14118" operator="containsText" dxfId="15" text="GERIATRIC">
      <formula>NOT(ISERROR(SEARCH(("GERIATRIC"),(AB21))))</formula>
    </cfRule>
    <cfRule type="containsText" priority="14119" operator="containsText" dxfId="7" text="PATH">
      <formula>NOT(ISERROR(SEARCH(("PATH"),(AB21))))</formula>
    </cfRule>
    <cfRule type="containsText" priority="14120" operator="containsText" dxfId="7" text="NEPHRO">
      <formula>NOT(ISERROR(SEARCH(("NEPHRO"),(AB21))))</formula>
    </cfRule>
    <cfRule type="containsText" priority="14121" operator="containsText" dxfId="7" text="PULM">
      <formula>NOT(ISERROR(SEARCH(("PULM"),(AB21))))</formula>
    </cfRule>
    <cfRule type="containsText" priority="14122" operator="containsText" dxfId="7" text="RADIOLOGY">
      <formula>NOT(ISERROR(SEARCH(("RADIOLOGY"),(AB21))))</formula>
    </cfRule>
    <cfRule type="containsText" priority="14123" operator="containsText" dxfId="7" text="HEM/ONC">
      <formula>NOT(ISERROR(SEARCH(("HEM/ONC"),(AB21))))</formula>
    </cfRule>
    <cfRule type="containsText" priority="14124" operator="containsText" dxfId="7" text="CARDIO">
      <formula>NOT(ISERROR(SEARCH(("CARDIO"),(AB21))))</formula>
    </cfRule>
    <cfRule type="containsText" priority="14125" operator="containsText" dxfId="7" text="ID">
      <formula>NOT(ISERROR(SEARCH(("ID"),(AB21))))</formula>
    </cfRule>
    <cfRule type="containsText" priority="14126" operator="containsText" dxfId="7" text="NEURO">
      <formula>NOT(ISERROR(SEARCH(("NEURO"),(AB21))))</formula>
    </cfRule>
    <cfRule type="containsText" priority="14127" operator="containsText" dxfId="6" text="NEURO">
      <formula>NOT(ISERROR(SEARCH(("NEURO"),(AB21))))</formula>
    </cfRule>
    <cfRule type="containsText" priority="14128" operator="containsText" dxfId="5" text="NEURO">
      <formula>NOT(ISERROR(SEARCH(("NEURO"),(AB21))))</formula>
    </cfRule>
    <cfRule type="containsText" priority="14129" operator="containsText" dxfId="3" text="ICU">
      <formula>NOT(ISERROR(SEARCH(("ICU"),(AB21))))</formula>
    </cfRule>
    <cfRule type="containsText" priority="14130" operator="containsText" dxfId="0" text="SWING">
      <formula>NOT(ISERROR(SEARCH(("SWING"),(AB21))))</formula>
    </cfRule>
    <cfRule type="containsText" priority="14131" operator="containsText" dxfId="0" text="NF">
      <formula>NOT(ISERROR(SEARCH(("NF"),(AB21))))</formula>
    </cfRule>
  </conditionalFormatting>
  <conditionalFormatting sqref="AA7">
    <cfRule type="containsText" priority="14116" operator="containsText" dxfId="17" text="VACATION">
      <formula>NOT(ISERROR(SEARCH(("VACATION"),(AA7))))</formula>
    </cfRule>
    <cfRule type="containsText" priority="14117" operator="containsText" dxfId="0" text="ICU N">
      <formula>NOT(ISERROR(SEARCH(("ICU N"),(AA7))))</formula>
    </cfRule>
    <cfRule type="containsText" priority="14115" operator="containsText" dxfId="17" text="VACATION">
      <formula>NOT(ISERROR(SEARCH(("VACATION"),(AA7))))</formula>
    </cfRule>
  </conditionalFormatting>
  <conditionalFormatting sqref="Z7">
    <cfRule type="containsText" priority="14087" operator="containsText" dxfId="15" text="GERIATRIC">
      <formula>NOT(ISERROR(SEARCH(("GERIATRIC"),(Z7))))</formula>
    </cfRule>
    <cfRule type="containsText" priority="14088" operator="containsText" dxfId="7" text="PATH">
      <formula>NOT(ISERROR(SEARCH(("PATH"),(Z7))))</formula>
    </cfRule>
    <cfRule type="containsText" priority="14089" operator="containsText" dxfId="7" text="NEPHRO">
      <formula>NOT(ISERROR(SEARCH(("NEPHRO"),(Z7))))</formula>
    </cfRule>
    <cfRule type="containsText" priority="14090" operator="containsText" dxfId="7" text="PULM">
      <formula>NOT(ISERROR(SEARCH(("PULM"),(Z7))))</formula>
    </cfRule>
    <cfRule type="containsText" priority="14091" operator="containsText" dxfId="7" text="RADIOLOGY">
      <formula>NOT(ISERROR(SEARCH(("RADIOLOGY"),(Z7))))</formula>
    </cfRule>
    <cfRule type="containsText" priority="14092" operator="containsText" dxfId="7" text="HEM/ONC">
      <formula>NOT(ISERROR(SEARCH(("HEM/ONC"),(Z7))))</formula>
    </cfRule>
    <cfRule type="containsText" priority="14093" operator="containsText" dxfId="7" text="CARDIO">
      <formula>NOT(ISERROR(SEARCH(("CARDIO"),(Z7))))</formula>
    </cfRule>
    <cfRule type="containsText" priority="14094" operator="containsText" dxfId="7" text="ID">
      <formula>NOT(ISERROR(SEARCH(("ID"),(Z7))))</formula>
    </cfRule>
    <cfRule type="containsText" priority="14095" operator="containsText" dxfId="7" text="NEURO">
      <formula>NOT(ISERROR(SEARCH(("NEURO"),(Z7))))</formula>
    </cfRule>
    <cfRule type="containsText" priority="14096" operator="containsText" dxfId="6" text="NEURO">
      <formula>NOT(ISERROR(SEARCH(("NEURO"),(Z7))))</formula>
    </cfRule>
    <cfRule type="containsText" priority="14097" operator="containsText" dxfId="5" text="NEURO">
      <formula>NOT(ISERROR(SEARCH(("NEURO"),(Z7))))</formula>
    </cfRule>
    <cfRule type="containsText" priority="14098" operator="containsText" dxfId="3" text="ICU">
      <formula>NOT(ISERROR(SEARCH(("ICU"),(Z7))))</formula>
    </cfRule>
    <cfRule type="containsText" priority="14099" operator="containsText" dxfId="0" text="SWING">
      <formula>NOT(ISERROR(SEARCH(("SWING"),(Z7))))</formula>
    </cfRule>
    <cfRule type="containsText" priority="14100" operator="containsText" dxfId="0" text="NF">
      <formula>NOT(ISERROR(SEARCH(("NF"),(Z7))))</formula>
    </cfRule>
  </conditionalFormatting>
  <conditionalFormatting sqref="AD30:AD32">
    <cfRule type="containsText" priority="14085" operator="containsText" dxfId="17" text="VACATION">
      <formula>NOT(ISERROR(SEARCH(("VACATION"),(AD30))))</formula>
    </cfRule>
    <cfRule type="containsText" priority="14086" operator="containsText" dxfId="0" text="ICU N">
      <formula>NOT(ISERROR(SEARCH(("ICU N"),(AD30))))</formula>
    </cfRule>
  </conditionalFormatting>
  <conditionalFormatting sqref="AD29">
    <cfRule type="containsText" priority="14083" operator="containsText" dxfId="17" text="VACATION">
      <formula>NOT(ISERROR(SEARCH(("VACATION"),(AD29))))</formula>
    </cfRule>
    <cfRule type="containsText" priority="14084" operator="containsText" dxfId="0" text="ICU N">
      <formula>NOT(ISERROR(SEARCH(("ICU N"),(AD29))))</formula>
    </cfRule>
  </conditionalFormatting>
  <conditionalFormatting sqref="AB7:AC7">
    <cfRule type="containsText" priority="14081" operator="containsText" dxfId="17" text="VACATION">
      <formula>NOT(ISERROR(SEARCH(("VACATION"),(AB7))))</formula>
    </cfRule>
    <cfRule type="containsText" priority="14082" operator="containsText" dxfId="0" text="ICU N">
      <formula>NOT(ISERROR(SEARCH(("ICU N"),(AB7))))</formula>
    </cfRule>
    <cfRule type="containsText" priority="14079" operator="containsText" dxfId="17" text="VACATION">
      <formula>NOT(ISERROR(SEARCH(("VACATION"),(AB7))))</formula>
    </cfRule>
    <cfRule type="containsText" priority="14080" operator="containsText" dxfId="0" text="ICU N">
      <formula>NOT(ISERROR(SEARCH(("ICU N"),(AB7))))</formula>
    </cfRule>
  </conditionalFormatting>
  <conditionalFormatting sqref="AB18">
    <cfRule type="containsText" priority="14077" operator="containsText" dxfId="17" text="VACATION">
      <formula>NOT(ISERROR(SEARCH(("VACATION"),(AB18))))</formula>
    </cfRule>
    <cfRule type="containsText" priority="14078" operator="containsText" dxfId="0" text="ICU N">
      <formula>NOT(ISERROR(SEARCH(("ICU N"),(AB18))))</formula>
    </cfRule>
    <cfRule type="containsText" priority="14075" operator="containsText" dxfId="17" text="VACATION">
      <formula>NOT(ISERROR(SEARCH(("VACATION"),(AB18))))</formula>
    </cfRule>
    <cfRule type="containsText" priority="14076" operator="containsText" dxfId="0" text="ICU N">
      <formula>NOT(ISERROR(SEARCH(("ICU N"),(AB18))))</formula>
    </cfRule>
  </conditionalFormatting>
  <conditionalFormatting sqref="AB16">
    <cfRule type="containsText" priority="14058" operator="containsText" dxfId="17" text="VACATION">
      <formula>NOT(ISERROR(SEARCH(("VACATION"),(AB16))))</formula>
    </cfRule>
    <cfRule type="containsText" priority="14059" operator="containsText" dxfId="16" text="ED">
      <formula>NOT(ISERROR(SEARCH(("ED"),(AB16))))</formula>
    </cfRule>
    <cfRule type="containsText" priority="14060" operator="containsText" dxfId="15" text="GERIATRIC">
      <formula>NOT(ISERROR(SEARCH(("GERIATRIC"),(AB16))))</formula>
    </cfRule>
    <cfRule type="containsText" priority="14061" operator="containsText" dxfId="7" text="PATH">
      <formula>NOT(ISERROR(SEARCH(("PATH"),(AB16))))</formula>
    </cfRule>
    <cfRule type="containsText" priority="14062" operator="containsText" dxfId="7" text="NEPHRO">
      <formula>NOT(ISERROR(SEARCH(("NEPHRO"),(AB16))))</formula>
    </cfRule>
    <cfRule type="containsText" priority="14063" operator="containsText" dxfId="7" text="PULM">
      <formula>NOT(ISERROR(SEARCH(("PULM"),(AB16))))</formula>
    </cfRule>
    <cfRule type="containsText" priority="14064" operator="containsText" dxfId="7" text="RADIOLOGY">
      <formula>NOT(ISERROR(SEARCH(("RADIOLOGY"),(AB16))))</formula>
    </cfRule>
    <cfRule type="containsText" priority="14065" operator="containsText" dxfId="7" text="HEM/ONC">
      <formula>NOT(ISERROR(SEARCH(("HEM/ONC"),(AB16))))</formula>
    </cfRule>
    <cfRule type="containsText" priority="14066" operator="containsText" dxfId="7" text="CARDIO">
      <formula>NOT(ISERROR(SEARCH(("CARDIO"),(AB16))))</formula>
    </cfRule>
    <cfRule type="containsText" priority="14067" operator="containsText" dxfId="7" text="ID">
      <formula>NOT(ISERROR(SEARCH(("ID"),(AB16))))</formula>
    </cfRule>
    <cfRule type="containsText" priority="14068" operator="containsText" dxfId="7" text="NEURO">
      <formula>NOT(ISERROR(SEARCH(("NEURO"),(AB16))))</formula>
    </cfRule>
    <cfRule type="containsText" priority="14069" operator="containsText" dxfId="6" text="NEURO">
      <formula>NOT(ISERROR(SEARCH(("NEURO"),(AB16))))</formula>
    </cfRule>
    <cfRule type="containsText" priority="14070" operator="containsText" dxfId="5" text="NEURO">
      <formula>NOT(ISERROR(SEARCH(("NEURO"),(AB16))))</formula>
    </cfRule>
    <cfRule type="containsText" priority="14071" operator="containsText" dxfId="0" text="ICU N">
      <formula>NOT(ISERROR(SEARCH(("ICU N"),(AB16))))</formula>
    </cfRule>
    <cfRule type="containsText" priority="14072" operator="containsText" dxfId="3" text="ICU">
      <formula>NOT(ISERROR(SEARCH(("ICU"),(AB16))))</formula>
    </cfRule>
    <cfRule type="containsText" priority="14073" operator="containsText" dxfId="0" text="SWING">
      <formula>NOT(ISERROR(SEARCH(("SWING"),(AB16))))</formula>
    </cfRule>
    <cfRule type="containsText" priority="14074" operator="containsText" dxfId="0" text="NF">
      <formula>NOT(ISERROR(SEARCH(("NF"),(AB16))))</formula>
    </cfRule>
  </conditionalFormatting>
  <conditionalFormatting sqref="AC16">
    <cfRule type="containsText" priority="14041" operator="containsText" dxfId="17" text="VACATION">
      <formula>NOT(ISERROR(SEARCH(("VACATION"),(AC16))))</formula>
    </cfRule>
    <cfRule type="containsText" priority="14042" operator="containsText" dxfId="16" text="ED">
      <formula>NOT(ISERROR(SEARCH(("ED"),(AC16))))</formula>
    </cfRule>
    <cfRule type="containsText" priority="14043" operator="containsText" dxfId="15" text="GERIATRIC">
      <formula>NOT(ISERROR(SEARCH(("GERIATRIC"),(AC16))))</formula>
    </cfRule>
    <cfRule type="containsText" priority="14044" operator="containsText" dxfId="7" text="PATH">
      <formula>NOT(ISERROR(SEARCH(("PATH"),(AC16))))</formula>
    </cfRule>
    <cfRule type="containsText" priority="14045" operator="containsText" dxfId="7" text="NEPHRO">
      <formula>NOT(ISERROR(SEARCH(("NEPHRO"),(AC16))))</formula>
    </cfRule>
    <cfRule type="containsText" priority="14046" operator="containsText" dxfId="7" text="PULM">
      <formula>NOT(ISERROR(SEARCH(("PULM"),(AC16))))</formula>
    </cfRule>
    <cfRule type="containsText" priority="14047" operator="containsText" dxfId="7" text="RADIOLOGY">
      <formula>NOT(ISERROR(SEARCH(("RADIOLOGY"),(AC16))))</formula>
    </cfRule>
    <cfRule type="containsText" priority="14048" operator="containsText" dxfId="7" text="HEM/ONC">
      <formula>NOT(ISERROR(SEARCH(("HEM/ONC"),(AC16))))</formula>
    </cfRule>
    <cfRule type="containsText" priority="14049" operator="containsText" dxfId="7" text="CARDIO">
      <formula>NOT(ISERROR(SEARCH(("CARDIO"),(AC16))))</formula>
    </cfRule>
    <cfRule type="containsText" priority="14050" operator="containsText" dxfId="7" text="ID">
      <formula>NOT(ISERROR(SEARCH(("ID"),(AC16))))</formula>
    </cfRule>
    <cfRule type="containsText" priority="14051" operator="containsText" dxfId="7" text="NEURO">
      <formula>NOT(ISERROR(SEARCH(("NEURO"),(AC16))))</formula>
    </cfRule>
    <cfRule type="containsText" priority="14052" operator="containsText" dxfId="6" text="NEURO">
      <formula>NOT(ISERROR(SEARCH(("NEURO"),(AC16))))</formula>
    </cfRule>
    <cfRule type="containsText" priority="14053" operator="containsText" dxfId="5" text="NEURO">
      <formula>NOT(ISERROR(SEARCH(("NEURO"),(AC16))))</formula>
    </cfRule>
    <cfRule type="containsText" priority="14054" operator="containsText" dxfId="0" text="ICU N">
      <formula>NOT(ISERROR(SEARCH(("ICU N"),(AC16))))</formula>
    </cfRule>
    <cfRule type="containsText" priority="14055" operator="containsText" dxfId="3" text="ICU">
      <formula>NOT(ISERROR(SEARCH(("ICU"),(AC16))))</formula>
    </cfRule>
    <cfRule type="containsText" priority="14056" operator="containsText" dxfId="0" text="SWING">
      <formula>NOT(ISERROR(SEARCH(("SWING"),(AC16))))</formula>
    </cfRule>
    <cfRule type="containsText" priority="14057" operator="containsText" dxfId="0" text="NF">
      <formula>NOT(ISERROR(SEARCH(("NF"),(AC16))))</formula>
    </cfRule>
  </conditionalFormatting>
  <conditionalFormatting sqref="AB20">
    <cfRule type="containsText" priority="14040" operator="containsText" dxfId="17" text="VACATION">
      <formula>NOT(ISERROR(SEARCH(("VACATION"),(AB20))))</formula>
    </cfRule>
    <cfRule type="containsText" priority="14038" operator="containsText" dxfId="17" text="VACATION">
      <formula>NOT(ISERROR(SEARCH(("VACATION"),(AB20))))</formula>
    </cfRule>
    <cfRule type="containsText" priority="14039" operator="containsText" dxfId="0" text="ICU N">
      <formula>NOT(ISERROR(SEARCH(("ICU N"),(AB20))))</formula>
    </cfRule>
    <cfRule type="containsText" priority="14036" operator="containsText" dxfId="17" text="VACATION">
      <formula>NOT(ISERROR(SEARCH(("VACATION"),(AB20))))</formula>
    </cfRule>
    <cfRule type="containsText" priority="14037" operator="containsText" dxfId="0" text="ICU N">
      <formula>NOT(ISERROR(SEARCH(("ICU N"),(AB20))))</formula>
    </cfRule>
  </conditionalFormatting>
  <conditionalFormatting sqref="AB31">
    <cfRule type="containsText" priority="14034" operator="containsText" dxfId="17" text="VACATION">
      <formula>NOT(ISERROR(SEARCH(("VACATION"),(AB31))))</formula>
    </cfRule>
    <cfRule type="containsText" priority="14035" operator="containsText" dxfId="0" text="ICU N">
      <formula>NOT(ISERROR(SEARCH(("ICU N"),(AB31))))</formula>
    </cfRule>
    <cfRule type="containsText" priority="14032" operator="containsText" dxfId="17" text="VACATION">
      <formula>NOT(ISERROR(SEARCH(("VACATION"),(AB31))))</formula>
    </cfRule>
    <cfRule type="containsText" priority="14033" operator="containsText" dxfId="0" text="ICU N">
      <formula>NOT(ISERROR(SEARCH(("ICU N"),(AB31))))</formula>
    </cfRule>
  </conditionalFormatting>
  <conditionalFormatting sqref="AB32:AC32">
    <cfRule type="containsText" priority="14030" operator="containsText" dxfId="17" text="VACATION">
      <formula>NOT(ISERROR(SEARCH(("VACATION"),(AB32))))</formula>
    </cfRule>
    <cfRule type="containsText" priority="14031" operator="containsText" dxfId="0" text="ICU N">
      <formula>NOT(ISERROR(SEARCH(("ICU N"),(AB32))))</formula>
    </cfRule>
    <cfRule type="containsText" priority="14028" operator="containsText" dxfId="17" text="VACATION">
      <formula>NOT(ISERROR(SEARCH(("VACATION"),(AB32))))</formula>
    </cfRule>
    <cfRule type="containsText" priority="14029" operator="containsText" dxfId="0" text="ICU N">
      <formula>NOT(ISERROR(SEARCH(("ICU N"),(AB32))))</formula>
    </cfRule>
  </conditionalFormatting>
  <conditionalFormatting sqref="L45">
    <cfRule type="containsText" priority="13960" operator="containsText" dxfId="17" text="VACATION">
      <formula>NOT(ISERROR(SEARCH(("VACATION"),(L45))))</formula>
    </cfRule>
    <cfRule type="containsText" priority="13961" operator="containsText" dxfId="16" text="ED">
      <formula>NOT(ISERROR(SEARCH(("ED"),(L45))))</formula>
    </cfRule>
    <cfRule type="containsText" priority="13962" operator="containsText" dxfId="15" text="GERIATRIC">
      <formula>NOT(ISERROR(SEARCH(("GERIATRIC"),(L45))))</formula>
    </cfRule>
    <cfRule type="containsText" priority="13963" operator="containsText" dxfId="7" text="PATH">
      <formula>NOT(ISERROR(SEARCH(("PATH"),(L45))))</formula>
    </cfRule>
    <cfRule type="containsText" priority="13964" operator="containsText" dxfId="7" text="NEPHRO">
      <formula>NOT(ISERROR(SEARCH(("NEPHRO"),(L45))))</formula>
    </cfRule>
    <cfRule type="containsText" priority="13965" operator="containsText" dxfId="7" text="PULM">
      <formula>NOT(ISERROR(SEARCH(("PULM"),(L45))))</formula>
    </cfRule>
    <cfRule type="containsText" priority="13966" operator="containsText" dxfId="7" text="RADIOLOGY">
      <formula>NOT(ISERROR(SEARCH(("RADIOLOGY"),(L45))))</formula>
    </cfRule>
    <cfRule type="containsText" priority="13967" operator="containsText" dxfId="7" text="HEM/ONC">
      <formula>NOT(ISERROR(SEARCH(("HEM/ONC"),(L45))))</formula>
    </cfRule>
    <cfRule type="containsText" priority="13968" operator="containsText" dxfId="7" text="CARDIO">
      <formula>NOT(ISERROR(SEARCH(("CARDIO"),(L45))))</formula>
    </cfRule>
    <cfRule type="containsText" priority="13969" operator="containsText" dxfId="7" text="ID">
      <formula>NOT(ISERROR(SEARCH(("ID"),(L45))))</formula>
    </cfRule>
    <cfRule type="containsText" priority="13970" operator="containsText" dxfId="7" text="NEURO">
      <formula>NOT(ISERROR(SEARCH(("NEURO"),(L45))))</formula>
    </cfRule>
    <cfRule type="containsText" priority="13971" operator="containsText" dxfId="6" text="NEURO">
      <formula>NOT(ISERROR(SEARCH(("NEURO"),(L45))))</formula>
    </cfRule>
    <cfRule type="containsText" priority="13972" operator="containsText" dxfId="5" text="NEURO">
      <formula>NOT(ISERROR(SEARCH(("NEURO"),(L45))))</formula>
    </cfRule>
    <cfRule type="containsText" priority="13973" operator="containsText" dxfId="0" text="ICU N">
      <formula>NOT(ISERROR(SEARCH(("ICU N"),(L45))))</formula>
    </cfRule>
    <cfRule type="containsText" priority="13974" operator="containsText" dxfId="3" text="ICU">
      <formula>NOT(ISERROR(SEARCH(("ICU"),(L45))))</formula>
    </cfRule>
    <cfRule type="containsText" priority="13975" operator="containsText" dxfId="0" text="SWING">
      <formula>NOT(ISERROR(SEARCH(("SWING"),(L45))))</formula>
    </cfRule>
    <cfRule type="containsText" priority="13976" operator="containsText" dxfId="0" text="NF">
      <formula>NOT(ISERROR(SEARCH(("NF"),(L45))))</formula>
    </cfRule>
  </conditionalFormatting>
  <conditionalFormatting sqref="K45">
    <cfRule type="containsText" priority="13943" operator="containsText" dxfId="17" text="VACATION">
      <formula>NOT(ISERROR(SEARCH(("VACATION"),(K45))))</formula>
    </cfRule>
    <cfRule type="containsText" priority="13944" operator="containsText" dxfId="16" text="ED">
      <formula>NOT(ISERROR(SEARCH(("ED"),(K45))))</formula>
    </cfRule>
    <cfRule type="containsText" priority="13945" operator="containsText" dxfId="15" text="GERIATRIC">
      <formula>NOT(ISERROR(SEARCH(("GERIATRIC"),(K45))))</formula>
    </cfRule>
    <cfRule type="containsText" priority="13946" operator="containsText" dxfId="7" text="PATH">
      <formula>NOT(ISERROR(SEARCH(("PATH"),(K45))))</formula>
    </cfRule>
    <cfRule type="containsText" priority="13947" operator="containsText" dxfId="7" text="NEPHRO">
      <formula>NOT(ISERROR(SEARCH(("NEPHRO"),(K45))))</formula>
    </cfRule>
    <cfRule type="containsText" priority="13948" operator="containsText" dxfId="7" text="PULM">
      <formula>NOT(ISERROR(SEARCH(("PULM"),(K45))))</formula>
    </cfRule>
    <cfRule type="containsText" priority="13949" operator="containsText" dxfId="7" text="RADIOLOGY">
      <formula>NOT(ISERROR(SEARCH(("RADIOLOGY"),(K45))))</formula>
    </cfRule>
    <cfRule type="containsText" priority="13950" operator="containsText" dxfId="7" text="HEM/ONC">
      <formula>NOT(ISERROR(SEARCH(("HEM/ONC"),(K45))))</formula>
    </cfRule>
    <cfRule type="containsText" priority="13951" operator="containsText" dxfId="7" text="CARDIO">
      <formula>NOT(ISERROR(SEARCH(("CARDIO"),(K45))))</formula>
    </cfRule>
    <cfRule type="containsText" priority="13952" operator="containsText" dxfId="7" text="ID">
      <formula>NOT(ISERROR(SEARCH(("ID"),(K45))))</formula>
    </cfRule>
    <cfRule type="containsText" priority="13953" operator="containsText" dxfId="7" text="NEURO">
      <formula>NOT(ISERROR(SEARCH(("NEURO"),(K45))))</formula>
    </cfRule>
    <cfRule type="containsText" priority="13954" operator="containsText" dxfId="6" text="NEURO">
      <formula>NOT(ISERROR(SEARCH(("NEURO"),(K45))))</formula>
    </cfRule>
    <cfRule type="containsText" priority="13955" operator="containsText" dxfId="5" text="NEURO">
      <formula>NOT(ISERROR(SEARCH(("NEURO"),(K45))))</formula>
    </cfRule>
    <cfRule type="containsText" priority="13956" operator="containsText" dxfId="0" text="ICU N">
      <formula>NOT(ISERROR(SEARCH(("ICU N"),(K45))))</formula>
    </cfRule>
    <cfRule type="containsText" priority="13957" operator="containsText" dxfId="3" text="ICU">
      <formula>NOT(ISERROR(SEARCH(("ICU"),(K45))))</formula>
    </cfRule>
    <cfRule type="containsText" priority="13958" operator="containsText" dxfId="0" text="SWING">
      <formula>NOT(ISERROR(SEARCH(("SWING"),(K45))))</formula>
    </cfRule>
    <cfRule type="containsText" priority="13959" operator="containsText" dxfId="0" text="NF">
      <formula>NOT(ISERROR(SEARCH(("NF"),(K45))))</formula>
    </cfRule>
  </conditionalFormatting>
  <conditionalFormatting sqref="Q50:R50">
    <cfRule type="containsText" priority="13880" operator="containsText" dxfId="16" text="ED">
      <formula>NOT(ISERROR(SEARCH(("ED"),(Q50))))</formula>
    </cfRule>
    <cfRule type="containsText" priority="13881" operator="containsText" dxfId="15" text="GERIATRIC">
      <formula>NOT(ISERROR(SEARCH(("GERIATRIC"),(Q50))))</formula>
    </cfRule>
    <cfRule type="containsText" priority="13882" operator="containsText" dxfId="17" text="VACATION">
      <formula>NOT(ISERROR(SEARCH(("VACATION"),(Q50))))</formula>
    </cfRule>
    <cfRule type="containsText" priority="13883" operator="containsText" dxfId="7" text="PATH">
      <formula>NOT(ISERROR(SEARCH(("PATH"),(Q50))))</formula>
    </cfRule>
    <cfRule type="containsText" priority="13884" operator="containsText" dxfId="7" text="NEPHRO">
      <formula>NOT(ISERROR(SEARCH(("NEPHRO"),(Q50))))</formula>
    </cfRule>
    <cfRule type="containsText" priority="13885" operator="containsText" dxfId="7" text="PULM">
      <formula>NOT(ISERROR(SEARCH(("PULM"),(Q50))))</formula>
    </cfRule>
    <cfRule type="containsText" priority="13886" operator="containsText" dxfId="7" text="RADIOLOGY">
      <formula>NOT(ISERROR(SEARCH(("RADIOLOGY"),(Q50))))</formula>
    </cfRule>
    <cfRule type="containsText" priority="13887" operator="containsText" dxfId="7" text="HEM/ONC">
      <formula>NOT(ISERROR(SEARCH(("HEM/ONC"),(Q50))))</formula>
    </cfRule>
    <cfRule type="containsText" priority="13888" operator="containsText" dxfId="7" text="CARDIO">
      <formula>NOT(ISERROR(SEARCH(("CARDIO"),(Q50))))</formula>
    </cfRule>
    <cfRule type="containsText" priority="13889" operator="containsText" dxfId="7" text="ID">
      <formula>NOT(ISERROR(SEARCH(("ID"),(Q50))))</formula>
    </cfRule>
    <cfRule type="containsText" priority="13890" operator="containsText" dxfId="7" text="NEURO">
      <formula>NOT(ISERROR(SEARCH(("NEURO"),(Q50))))</formula>
    </cfRule>
    <cfRule type="containsText" priority="13891" operator="containsText" dxfId="6" text="NEURO">
      <formula>NOT(ISERROR(SEARCH(("NEURO"),(Q50))))</formula>
    </cfRule>
    <cfRule type="containsText" priority="13892" operator="containsText" dxfId="5" text="NEURO">
      <formula>NOT(ISERROR(SEARCH(("NEURO"),(Q50))))</formula>
    </cfRule>
    <cfRule type="containsText" priority="13893" operator="containsText" dxfId="0" text="ICU N">
      <formula>NOT(ISERROR(SEARCH(("ICU N"),(Q50))))</formula>
    </cfRule>
    <cfRule type="containsText" priority="13894" operator="containsText" dxfId="3" text="ICU">
      <formula>NOT(ISERROR(SEARCH(("ICU"),(Q50))))</formula>
    </cfRule>
    <cfRule type="containsText" priority="13895" operator="containsText" dxfId="0" text="SWING">
      <formula>NOT(ISERROR(SEARCH(("SWING"),(Q50))))</formula>
    </cfRule>
    <cfRule type="containsText" priority="13896" operator="containsText" dxfId="0" text="NF">
      <formula>NOT(ISERROR(SEARCH(("NF"),(Q50))))</formula>
    </cfRule>
    <cfRule type="containsText" priority="13897" operator="containsText" dxfId="0" text="ICU N">
      <formula>NOT(ISERROR(SEARCH(("ICU N"),(Q50))))</formula>
    </cfRule>
  </conditionalFormatting>
  <conditionalFormatting sqref="R52:R53">
    <cfRule type="containsText" priority="13877" operator="containsText" dxfId="16" text="ED">
      <formula>NOT(ISERROR(SEARCH(("ED"),(R52))))</formula>
    </cfRule>
    <cfRule type="containsText" priority="13878" operator="containsText" dxfId="17" text="VACATION">
      <formula>NOT(ISERROR(SEARCH(("VACATION"),(R52))))</formula>
    </cfRule>
    <cfRule type="containsText" priority="13879" operator="containsText" dxfId="0" text="ICU N">
      <formula>NOT(ISERROR(SEARCH(("ICU N"),(R52))))</formula>
    </cfRule>
  </conditionalFormatting>
  <conditionalFormatting sqref="V4">
    <cfRule type="containsText" priority="13875" operator="containsText" dxfId="17" text="VACATION">
      <formula>NOT(ISERROR(SEARCH(("VACATION"),(V4))))</formula>
    </cfRule>
    <cfRule type="containsText" priority="13876" operator="containsText" dxfId="0" text="ICU N">
      <formula>NOT(ISERROR(SEARCH(("ICU N"),(V4))))</formula>
    </cfRule>
  </conditionalFormatting>
  <conditionalFormatting sqref="W4">
    <cfRule type="containsText" priority="13873" operator="containsText" dxfId="17" text="VACATION">
      <formula>NOT(ISERROR(SEARCH(("VACATION"),(W4))))</formula>
    </cfRule>
    <cfRule type="containsText" priority="13874" operator="containsText" dxfId="0" text="ICU N">
      <formula>NOT(ISERROR(SEARCH(("ICU N"),(W4))))</formula>
    </cfRule>
  </conditionalFormatting>
  <conditionalFormatting sqref="V5">
    <cfRule type="containsText" priority="13871" operator="containsText" dxfId="17" text="VACATION">
      <formula>NOT(ISERROR(SEARCH(("VACATION"),(V5))))</formula>
    </cfRule>
    <cfRule type="containsText" priority="13872" operator="containsText" dxfId="0" text="ICU N">
      <formula>NOT(ISERROR(SEARCH(("ICU N"),(V5))))</formula>
    </cfRule>
  </conditionalFormatting>
  <conditionalFormatting sqref="AU4">
    <cfRule type="containsText" priority="13869" operator="containsText" dxfId="17" text="VACATION">
      <formula>NOT(ISERROR(SEARCH(("VACATION"),(AU4))))</formula>
    </cfRule>
    <cfRule type="containsText" priority="13870" operator="containsText" dxfId="0" text="ICU N">
      <formula>NOT(ISERROR(SEARCH(("ICU N"),(AU4))))</formula>
    </cfRule>
  </conditionalFormatting>
  <conditionalFormatting sqref="AV4">
    <cfRule type="containsText" priority="13867" operator="containsText" dxfId="17" text="VACATION">
      <formula>NOT(ISERROR(SEARCH(("VACATION"),(AV4))))</formula>
    </cfRule>
    <cfRule type="containsText" priority="13868" operator="containsText" dxfId="0" text="ICU N">
      <formula>NOT(ISERROR(SEARCH(("ICU N"),(AV4))))</formula>
    </cfRule>
  </conditionalFormatting>
  <conditionalFormatting sqref="AV5">
    <cfRule type="containsText" priority="13865" operator="containsText" dxfId="17" text="VACATION">
      <formula>NOT(ISERROR(SEARCH(("VACATION"),(AV5))))</formula>
    </cfRule>
    <cfRule type="containsText" priority="13866" operator="containsText" dxfId="0" text="ICU N">
      <formula>NOT(ISERROR(SEARCH(("ICU N"),(AV5))))</formula>
    </cfRule>
  </conditionalFormatting>
  <conditionalFormatting sqref="AU5">
    <cfRule type="containsText" priority="13863" operator="containsText" dxfId="17" text="VACATION">
      <formula>NOT(ISERROR(SEARCH(("VACATION"),(AU5))))</formula>
    </cfRule>
    <cfRule type="containsText" priority="13864" operator="containsText" dxfId="0" text="ICU N">
      <formula>NOT(ISERROR(SEARCH(("ICU N"),(AU5))))</formula>
    </cfRule>
  </conditionalFormatting>
  <conditionalFormatting sqref="M20">
    <cfRule type="containsText" priority="13861" operator="containsText" dxfId="17" text="VACATION">
      <formula>NOT(ISERROR(SEARCH(("VACATION"),(M20))))</formula>
    </cfRule>
    <cfRule type="containsText" priority="13862" operator="containsText" dxfId="0" text="ICU N">
      <formula>NOT(ISERROR(SEARCH(("ICU N"),(M20))))</formula>
    </cfRule>
    <cfRule type="containsText" priority="4417" operator="containsText" dxfId="17" text="VACATION">
      <formula>NOT(ISERROR(SEARCH(("VACATION"),(M20))))</formula>
    </cfRule>
    <cfRule type="containsText" priority="4418" operator="containsText" dxfId="0" text="ICU N">
      <formula>NOT(ISERROR(SEARCH(("ICU N"),(M20))))</formula>
    </cfRule>
    <cfRule type="containsText" priority="4416" operator="containsText" dxfId="17" text="VACATION">
      <formula>NOT(ISERROR(SEARCH(("VACATION"),(M20))))</formula>
    </cfRule>
    <cfRule type="containsText" priority="4401" operator="containsText" dxfId="7" text="PATH">
      <formula>NOT(ISERROR(SEARCH(("PATH"),(M20))))</formula>
    </cfRule>
    <cfRule type="containsText" priority="4402" operator="containsText" dxfId="7" text="NEPHRO">
      <formula>NOT(ISERROR(SEARCH(("NEPHRO"),(M20))))</formula>
    </cfRule>
    <cfRule type="containsText" priority="4403" operator="containsText" dxfId="7" text="PULM">
      <formula>NOT(ISERROR(SEARCH(("PULM"),(M20))))</formula>
    </cfRule>
    <cfRule type="containsText" priority="4404" operator="containsText" dxfId="7" text="RADIOLOGY">
      <formula>NOT(ISERROR(SEARCH(("RADIOLOGY"),(M20))))</formula>
    </cfRule>
    <cfRule type="containsText" priority="4405" operator="containsText" dxfId="7" text="HEM/ONC">
      <formula>NOT(ISERROR(SEARCH(("HEM/ONC"),(M20))))</formula>
    </cfRule>
    <cfRule type="containsText" priority="4406" operator="containsText" dxfId="7" text="CARDIO">
      <formula>NOT(ISERROR(SEARCH(("CARDIO"),(M20))))</formula>
    </cfRule>
    <cfRule type="containsText" priority="4407" operator="containsText" dxfId="7" text="ID">
      <formula>NOT(ISERROR(SEARCH(("ID"),(M20))))</formula>
    </cfRule>
    <cfRule type="containsText" priority="4408" operator="containsText" dxfId="7" text="NEURO">
      <formula>NOT(ISERROR(SEARCH(("NEURO"),(M20))))</formula>
    </cfRule>
    <cfRule type="containsText" priority="4409" operator="containsText" dxfId="6" text="NEURO">
      <formula>NOT(ISERROR(SEARCH(("NEURO"),(M20))))</formula>
    </cfRule>
    <cfRule type="containsText" priority="4410" operator="containsText" dxfId="5" text="NEURO">
      <formula>NOT(ISERROR(SEARCH(("NEURO"),(M20))))</formula>
    </cfRule>
    <cfRule type="containsText" priority="4411" operator="containsText" dxfId="0" text="ICU N">
      <formula>NOT(ISERROR(SEARCH(("ICU N"),(M20))))</formula>
    </cfRule>
    <cfRule type="containsText" priority="4412" operator="containsText" dxfId="3" text="ICU">
      <formula>NOT(ISERROR(SEARCH(("ICU"),(M20))))</formula>
    </cfRule>
    <cfRule type="containsText" priority="4413" operator="containsText" dxfId="0" text="SWING">
      <formula>NOT(ISERROR(SEARCH(("SWING"),(M20))))</formula>
    </cfRule>
    <cfRule type="containsText" priority="4414" operator="containsText" dxfId="0" text="NF">
      <formula>NOT(ISERROR(SEARCH(("NF"),(M20))))</formula>
    </cfRule>
    <cfRule type="containsText" priority="4415" operator="containsText" dxfId="0" text="ICU N">
      <formula>NOT(ISERROR(SEARCH(("ICU N"),(M20))))</formula>
    </cfRule>
  </conditionalFormatting>
  <conditionalFormatting sqref="Q15">
    <cfRule type="containsText" priority="13827" operator="containsText" dxfId="17" text="VACATION">
      <formula>NOT(ISERROR(SEARCH(("VACATION"),(Q15))))</formula>
    </cfRule>
    <cfRule type="containsText" priority="13828" operator="containsText" dxfId="0" text="ICU N">
      <formula>NOT(ISERROR(SEARCH(("ICU N"),(Q15))))</formula>
    </cfRule>
  </conditionalFormatting>
  <conditionalFormatting sqref="AX29">
    <cfRule type="containsText" priority="13802" operator="containsText" dxfId="7" text="PATH">
      <formula>NOT(ISERROR(SEARCH(("PATH"),(AX29))))</formula>
    </cfRule>
    <cfRule type="containsText" priority="13803" operator="containsText" dxfId="7" text="NEPHRO">
      <formula>NOT(ISERROR(SEARCH(("NEPHRO"),(AX29))))</formula>
    </cfRule>
    <cfRule type="containsText" priority="13804" operator="containsText" dxfId="7" text="PULM">
      <formula>NOT(ISERROR(SEARCH(("PULM"),(AX29))))</formula>
    </cfRule>
    <cfRule type="containsText" priority="13805" operator="containsText" dxfId="7" text="RADIOLOGY">
      <formula>NOT(ISERROR(SEARCH(("RADIOLOGY"),(AX29))))</formula>
    </cfRule>
    <cfRule type="containsText" priority="13806" operator="containsText" dxfId="7" text="HEM/ONC">
      <formula>NOT(ISERROR(SEARCH(("HEM/ONC"),(AX29))))</formula>
    </cfRule>
    <cfRule type="containsText" priority="13807" operator="containsText" dxfId="7" text="CARDIO">
      <formula>NOT(ISERROR(SEARCH(("CARDIO"),(AX29))))</formula>
    </cfRule>
    <cfRule type="containsText" priority="13808" operator="containsText" dxfId="7" text="ID">
      <formula>NOT(ISERROR(SEARCH(("ID"),(AX29))))</formula>
    </cfRule>
    <cfRule type="containsText" priority="13809" operator="containsText" dxfId="7" text="NEURO">
      <formula>NOT(ISERROR(SEARCH(("NEURO"),(AX29))))</formula>
    </cfRule>
    <cfRule type="containsText" priority="13810" operator="containsText" dxfId="6" text="NEURO">
      <formula>NOT(ISERROR(SEARCH(("NEURO"),(AX29))))</formula>
    </cfRule>
    <cfRule type="containsText" priority="13811" operator="containsText" dxfId="5" text="NEURO">
      <formula>NOT(ISERROR(SEARCH(("NEURO"),(AX29))))</formula>
    </cfRule>
    <cfRule type="containsText" priority="13812" operator="containsText" dxfId="0" text="ICU N">
      <formula>NOT(ISERROR(SEARCH(("ICU N"),(AX29))))</formula>
    </cfRule>
    <cfRule type="containsText" priority="13813" operator="containsText" dxfId="3" text="ICU">
      <formula>NOT(ISERROR(SEARCH(("ICU"),(AX29))))</formula>
    </cfRule>
    <cfRule type="containsText" priority="13814" operator="containsText" dxfId="0" text="SWING">
      <formula>NOT(ISERROR(SEARCH(("SWING"),(AX29))))</formula>
    </cfRule>
    <cfRule type="containsText" priority="13815" operator="containsText" dxfId="0" text="NF">
      <formula>NOT(ISERROR(SEARCH(("NF"),(AX29))))</formula>
    </cfRule>
    <cfRule type="containsText" priority="13816" operator="containsText" dxfId="0" text="ICU N">
      <formula>NOT(ISERROR(SEARCH(("ICU N"),(AX29))))</formula>
    </cfRule>
  </conditionalFormatting>
  <conditionalFormatting sqref="AY29">
    <cfRule type="containsText" priority="13787" operator="containsText" dxfId="7" text="PATH">
      <formula>NOT(ISERROR(SEARCH(("PATH"),(AY29))))</formula>
    </cfRule>
    <cfRule type="containsText" priority="13788" operator="containsText" dxfId="7" text="NEPHRO">
      <formula>NOT(ISERROR(SEARCH(("NEPHRO"),(AY29))))</formula>
    </cfRule>
    <cfRule type="containsText" priority="13789" operator="containsText" dxfId="7" text="PULM">
      <formula>NOT(ISERROR(SEARCH(("PULM"),(AY29))))</formula>
    </cfRule>
    <cfRule type="containsText" priority="13790" operator="containsText" dxfId="7" text="RADIOLOGY">
      <formula>NOT(ISERROR(SEARCH(("RADIOLOGY"),(AY29))))</formula>
    </cfRule>
    <cfRule type="containsText" priority="13791" operator="containsText" dxfId="7" text="HEM/ONC">
      <formula>NOT(ISERROR(SEARCH(("HEM/ONC"),(AY29))))</formula>
    </cfRule>
    <cfRule type="containsText" priority="13792" operator="containsText" dxfId="7" text="CARDIO">
      <formula>NOT(ISERROR(SEARCH(("CARDIO"),(AY29))))</formula>
    </cfRule>
    <cfRule type="containsText" priority="13793" operator="containsText" dxfId="7" text="ID">
      <formula>NOT(ISERROR(SEARCH(("ID"),(AY29))))</formula>
    </cfRule>
    <cfRule type="containsText" priority="13794" operator="containsText" dxfId="7" text="NEURO">
      <formula>NOT(ISERROR(SEARCH(("NEURO"),(AY29))))</formula>
    </cfRule>
    <cfRule type="containsText" priority="13795" operator="containsText" dxfId="6" text="NEURO">
      <formula>NOT(ISERROR(SEARCH(("NEURO"),(AY29))))</formula>
    </cfRule>
    <cfRule type="containsText" priority="13796" operator="containsText" dxfId="5" text="NEURO">
      <formula>NOT(ISERROR(SEARCH(("NEURO"),(AY29))))</formula>
    </cfRule>
    <cfRule type="containsText" priority="13797" operator="containsText" dxfId="0" text="ICU N">
      <formula>NOT(ISERROR(SEARCH(("ICU N"),(AY29))))</formula>
    </cfRule>
    <cfRule type="containsText" priority="13798" operator="containsText" dxfId="3" text="ICU">
      <formula>NOT(ISERROR(SEARCH(("ICU"),(AY29))))</formula>
    </cfRule>
    <cfRule type="containsText" priority="13799" operator="containsText" dxfId="0" text="SWING">
      <formula>NOT(ISERROR(SEARCH(("SWING"),(AY29))))</formula>
    </cfRule>
    <cfRule type="containsText" priority="13800" operator="containsText" dxfId="0" text="NF">
      <formula>NOT(ISERROR(SEARCH(("NF"),(AY29))))</formula>
    </cfRule>
    <cfRule type="containsText" priority="13801" operator="containsText" dxfId="0" text="ICU N">
      <formula>NOT(ISERROR(SEARCH(("ICU N"),(AY29))))</formula>
    </cfRule>
  </conditionalFormatting>
  <conditionalFormatting sqref="N54">
    <cfRule type="containsText" priority="13784" operator="containsText" dxfId="16" text="ED">
      <formula>NOT(ISERROR(SEARCH(("ED"),(N54))))</formula>
    </cfRule>
    <cfRule type="containsText" priority="13785" operator="containsText" dxfId="17" text="VACATION">
      <formula>NOT(ISERROR(SEARCH(("VACATION"),(N54))))</formula>
    </cfRule>
    <cfRule type="containsText" priority="13786" operator="containsText" dxfId="0" text="ICU N">
      <formula>NOT(ISERROR(SEARCH(("ICU N"),(N54))))</formula>
    </cfRule>
  </conditionalFormatting>
  <conditionalFormatting sqref="O54">
    <cfRule type="containsText" priority="13781" operator="containsText" dxfId="16" text="ED">
      <formula>NOT(ISERROR(SEARCH(("ED"),(O54))))</formula>
    </cfRule>
    <cfRule type="containsText" priority="13782" operator="containsText" dxfId="17" text="VACATION">
      <formula>NOT(ISERROR(SEARCH(("VACATION"),(O54))))</formula>
    </cfRule>
    <cfRule type="containsText" priority="13783" operator="containsText" dxfId="0" text="ICU N">
      <formula>NOT(ISERROR(SEARCH(("ICU N"),(O54))))</formula>
    </cfRule>
  </conditionalFormatting>
  <conditionalFormatting sqref="O55">
    <cfRule type="containsText" priority="13778" operator="containsText" dxfId="16" text="ED">
      <formula>NOT(ISERROR(SEARCH(("ED"),(O55))))</formula>
    </cfRule>
    <cfRule type="containsText" priority="13779" operator="containsText" dxfId="17" text="VACATION">
      <formula>NOT(ISERROR(SEARCH(("VACATION"),(O55))))</formula>
    </cfRule>
    <cfRule type="containsText" priority="13780" operator="containsText" dxfId="0" text="ICU N">
      <formula>NOT(ISERROR(SEARCH(("ICU N"),(O55))))</formula>
    </cfRule>
  </conditionalFormatting>
  <conditionalFormatting sqref="N55">
    <cfRule type="containsText" priority="13775" operator="containsText" dxfId="16" text="ED">
      <formula>NOT(ISERROR(SEARCH(("ED"),(N55))))</formula>
    </cfRule>
    <cfRule type="containsText" priority="13776" operator="containsText" dxfId="17" text="VACATION">
      <formula>NOT(ISERROR(SEARCH(("VACATION"),(N55))))</formula>
    </cfRule>
    <cfRule type="containsText" priority="13777" operator="containsText" dxfId="0" text="ICU N">
      <formula>NOT(ISERROR(SEARCH(("ICU N"),(N55))))</formula>
    </cfRule>
  </conditionalFormatting>
  <conditionalFormatting sqref="T56">
    <cfRule type="containsText" priority="13763" operator="containsText" dxfId="16" text="ED">
      <formula>NOT(ISERROR(SEARCH(("ED"),(T56))))</formula>
    </cfRule>
    <cfRule type="containsText" priority="13764" operator="containsText" dxfId="17" text="VACATION">
      <formula>NOT(ISERROR(SEARCH(("VACATION"),(T56))))</formula>
    </cfRule>
    <cfRule type="containsText" priority="13765" operator="containsText" dxfId="0" text="ICU N">
      <formula>NOT(ISERROR(SEARCH(("ICU N"),(T56))))</formula>
    </cfRule>
  </conditionalFormatting>
  <conditionalFormatting sqref="U56">
    <cfRule type="containsText" priority="13760" operator="containsText" dxfId="16" text="ED">
      <formula>NOT(ISERROR(SEARCH(("ED"),(U56))))</formula>
    </cfRule>
    <cfRule type="containsText" priority="13761" operator="containsText" dxfId="17" text="VACATION">
      <formula>NOT(ISERROR(SEARCH(("VACATION"),(U56))))</formula>
    </cfRule>
    <cfRule type="containsText" priority="13762" operator="containsText" dxfId="0" text="ICU N">
      <formula>NOT(ISERROR(SEARCH(("ICU N"),(U56))))</formula>
    </cfRule>
  </conditionalFormatting>
  <conditionalFormatting sqref="AR56">
    <cfRule type="containsText" priority="13757" operator="containsText" dxfId="16" text="ED">
      <formula>NOT(ISERROR(SEARCH(("ED"),(AR56))))</formula>
    </cfRule>
    <cfRule type="containsText" priority="13758" operator="containsText" dxfId="17" text="VACATION">
      <formula>NOT(ISERROR(SEARCH(("VACATION"),(AR56))))</formula>
    </cfRule>
    <cfRule type="containsText" priority="13759" operator="containsText" dxfId="0" text="ICU N">
      <formula>NOT(ISERROR(SEARCH(("ICU N"),(AR56))))</formula>
    </cfRule>
  </conditionalFormatting>
  <conditionalFormatting sqref="AS56">
    <cfRule type="containsText" priority="13754" operator="containsText" dxfId="16" text="ED">
      <formula>NOT(ISERROR(SEARCH(("ED"),(AS56))))</formula>
    </cfRule>
    <cfRule type="containsText" priority="13755" operator="containsText" dxfId="17" text="VACATION">
      <formula>NOT(ISERROR(SEARCH(("VACATION"),(AS56))))</formula>
    </cfRule>
    <cfRule type="containsText" priority="13756" operator="containsText" dxfId="0" text="ICU N">
      <formula>NOT(ISERROR(SEARCH(("ICU N"),(AS56))))</formula>
    </cfRule>
  </conditionalFormatting>
  <conditionalFormatting sqref="V49">
    <cfRule type="containsText" priority="13737" operator="containsText" dxfId="17" text="VACATION">
      <formula>NOT(ISERROR(SEARCH(("VACATION"),(V49))))</formula>
    </cfRule>
    <cfRule type="containsText" priority="13738" operator="containsText" dxfId="16" text="ED">
      <formula>NOT(ISERROR(SEARCH(("ED"),(V49))))</formula>
    </cfRule>
    <cfRule type="containsText" priority="13739" operator="containsText" dxfId="15" text="GERIATRIC">
      <formula>NOT(ISERROR(SEARCH(("GERIATRIC"),(V49))))</formula>
    </cfRule>
    <cfRule type="containsText" priority="13740" operator="containsText" dxfId="7" text="PATH">
      <formula>NOT(ISERROR(SEARCH(("PATH"),(V49))))</formula>
    </cfRule>
    <cfRule type="containsText" priority="13741" operator="containsText" dxfId="7" text="NEPHRO">
      <formula>NOT(ISERROR(SEARCH(("NEPHRO"),(V49))))</formula>
    </cfRule>
    <cfRule type="containsText" priority="13742" operator="containsText" dxfId="7" text="PULM">
      <formula>NOT(ISERROR(SEARCH(("PULM"),(V49))))</formula>
    </cfRule>
    <cfRule type="containsText" priority="13743" operator="containsText" dxfId="7" text="RADIOLOGY">
      <formula>NOT(ISERROR(SEARCH(("RADIOLOGY"),(V49))))</formula>
    </cfRule>
    <cfRule type="containsText" priority="13744" operator="containsText" dxfId="7" text="HEM/ONC">
      <formula>NOT(ISERROR(SEARCH(("HEM/ONC"),(V49))))</formula>
    </cfRule>
    <cfRule type="containsText" priority="13745" operator="containsText" dxfId="7" text="CARDIO">
      <formula>NOT(ISERROR(SEARCH(("CARDIO"),(V49))))</formula>
    </cfRule>
    <cfRule type="containsText" priority="13746" operator="containsText" dxfId="7" text="ID">
      <formula>NOT(ISERROR(SEARCH(("ID"),(V49))))</formula>
    </cfRule>
    <cfRule type="containsText" priority="13747" operator="containsText" dxfId="7" text="NEURO">
      <formula>NOT(ISERROR(SEARCH(("NEURO"),(V49))))</formula>
    </cfRule>
    <cfRule type="containsText" priority="13748" operator="containsText" dxfId="6" text="NEURO">
      <formula>NOT(ISERROR(SEARCH(("NEURO"),(V49))))</formula>
    </cfRule>
    <cfRule type="containsText" priority="13749" operator="containsText" dxfId="5" text="NEURO">
      <formula>NOT(ISERROR(SEARCH(("NEURO"),(V49))))</formula>
    </cfRule>
    <cfRule type="containsText" priority="13750" operator="containsText" dxfId="0" text="ICU N">
      <formula>NOT(ISERROR(SEARCH(("ICU N"),(V49))))</formula>
    </cfRule>
    <cfRule type="containsText" priority="13751" operator="containsText" dxfId="3" text="ICU">
      <formula>NOT(ISERROR(SEARCH(("ICU"),(V49))))</formula>
    </cfRule>
    <cfRule type="containsText" priority="13752" operator="containsText" dxfId="0" text="SWING">
      <formula>NOT(ISERROR(SEARCH(("SWING"),(V49))))</formula>
    </cfRule>
    <cfRule type="containsText" priority="13753" operator="containsText" dxfId="0" text="NF">
      <formula>NOT(ISERROR(SEARCH(("NF"),(V49))))</formula>
    </cfRule>
  </conditionalFormatting>
  <conditionalFormatting sqref="W49">
    <cfRule type="containsText" priority="13734" operator="containsText" dxfId="16" text="ED">
      <formula>NOT(ISERROR(SEARCH(("ED"),(W49))))</formula>
    </cfRule>
    <cfRule type="containsText" priority="13735" operator="containsText" dxfId="17" text="VACATION">
      <formula>NOT(ISERROR(SEARCH(("VACATION"),(W49))))</formula>
    </cfRule>
    <cfRule type="containsText" priority="13736" operator="containsText" dxfId="0" text="ICU N">
      <formula>NOT(ISERROR(SEARCH(("ICU N"),(W49))))</formula>
    </cfRule>
    <cfRule type="containsText" priority="13716" operator="containsText" dxfId="16" text="ED">
      <formula>NOT(ISERROR(SEARCH(("ED"),(W49))))</formula>
    </cfRule>
    <cfRule type="containsText" priority="13717" operator="containsText" dxfId="15" text="GERIATRIC">
      <formula>NOT(ISERROR(SEARCH(("GERIATRIC"),(W49))))</formula>
    </cfRule>
    <cfRule type="containsText" priority="13718" operator="containsText" dxfId="17" text="VACATION">
      <formula>NOT(ISERROR(SEARCH(("VACATION"),(W49))))</formula>
    </cfRule>
    <cfRule type="containsText" priority="13719" operator="containsText" dxfId="7" text="PATH">
      <formula>NOT(ISERROR(SEARCH(("PATH"),(W49))))</formula>
    </cfRule>
    <cfRule type="containsText" priority="13720" operator="containsText" dxfId="7" text="NEPHRO">
      <formula>NOT(ISERROR(SEARCH(("NEPHRO"),(W49))))</formula>
    </cfRule>
    <cfRule type="containsText" priority="13721" operator="containsText" dxfId="7" text="PULM">
      <formula>NOT(ISERROR(SEARCH(("PULM"),(W49))))</formula>
    </cfRule>
    <cfRule type="containsText" priority="13722" operator="containsText" dxfId="7" text="RADIOLOGY">
      <formula>NOT(ISERROR(SEARCH(("RADIOLOGY"),(W49))))</formula>
    </cfRule>
    <cfRule type="containsText" priority="13723" operator="containsText" dxfId="7" text="HEM/ONC">
      <formula>NOT(ISERROR(SEARCH(("HEM/ONC"),(W49))))</formula>
    </cfRule>
    <cfRule type="containsText" priority="13724" operator="containsText" dxfId="7" text="CARDIO">
      <formula>NOT(ISERROR(SEARCH(("CARDIO"),(W49))))</formula>
    </cfRule>
    <cfRule type="containsText" priority="13725" operator="containsText" dxfId="7" text="ID">
      <formula>NOT(ISERROR(SEARCH(("ID"),(W49))))</formula>
    </cfRule>
    <cfRule type="containsText" priority="13726" operator="containsText" dxfId="7" text="NEURO">
      <formula>NOT(ISERROR(SEARCH(("NEURO"),(W49))))</formula>
    </cfRule>
    <cfRule type="containsText" priority="13727" operator="containsText" dxfId="6" text="NEURO">
      <formula>NOT(ISERROR(SEARCH(("NEURO"),(W49))))</formula>
    </cfRule>
    <cfRule type="containsText" priority="13728" operator="containsText" dxfId="5" text="NEURO">
      <formula>NOT(ISERROR(SEARCH(("NEURO"),(W49))))</formula>
    </cfRule>
    <cfRule type="containsText" priority="13729" operator="containsText" dxfId="0" text="ICU N">
      <formula>NOT(ISERROR(SEARCH(("ICU N"),(W49))))</formula>
    </cfRule>
    <cfRule type="containsText" priority="13730" operator="containsText" dxfId="3" text="ICU">
      <formula>NOT(ISERROR(SEARCH(("ICU"),(W49))))</formula>
    </cfRule>
    <cfRule type="containsText" priority="13731" operator="containsText" dxfId="0" text="SWING">
      <formula>NOT(ISERROR(SEARCH(("SWING"),(W49))))</formula>
    </cfRule>
    <cfRule type="containsText" priority="13732" operator="containsText" dxfId="0" text="NF">
      <formula>NOT(ISERROR(SEARCH(("NF"),(W49))))</formula>
    </cfRule>
    <cfRule type="containsText" priority="13733" operator="containsText" dxfId="0" text="ICU N">
      <formula>NOT(ISERROR(SEARCH(("ICU N"),(W49))))</formula>
    </cfRule>
    <cfRule type="containsText" priority="13699" operator="containsText" dxfId="17" text="VACATION">
      <formula>NOT(ISERROR(SEARCH(("VACATION"),(W49))))</formula>
    </cfRule>
    <cfRule type="containsText" priority="13700" operator="containsText" dxfId="16" text="ED">
      <formula>NOT(ISERROR(SEARCH(("ED"),(W49))))</formula>
    </cfRule>
    <cfRule type="containsText" priority="13701" operator="containsText" dxfId="15" text="GERIATRIC">
      <formula>NOT(ISERROR(SEARCH(("GERIATRIC"),(W49))))</formula>
    </cfRule>
    <cfRule type="containsText" priority="13702" operator="containsText" dxfId="7" text="PATH">
      <formula>NOT(ISERROR(SEARCH(("PATH"),(W49))))</formula>
    </cfRule>
    <cfRule type="containsText" priority="13703" operator="containsText" dxfId="7" text="NEPHRO">
      <formula>NOT(ISERROR(SEARCH(("NEPHRO"),(W49))))</formula>
    </cfRule>
    <cfRule type="containsText" priority="13704" operator="containsText" dxfId="7" text="PULM">
      <formula>NOT(ISERROR(SEARCH(("PULM"),(W49))))</formula>
    </cfRule>
    <cfRule type="containsText" priority="13705" operator="containsText" dxfId="7" text="RADIOLOGY">
      <formula>NOT(ISERROR(SEARCH(("RADIOLOGY"),(W49))))</formula>
    </cfRule>
    <cfRule type="containsText" priority="13706" operator="containsText" dxfId="7" text="HEM/ONC">
      <formula>NOT(ISERROR(SEARCH(("HEM/ONC"),(W49))))</formula>
    </cfRule>
    <cfRule type="containsText" priority="13707" operator="containsText" dxfId="7" text="CARDIO">
      <formula>NOT(ISERROR(SEARCH(("CARDIO"),(W49))))</formula>
    </cfRule>
    <cfRule type="containsText" priority="13708" operator="containsText" dxfId="7" text="ID">
      <formula>NOT(ISERROR(SEARCH(("ID"),(W49))))</formula>
    </cfRule>
    <cfRule type="containsText" priority="13709" operator="containsText" dxfId="7" text="NEURO">
      <formula>NOT(ISERROR(SEARCH(("NEURO"),(W49))))</formula>
    </cfRule>
    <cfRule type="containsText" priority="13710" operator="containsText" dxfId="6" text="NEURO">
      <formula>NOT(ISERROR(SEARCH(("NEURO"),(W49))))</formula>
    </cfRule>
    <cfRule type="containsText" priority="13711" operator="containsText" dxfId="5" text="NEURO">
      <formula>NOT(ISERROR(SEARCH(("NEURO"),(W49))))</formula>
    </cfRule>
    <cfRule type="containsText" priority="13712" operator="containsText" dxfId="0" text="ICU N">
      <formula>NOT(ISERROR(SEARCH(("ICU N"),(W49))))</formula>
    </cfRule>
    <cfRule type="containsText" priority="13713" operator="containsText" dxfId="3" text="ICU">
      <formula>NOT(ISERROR(SEARCH(("ICU"),(W49))))</formula>
    </cfRule>
    <cfRule type="containsText" priority="13714" operator="containsText" dxfId="0" text="SWING">
      <formula>NOT(ISERROR(SEARCH(("SWING"),(W49))))</formula>
    </cfRule>
    <cfRule type="containsText" priority="13715" operator="containsText" dxfId="0" text="NF">
      <formula>NOT(ISERROR(SEARCH(("NF"),(W49))))</formula>
    </cfRule>
    <cfRule type="containsText" priority="13684" operator="containsText" dxfId="7" text="PATH">
      <formula>NOT(ISERROR(SEARCH(("PATH"),(W49))))</formula>
    </cfRule>
    <cfRule type="containsText" priority="13685" operator="containsText" dxfId="7" text="NEPHRO">
      <formula>NOT(ISERROR(SEARCH(("NEPHRO"),(W49))))</formula>
    </cfRule>
    <cfRule type="containsText" priority="13686" operator="containsText" dxfId="7" text="PULM">
      <formula>NOT(ISERROR(SEARCH(("PULM"),(W49))))</formula>
    </cfRule>
    <cfRule type="containsText" priority="13687" operator="containsText" dxfId="7" text="RADIOLOGY">
      <formula>NOT(ISERROR(SEARCH(("RADIOLOGY"),(W49))))</formula>
    </cfRule>
    <cfRule type="containsText" priority="13688" operator="containsText" dxfId="7" text="HEM/ONC">
      <formula>NOT(ISERROR(SEARCH(("HEM/ONC"),(W49))))</formula>
    </cfRule>
    <cfRule type="containsText" priority="13689" operator="containsText" dxfId="7" text="CARDIO">
      <formula>NOT(ISERROR(SEARCH(("CARDIO"),(W49))))</formula>
    </cfRule>
    <cfRule type="containsText" priority="13690" operator="containsText" dxfId="7" text="ID">
      <formula>NOT(ISERROR(SEARCH(("ID"),(W49))))</formula>
    </cfRule>
    <cfRule type="containsText" priority="13691" operator="containsText" dxfId="7" text="NEURO">
      <formula>NOT(ISERROR(SEARCH(("NEURO"),(W49))))</formula>
    </cfRule>
    <cfRule type="containsText" priority="13692" operator="containsText" dxfId="6" text="NEURO">
      <formula>NOT(ISERROR(SEARCH(("NEURO"),(W49))))</formula>
    </cfRule>
    <cfRule type="containsText" priority="13693" operator="containsText" dxfId="5" text="NEURO">
      <formula>NOT(ISERROR(SEARCH(("NEURO"),(W49))))</formula>
    </cfRule>
    <cfRule type="containsText" priority="13694" operator="containsText" dxfId="0" text="ICU N">
      <formula>NOT(ISERROR(SEARCH(("ICU N"),(W49))))</formula>
    </cfRule>
    <cfRule type="containsText" priority="13695" operator="containsText" dxfId="3" text="ICU">
      <formula>NOT(ISERROR(SEARCH(("ICU"),(W49))))</formula>
    </cfRule>
    <cfRule type="containsText" priority="13696" operator="containsText" dxfId="0" text="SWING">
      <formula>NOT(ISERROR(SEARCH(("SWING"),(W49))))</formula>
    </cfRule>
    <cfRule type="containsText" priority="13697" operator="containsText" dxfId="0" text="NF">
      <formula>NOT(ISERROR(SEARCH(("NF"),(W49))))</formula>
    </cfRule>
    <cfRule type="containsText" priority="13698" operator="containsText" dxfId="0" text="ICU N">
      <formula>NOT(ISERROR(SEARCH(("ICU N"),(W49))))</formula>
    </cfRule>
  </conditionalFormatting>
  <conditionalFormatting sqref="V39:V40">
    <cfRule type="containsText" priority="13680" operator="containsText" dxfId="17" text="VACATION">
      <formula>NOT(ISERROR(SEARCH(("VACATION"),(V39))))</formula>
    </cfRule>
    <cfRule type="containsText" priority="13681" operator="containsText" dxfId="0" text="ICU N">
      <formula>NOT(ISERROR(SEARCH(("ICU N"),(V39))))</formula>
    </cfRule>
  </conditionalFormatting>
  <conditionalFormatting sqref="AW39">
    <cfRule type="containsText" priority="13659" operator="containsText" dxfId="17" text="VACATION">
      <formula>NOT(ISERROR(SEARCH(("VACATION"),(AW39))))</formula>
    </cfRule>
    <cfRule type="containsText" priority="13660" operator="containsText" dxfId="0" text="ICU N">
      <formula>NOT(ISERROR(SEARCH(("ICU N"),(AW39))))</formula>
    </cfRule>
  </conditionalFormatting>
  <conditionalFormatting sqref="W40">
    <cfRule type="containsText" priority="13657" operator="containsText" dxfId="17" text="VACATION">
      <formula>NOT(ISERROR(SEARCH(("VACATION"),(W40))))</formula>
    </cfRule>
    <cfRule type="containsText" priority="13658" operator="containsText" dxfId="0" text="ICU N">
      <formula>NOT(ISERROR(SEARCH(("ICU N"),(W40))))</formula>
    </cfRule>
  </conditionalFormatting>
  <conditionalFormatting sqref="AV40">
    <cfRule type="containsText" priority="13640" operator="containsText" dxfId="17" text="VACATION">
      <formula>NOT(ISERROR(SEARCH(("VACATION"),(AV40))))</formula>
    </cfRule>
    <cfRule type="containsText" priority="13641" operator="containsText" dxfId="16" text="ED">
      <formula>NOT(ISERROR(SEARCH(("ED"),(AV40))))</formula>
    </cfRule>
    <cfRule type="containsText" priority="13642" operator="containsText" dxfId="15" text="GERIATRIC">
      <formula>NOT(ISERROR(SEARCH(("GERIATRIC"),(AV40))))</formula>
    </cfRule>
    <cfRule type="containsText" priority="13643" operator="containsText" dxfId="7" text="PATH">
      <formula>NOT(ISERROR(SEARCH(("PATH"),(AV40))))</formula>
    </cfRule>
    <cfRule type="containsText" priority="13644" operator="containsText" dxfId="7" text="NEPHRO">
      <formula>NOT(ISERROR(SEARCH(("NEPHRO"),(AV40))))</formula>
    </cfRule>
    <cfRule type="containsText" priority="13645" operator="containsText" dxfId="7" text="PULM">
      <formula>NOT(ISERROR(SEARCH(("PULM"),(AV40))))</formula>
    </cfRule>
    <cfRule type="containsText" priority="13646" operator="containsText" dxfId="7" text="RADIOLOGY">
      <formula>NOT(ISERROR(SEARCH(("RADIOLOGY"),(AV40))))</formula>
    </cfRule>
    <cfRule type="containsText" priority="13647" operator="containsText" dxfId="7" text="HEM/ONC">
      <formula>NOT(ISERROR(SEARCH(("HEM/ONC"),(AV40))))</formula>
    </cfRule>
    <cfRule type="containsText" priority="13648" operator="containsText" dxfId="7" text="CARDIO">
      <formula>NOT(ISERROR(SEARCH(("CARDIO"),(AV40))))</formula>
    </cfRule>
    <cfRule type="containsText" priority="13649" operator="containsText" dxfId="7" text="ID">
      <formula>NOT(ISERROR(SEARCH(("ID"),(AV40))))</formula>
    </cfRule>
    <cfRule type="containsText" priority="13650" operator="containsText" dxfId="7" text="NEURO">
      <formula>NOT(ISERROR(SEARCH(("NEURO"),(AV40))))</formula>
    </cfRule>
    <cfRule type="containsText" priority="13651" operator="containsText" dxfId="6" text="NEURO">
      <formula>NOT(ISERROR(SEARCH(("NEURO"),(AV40))))</formula>
    </cfRule>
    <cfRule type="containsText" priority="13652" operator="containsText" dxfId="5" text="NEURO">
      <formula>NOT(ISERROR(SEARCH(("NEURO"),(AV40))))</formula>
    </cfRule>
    <cfRule type="containsText" priority="13653" operator="containsText" dxfId="0" text="ICU N">
      <formula>NOT(ISERROR(SEARCH(("ICU N"),(AV40))))</formula>
    </cfRule>
    <cfRule type="containsText" priority="13654" operator="containsText" dxfId="3" text="ICU">
      <formula>NOT(ISERROR(SEARCH(("ICU"),(AV40))))</formula>
    </cfRule>
    <cfRule type="containsText" priority="13655" operator="containsText" dxfId="0" text="SWING">
      <formula>NOT(ISERROR(SEARCH(("SWING"),(AV40))))</formula>
    </cfRule>
    <cfRule type="containsText" priority="13656" operator="containsText" dxfId="0" text="NF">
      <formula>NOT(ISERROR(SEARCH(("NF"),(AV40))))</formula>
    </cfRule>
    <cfRule type="containsText" priority="13638" operator="containsText" dxfId="17" text="VACATION">
      <formula>NOT(ISERROR(SEARCH(("VACATION"),(AV40))))</formula>
    </cfRule>
    <cfRule type="containsText" priority="13639" operator="containsText" dxfId="0" text="ICU N">
      <formula>NOT(ISERROR(SEARCH(("ICU N"),(AV40))))</formula>
    </cfRule>
  </conditionalFormatting>
  <conditionalFormatting sqref="AW40">
    <cfRule type="containsText" priority="13636" operator="containsText" dxfId="17" text="VACATION">
      <formula>NOT(ISERROR(SEARCH(("VACATION"),(AW40))))</formula>
    </cfRule>
    <cfRule type="containsText" priority="13637" operator="containsText" dxfId="0" text="ICU N">
      <formula>NOT(ISERROR(SEARCH(("ICU N"),(AW40))))</formula>
    </cfRule>
  </conditionalFormatting>
  <conditionalFormatting sqref="AC53">
    <cfRule type="containsText" priority="13448" operator="containsText" dxfId="17" text="VACATION">
      <formula>NOT(ISERROR(SEARCH(("VACATION"),(AC53))))</formula>
    </cfRule>
    <cfRule type="containsText" priority="13449" operator="containsText" dxfId="16" text="ED">
      <formula>NOT(ISERROR(SEARCH(("ED"),(AC53))))</formula>
    </cfRule>
    <cfRule type="containsText" priority="13450" operator="containsText" dxfId="15" text="GERIATRIC">
      <formula>NOT(ISERROR(SEARCH(("GERIATRIC"),(AC53))))</formula>
    </cfRule>
    <cfRule type="containsText" priority="13451" operator="containsText" dxfId="7" text="PATH">
      <formula>NOT(ISERROR(SEARCH(("PATH"),(AC53))))</formula>
    </cfRule>
    <cfRule type="containsText" priority="13452" operator="containsText" dxfId="7" text="NEPHRO">
      <formula>NOT(ISERROR(SEARCH(("NEPHRO"),(AC53))))</formula>
    </cfRule>
    <cfRule type="containsText" priority="13453" operator="containsText" dxfId="7" text="PULM">
      <formula>NOT(ISERROR(SEARCH(("PULM"),(AC53))))</formula>
    </cfRule>
    <cfRule type="containsText" priority="13454" operator="containsText" dxfId="7" text="RADIOLOGY">
      <formula>NOT(ISERROR(SEARCH(("RADIOLOGY"),(AC53))))</formula>
    </cfRule>
    <cfRule type="containsText" priority="13455" operator="containsText" dxfId="7" text="HEM/ONC">
      <formula>NOT(ISERROR(SEARCH(("HEM/ONC"),(AC53))))</formula>
    </cfRule>
    <cfRule type="containsText" priority="13456" operator="containsText" dxfId="7" text="CARDIO">
      <formula>NOT(ISERROR(SEARCH(("CARDIO"),(AC53))))</formula>
    </cfRule>
    <cfRule type="containsText" priority="13457" operator="containsText" dxfId="7" text="ID">
      <formula>NOT(ISERROR(SEARCH(("ID"),(AC53))))</formula>
    </cfRule>
    <cfRule type="containsText" priority="13458" operator="containsText" dxfId="7" text="NEURO">
      <formula>NOT(ISERROR(SEARCH(("NEURO"),(AC53))))</formula>
    </cfRule>
    <cfRule type="containsText" priority="13459" operator="containsText" dxfId="6" text="NEURO">
      <formula>NOT(ISERROR(SEARCH(("NEURO"),(AC53))))</formula>
    </cfRule>
    <cfRule type="containsText" priority="13460" operator="containsText" dxfId="5" text="NEURO">
      <formula>NOT(ISERROR(SEARCH(("NEURO"),(AC53))))</formula>
    </cfRule>
    <cfRule type="containsText" priority="13461" operator="containsText" dxfId="0" text="ICU N">
      <formula>NOT(ISERROR(SEARCH(("ICU N"),(AC53))))</formula>
    </cfRule>
    <cfRule type="containsText" priority="13462" operator="containsText" dxfId="3" text="ICU">
      <formula>NOT(ISERROR(SEARCH(("ICU"),(AC53))))</formula>
    </cfRule>
    <cfRule type="containsText" priority="13463" operator="containsText" dxfId="0" text="SWING">
      <formula>NOT(ISERROR(SEARCH(("SWING"),(AC53))))</formula>
    </cfRule>
    <cfRule type="containsText" priority="13464" operator="containsText" dxfId="0" text="NF">
      <formula>NOT(ISERROR(SEARCH(("NF"),(AC53))))</formula>
    </cfRule>
  </conditionalFormatting>
  <conditionalFormatting sqref="AC49">
    <cfRule type="containsText" priority="13431" operator="containsText" dxfId="17" text="VACATION">
      <formula>NOT(ISERROR(SEARCH(("VACATION"),(AC49))))</formula>
    </cfRule>
    <cfRule type="containsText" priority="13432" operator="containsText" dxfId="16" text="ED">
      <formula>NOT(ISERROR(SEARCH(("ED"),(AC49))))</formula>
    </cfRule>
    <cfRule type="containsText" priority="13433" operator="containsText" dxfId="15" text="GERIATRIC">
      <formula>NOT(ISERROR(SEARCH(("GERIATRIC"),(AC49))))</formula>
    </cfRule>
    <cfRule type="containsText" priority="13434" operator="containsText" dxfId="7" text="PATH">
      <formula>NOT(ISERROR(SEARCH(("PATH"),(AC49))))</formula>
    </cfRule>
    <cfRule type="containsText" priority="13435" operator="containsText" dxfId="7" text="NEPHRO">
      <formula>NOT(ISERROR(SEARCH(("NEPHRO"),(AC49))))</formula>
    </cfRule>
    <cfRule type="containsText" priority="13436" operator="containsText" dxfId="7" text="PULM">
      <formula>NOT(ISERROR(SEARCH(("PULM"),(AC49))))</formula>
    </cfRule>
    <cfRule type="containsText" priority="13437" operator="containsText" dxfId="7" text="RADIOLOGY">
      <formula>NOT(ISERROR(SEARCH(("RADIOLOGY"),(AC49))))</formula>
    </cfRule>
    <cfRule type="containsText" priority="13438" operator="containsText" dxfId="7" text="HEM/ONC">
      <formula>NOT(ISERROR(SEARCH(("HEM/ONC"),(AC49))))</formula>
    </cfRule>
    <cfRule type="containsText" priority="13439" operator="containsText" dxfId="7" text="CARDIO">
      <formula>NOT(ISERROR(SEARCH(("CARDIO"),(AC49))))</formula>
    </cfRule>
    <cfRule type="containsText" priority="13440" operator="containsText" dxfId="7" text="ID">
      <formula>NOT(ISERROR(SEARCH(("ID"),(AC49))))</formula>
    </cfRule>
    <cfRule type="containsText" priority="13441" operator="containsText" dxfId="7" text="NEURO">
      <formula>NOT(ISERROR(SEARCH(("NEURO"),(AC49))))</formula>
    </cfRule>
    <cfRule type="containsText" priority="13442" operator="containsText" dxfId="6" text="NEURO">
      <formula>NOT(ISERROR(SEARCH(("NEURO"),(AC49))))</formula>
    </cfRule>
    <cfRule type="containsText" priority="13443" operator="containsText" dxfId="5" text="NEURO">
      <formula>NOT(ISERROR(SEARCH(("NEURO"),(AC49))))</formula>
    </cfRule>
    <cfRule type="containsText" priority="13444" operator="containsText" dxfId="0" text="ICU N">
      <formula>NOT(ISERROR(SEARCH(("ICU N"),(AC49))))</formula>
    </cfRule>
    <cfRule type="containsText" priority="13445" operator="containsText" dxfId="3" text="ICU">
      <formula>NOT(ISERROR(SEARCH(("ICU"),(AC49))))</formula>
    </cfRule>
    <cfRule type="containsText" priority="13446" operator="containsText" dxfId="0" text="SWING">
      <formula>NOT(ISERROR(SEARCH(("SWING"),(AC49))))</formula>
    </cfRule>
    <cfRule type="containsText" priority="13447" operator="containsText" dxfId="0" text="NF">
      <formula>NOT(ISERROR(SEARCH(("NF"),(AC49))))</formula>
    </cfRule>
  </conditionalFormatting>
  <conditionalFormatting sqref="AC50">
    <cfRule type="containsText" priority="13414" operator="containsText" dxfId="17" text="VACATION">
      <formula>NOT(ISERROR(SEARCH(("VACATION"),(AC50))))</formula>
    </cfRule>
    <cfRule type="containsText" priority="13415" operator="containsText" dxfId="16" text="ED">
      <formula>NOT(ISERROR(SEARCH(("ED"),(AC50))))</formula>
    </cfRule>
    <cfRule type="containsText" priority="13416" operator="containsText" dxfId="15" text="GERIATRIC">
      <formula>NOT(ISERROR(SEARCH(("GERIATRIC"),(AC50))))</formula>
    </cfRule>
    <cfRule type="containsText" priority="13417" operator="containsText" dxfId="7" text="PATH">
      <formula>NOT(ISERROR(SEARCH(("PATH"),(AC50))))</formula>
    </cfRule>
    <cfRule type="containsText" priority="13418" operator="containsText" dxfId="7" text="NEPHRO">
      <formula>NOT(ISERROR(SEARCH(("NEPHRO"),(AC50))))</formula>
    </cfRule>
    <cfRule type="containsText" priority="13419" operator="containsText" dxfId="7" text="PULM">
      <formula>NOT(ISERROR(SEARCH(("PULM"),(AC50))))</formula>
    </cfRule>
    <cfRule type="containsText" priority="13420" operator="containsText" dxfId="7" text="RADIOLOGY">
      <formula>NOT(ISERROR(SEARCH(("RADIOLOGY"),(AC50))))</formula>
    </cfRule>
    <cfRule type="containsText" priority="13421" operator="containsText" dxfId="7" text="HEM/ONC">
      <formula>NOT(ISERROR(SEARCH(("HEM/ONC"),(AC50))))</formula>
    </cfRule>
    <cfRule type="containsText" priority="13422" operator="containsText" dxfId="7" text="CARDIO">
      <formula>NOT(ISERROR(SEARCH(("CARDIO"),(AC50))))</formula>
    </cfRule>
    <cfRule type="containsText" priority="13423" operator="containsText" dxfId="7" text="ID">
      <formula>NOT(ISERROR(SEARCH(("ID"),(AC50))))</formula>
    </cfRule>
    <cfRule type="containsText" priority="13424" operator="containsText" dxfId="7" text="NEURO">
      <formula>NOT(ISERROR(SEARCH(("NEURO"),(AC50))))</formula>
    </cfRule>
    <cfRule type="containsText" priority="13425" operator="containsText" dxfId="6" text="NEURO">
      <formula>NOT(ISERROR(SEARCH(("NEURO"),(AC50))))</formula>
    </cfRule>
    <cfRule type="containsText" priority="13426" operator="containsText" dxfId="5" text="NEURO">
      <formula>NOT(ISERROR(SEARCH(("NEURO"),(AC50))))</formula>
    </cfRule>
    <cfRule type="containsText" priority="13427" operator="containsText" dxfId="0" text="ICU N">
      <formula>NOT(ISERROR(SEARCH(("ICU N"),(AC50))))</formula>
    </cfRule>
    <cfRule type="containsText" priority="13428" operator="containsText" dxfId="3" text="ICU">
      <formula>NOT(ISERROR(SEARCH(("ICU"),(AC50))))</formula>
    </cfRule>
    <cfRule type="containsText" priority="13429" operator="containsText" dxfId="0" text="SWING">
      <formula>NOT(ISERROR(SEARCH(("SWING"),(AC50))))</formula>
    </cfRule>
    <cfRule type="containsText" priority="13430" operator="containsText" dxfId="0" text="NF">
      <formula>NOT(ISERROR(SEARCH(("NF"),(AC50))))</formula>
    </cfRule>
  </conditionalFormatting>
  <conditionalFormatting sqref="AC25:AD25">
    <cfRule type="containsText" priority="13412" operator="containsText" dxfId="17" text="VACATION">
      <formula>NOT(ISERROR(SEARCH(("VACATION"),(AC25))))</formula>
    </cfRule>
    <cfRule type="containsText" priority="13413" operator="containsText" dxfId="0" text="ICU N">
      <formula>NOT(ISERROR(SEARCH(("ICU N"),(AC25))))</formula>
    </cfRule>
  </conditionalFormatting>
  <conditionalFormatting sqref="AD55">
    <cfRule type="containsText" priority="13395" operator="containsText" dxfId="17" text="VACATION">
      <formula>NOT(ISERROR(SEARCH(("VACATION"),(AD55))))</formula>
    </cfRule>
    <cfRule type="containsText" priority="13396" operator="containsText" dxfId="16" text="ED">
      <formula>NOT(ISERROR(SEARCH(("ED"),(AD55))))</formula>
    </cfRule>
    <cfRule type="containsText" priority="13397" operator="containsText" dxfId="15" text="GERIATRIC">
      <formula>NOT(ISERROR(SEARCH(("GERIATRIC"),(AD55))))</formula>
    </cfRule>
    <cfRule type="containsText" priority="13398" operator="containsText" dxfId="7" text="PATH">
      <formula>NOT(ISERROR(SEARCH(("PATH"),(AD55))))</formula>
    </cfRule>
    <cfRule type="containsText" priority="13399" operator="containsText" dxfId="7" text="NEPHRO">
      <formula>NOT(ISERROR(SEARCH(("NEPHRO"),(AD55))))</formula>
    </cfRule>
    <cfRule type="containsText" priority="13400" operator="containsText" dxfId="7" text="PULM">
      <formula>NOT(ISERROR(SEARCH(("PULM"),(AD55))))</formula>
    </cfRule>
    <cfRule type="containsText" priority="13401" operator="containsText" dxfId="7" text="RADIOLOGY">
      <formula>NOT(ISERROR(SEARCH(("RADIOLOGY"),(AD55))))</formula>
    </cfRule>
    <cfRule type="containsText" priority="13402" operator="containsText" dxfId="7" text="HEM/ONC">
      <formula>NOT(ISERROR(SEARCH(("HEM/ONC"),(AD55))))</formula>
    </cfRule>
    <cfRule type="containsText" priority="13403" operator="containsText" dxfId="7" text="CARDIO">
      <formula>NOT(ISERROR(SEARCH(("CARDIO"),(AD55))))</formula>
    </cfRule>
    <cfRule type="containsText" priority="13404" operator="containsText" dxfId="7" text="ID">
      <formula>NOT(ISERROR(SEARCH(("ID"),(AD55))))</formula>
    </cfRule>
    <cfRule type="containsText" priority="13405" operator="containsText" dxfId="7" text="NEURO">
      <formula>NOT(ISERROR(SEARCH(("NEURO"),(AD55))))</formula>
    </cfRule>
    <cfRule type="containsText" priority="13406" operator="containsText" dxfId="6" text="NEURO">
      <formula>NOT(ISERROR(SEARCH(("NEURO"),(AD55))))</formula>
    </cfRule>
    <cfRule type="containsText" priority="13407" operator="containsText" dxfId="5" text="NEURO">
      <formula>NOT(ISERROR(SEARCH(("NEURO"),(AD55))))</formula>
    </cfRule>
    <cfRule type="containsText" priority="13408" operator="containsText" dxfId="0" text="ICU N">
      <formula>NOT(ISERROR(SEARCH(("ICU N"),(AD55))))</formula>
    </cfRule>
    <cfRule type="containsText" priority="13409" operator="containsText" dxfId="3" text="ICU">
      <formula>NOT(ISERROR(SEARCH(("ICU"),(AD55))))</formula>
    </cfRule>
    <cfRule type="containsText" priority="13410" operator="containsText" dxfId="0" text="SWING">
      <formula>NOT(ISERROR(SEARCH(("SWING"),(AD55))))</formula>
    </cfRule>
    <cfRule type="containsText" priority="13411" operator="containsText" dxfId="0" text="NF">
      <formula>NOT(ISERROR(SEARCH(("NF"),(AD55))))</formula>
    </cfRule>
  </conditionalFormatting>
  <conditionalFormatting sqref="AC28">
    <cfRule type="containsText" priority="13393" operator="containsText" dxfId="17" text="VACATION">
      <formula>NOT(ISERROR(SEARCH(("VACATION"),(AC28))))</formula>
    </cfRule>
    <cfRule type="containsText" priority="13394" operator="containsText" dxfId="0" text="ICU N">
      <formula>NOT(ISERROR(SEARCH(("ICU N"),(AC28))))</formula>
    </cfRule>
  </conditionalFormatting>
  <conditionalFormatting sqref="AA50">
    <cfRule type="containsText" priority="13325" operator="containsText" dxfId="16" text="ED">
      <formula>NOT(ISERROR(SEARCH(("ED"),(AA50))))</formula>
    </cfRule>
    <cfRule type="containsText" priority="13326" operator="containsText" dxfId="15" text="GERIATRIC">
      <formula>NOT(ISERROR(SEARCH(("GERIATRIC"),(AA50))))</formula>
    </cfRule>
    <cfRule type="containsText" priority="13327" operator="containsText" dxfId="17" text="VACATION">
      <formula>NOT(ISERROR(SEARCH(("VACATION"),(AA50))))</formula>
    </cfRule>
    <cfRule type="containsText" priority="13328" operator="containsText" dxfId="7" text="PATH">
      <formula>NOT(ISERROR(SEARCH(("PATH"),(AA50))))</formula>
    </cfRule>
    <cfRule type="containsText" priority="13329" operator="containsText" dxfId="7" text="NEPHRO">
      <formula>NOT(ISERROR(SEARCH(("NEPHRO"),(AA50))))</formula>
    </cfRule>
    <cfRule type="containsText" priority="13330" operator="containsText" dxfId="7" text="PULM">
      <formula>NOT(ISERROR(SEARCH(("PULM"),(AA50))))</formula>
    </cfRule>
    <cfRule type="containsText" priority="13331" operator="containsText" dxfId="7" text="RADIOLOGY">
      <formula>NOT(ISERROR(SEARCH(("RADIOLOGY"),(AA50))))</formula>
    </cfRule>
    <cfRule type="containsText" priority="13332" operator="containsText" dxfId="7" text="HEM/ONC">
      <formula>NOT(ISERROR(SEARCH(("HEM/ONC"),(AA50))))</formula>
    </cfRule>
    <cfRule type="containsText" priority="13333" operator="containsText" dxfId="7" text="CARDIO">
      <formula>NOT(ISERROR(SEARCH(("CARDIO"),(AA50))))</formula>
    </cfRule>
    <cfRule type="containsText" priority="13334" operator="containsText" dxfId="7" text="ID">
      <formula>NOT(ISERROR(SEARCH(("ID"),(AA50))))</formula>
    </cfRule>
    <cfRule type="containsText" priority="13335" operator="containsText" dxfId="7" text="NEURO">
      <formula>NOT(ISERROR(SEARCH(("NEURO"),(AA50))))</formula>
    </cfRule>
    <cfRule type="containsText" priority="13336" operator="containsText" dxfId="6" text="NEURO">
      <formula>NOT(ISERROR(SEARCH(("NEURO"),(AA50))))</formula>
    </cfRule>
    <cfRule type="containsText" priority="13337" operator="containsText" dxfId="5" text="NEURO">
      <formula>NOT(ISERROR(SEARCH(("NEURO"),(AA50))))</formula>
    </cfRule>
    <cfRule type="containsText" priority="13338" operator="containsText" dxfId="0" text="ICU N">
      <formula>NOT(ISERROR(SEARCH(("ICU N"),(AA50))))</formula>
    </cfRule>
    <cfRule type="containsText" priority="13339" operator="containsText" dxfId="3" text="ICU">
      <formula>NOT(ISERROR(SEARCH(("ICU"),(AA50))))</formula>
    </cfRule>
    <cfRule type="containsText" priority="13340" operator="containsText" dxfId="0" text="SWING">
      <formula>NOT(ISERROR(SEARCH(("SWING"),(AA50))))</formula>
    </cfRule>
    <cfRule type="containsText" priority="13341" operator="containsText" dxfId="0" text="NF">
      <formula>NOT(ISERROR(SEARCH(("NF"),(AA50))))</formula>
    </cfRule>
    <cfRule type="containsText" priority="13342" operator="containsText" dxfId="0" text="ICU N">
      <formula>NOT(ISERROR(SEARCH(("ICU N"),(AA50))))</formula>
    </cfRule>
    <cfRule type="containsText" priority="13308" operator="containsText" dxfId="17" text="VACATION">
      <formula>NOT(ISERROR(SEARCH(("VACATION"),(AA50))))</formula>
    </cfRule>
    <cfRule type="containsText" priority="13309" operator="containsText" dxfId="16" text="ED">
      <formula>NOT(ISERROR(SEARCH(("ED"),(AA50))))</formula>
    </cfRule>
    <cfRule type="containsText" priority="13310" operator="containsText" dxfId="15" text="GERIATRIC">
      <formula>NOT(ISERROR(SEARCH(("GERIATRIC"),(AA50))))</formula>
    </cfRule>
    <cfRule type="containsText" priority="13311" operator="containsText" dxfId="7" text="PATH">
      <formula>NOT(ISERROR(SEARCH(("PATH"),(AA50))))</formula>
    </cfRule>
    <cfRule type="containsText" priority="13312" operator="containsText" dxfId="7" text="NEPHRO">
      <formula>NOT(ISERROR(SEARCH(("NEPHRO"),(AA50))))</formula>
    </cfRule>
    <cfRule type="containsText" priority="13313" operator="containsText" dxfId="7" text="PULM">
      <formula>NOT(ISERROR(SEARCH(("PULM"),(AA50))))</formula>
    </cfRule>
    <cfRule type="containsText" priority="13314" operator="containsText" dxfId="7" text="RADIOLOGY">
      <formula>NOT(ISERROR(SEARCH(("RADIOLOGY"),(AA50))))</formula>
    </cfRule>
    <cfRule type="containsText" priority="13315" operator="containsText" dxfId="7" text="HEM/ONC">
      <formula>NOT(ISERROR(SEARCH(("HEM/ONC"),(AA50))))</formula>
    </cfRule>
    <cfRule type="containsText" priority="13316" operator="containsText" dxfId="7" text="CARDIO">
      <formula>NOT(ISERROR(SEARCH(("CARDIO"),(AA50))))</formula>
    </cfRule>
    <cfRule type="containsText" priority="13317" operator="containsText" dxfId="7" text="ID">
      <formula>NOT(ISERROR(SEARCH(("ID"),(AA50))))</formula>
    </cfRule>
    <cfRule type="containsText" priority="13318" operator="containsText" dxfId="7" text="NEURO">
      <formula>NOT(ISERROR(SEARCH(("NEURO"),(AA50))))</formula>
    </cfRule>
    <cfRule type="containsText" priority="13319" operator="containsText" dxfId="6" text="NEURO">
      <formula>NOT(ISERROR(SEARCH(("NEURO"),(AA50))))</formula>
    </cfRule>
    <cfRule type="containsText" priority="13320" operator="containsText" dxfId="5" text="NEURO">
      <formula>NOT(ISERROR(SEARCH(("NEURO"),(AA50))))</formula>
    </cfRule>
    <cfRule type="containsText" priority="13321" operator="containsText" dxfId="0" text="ICU N">
      <formula>NOT(ISERROR(SEARCH(("ICU N"),(AA50))))</formula>
    </cfRule>
    <cfRule type="containsText" priority="13322" operator="containsText" dxfId="3" text="ICU">
      <formula>NOT(ISERROR(SEARCH(("ICU"),(AA50))))</formula>
    </cfRule>
    <cfRule type="containsText" priority="13323" operator="containsText" dxfId="0" text="SWING">
      <formula>NOT(ISERROR(SEARCH(("SWING"),(AA50))))</formula>
    </cfRule>
    <cfRule type="containsText" priority="13324" operator="containsText" dxfId="0" text="NF">
      <formula>NOT(ISERROR(SEARCH(("NF"),(AA50))))</formula>
    </cfRule>
    <cfRule type="containsText" priority="13293" operator="containsText" dxfId="7" text="PATH">
      <formula>NOT(ISERROR(SEARCH(("PATH"),(AA50))))</formula>
    </cfRule>
    <cfRule type="containsText" priority="13294" operator="containsText" dxfId="7" text="NEPHRO">
      <formula>NOT(ISERROR(SEARCH(("NEPHRO"),(AA50))))</formula>
    </cfRule>
    <cfRule type="containsText" priority="13295" operator="containsText" dxfId="7" text="PULM">
      <formula>NOT(ISERROR(SEARCH(("PULM"),(AA50))))</formula>
    </cfRule>
    <cfRule type="containsText" priority="13296" operator="containsText" dxfId="7" text="RADIOLOGY">
      <formula>NOT(ISERROR(SEARCH(("RADIOLOGY"),(AA50))))</formula>
    </cfRule>
    <cfRule type="containsText" priority="13297" operator="containsText" dxfId="7" text="HEM/ONC">
      <formula>NOT(ISERROR(SEARCH(("HEM/ONC"),(AA50))))</formula>
    </cfRule>
    <cfRule type="containsText" priority="13298" operator="containsText" dxfId="7" text="CARDIO">
      <formula>NOT(ISERROR(SEARCH(("CARDIO"),(AA50))))</formula>
    </cfRule>
    <cfRule type="containsText" priority="13299" operator="containsText" dxfId="7" text="ID">
      <formula>NOT(ISERROR(SEARCH(("ID"),(AA50))))</formula>
    </cfRule>
    <cfRule type="containsText" priority="13300" operator="containsText" dxfId="7" text="NEURO">
      <formula>NOT(ISERROR(SEARCH(("NEURO"),(AA50))))</formula>
    </cfRule>
    <cfRule type="containsText" priority="13301" operator="containsText" dxfId="6" text="NEURO">
      <formula>NOT(ISERROR(SEARCH(("NEURO"),(AA50))))</formula>
    </cfRule>
    <cfRule type="containsText" priority="13302" operator="containsText" dxfId="5" text="NEURO">
      <formula>NOT(ISERROR(SEARCH(("NEURO"),(AA50))))</formula>
    </cfRule>
    <cfRule type="containsText" priority="13303" operator="containsText" dxfId="0" text="ICU N">
      <formula>NOT(ISERROR(SEARCH(("ICU N"),(AA50))))</formula>
    </cfRule>
    <cfRule type="containsText" priority="13304" operator="containsText" dxfId="3" text="ICU">
      <formula>NOT(ISERROR(SEARCH(("ICU"),(AA50))))</formula>
    </cfRule>
    <cfRule type="containsText" priority="13305" operator="containsText" dxfId="0" text="SWING">
      <formula>NOT(ISERROR(SEARCH(("SWING"),(AA50))))</formula>
    </cfRule>
    <cfRule type="containsText" priority="13306" operator="containsText" dxfId="0" text="NF">
      <formula>NOT(ISERROR(SEARCH(("NF"),(AA50))))</formula>
    </cfRule>
    <cfRule type="containsText" priority="13307" operator="containsText" dxfId="0" text="ICU N">
      <formula>NOT(ISERROR(SEARCH(("ICU N"),(AA50))))</formula>
    </cfRule>
    <cfRule type="containsText" priority="3336" operator="containsText" dxfId="16" text="ED">
      <formula>NOT(ISERROR(SEARCH(("ED"),(AA50))))</formula>
    </cfRule>
    <cfRule type="containsText" priority="3337" operator="containsText" dxfId="15" text="GERIATRIC">
      <formula>NOT(ISERROR(SEARCH(("GERIATRIC"),(AA50))))</formula>
    </cfRule>
    <cfRule type="containsText" priority="3338" operator="containsText" dxfId="17" text="VACATION">
      <formula>NOT(ISERROR(SEARCH(("VACATION"),(AA50))))</formula>
    </cfRule>
    <cfRule type="containsText" priority="3339" operator="containsText" dxfId="7" text="PATH">
      <formula>NOT(ISERROR(SEARCH(("PATH"),(AA50))))</formula>
    </cfRule>
    <cfRule type="containsText" priority="3340" operator="containsText" dxfId="7" text="NEPHRO">
      <formula>NOT(ISERROR(SEARCH(("NEPHRO"),(AA50))))</formula>
    </cfRule>
    <cfRule type="containsText" priority="3341" operator="containsText" dxfId="7" text="PULM">
      <formula>NOT(ISERROR(SEARCH(("PULM"),(AA50))))</formula>
    </cfRule>
    <cfRule type="containsText" priority="3342" operator="containsText" dxfId="7" text="RADIOLOGY">
      <formula>NOT(ISERROR(SEARCH(("RADIOLOGY"),(AA50))))</formula>
    </cfRule>
    <cfRule type="containsText" priority="3343" operator="containsText" dxfId="7" text="HEM/ONC">
      <formula>NOT(ISERROR(SEARCH(("HEM/ONC"),(AA50))))</formula>
    </cfRule>
    <cfRule type="containsText" priority="3344" operator="containsText" dxfId="7" text="CARDIO">
      <formula>NOT(ISERROR(SEARCH(("CARDIO"),(AA50))))</formula>
    </cfRule>
    <cfRule type="containsText" priority="3345" operator="containsText" dxfId="7" text="ID">
      <formula>NOT(ISERROR(SEARCH(("ID"),(AA50))))</formula>
    </cfRule>
    <cfRule type="containsText" priority="3346" operator="containsText" dxfId="7" text="NEURO">
      <formula>NOT(ISERROR(SEARCH(("NEURO"),(AA50))))</formula>
    </cfRule>
    <cfRule type="containsText" priority="3347" operator="containsText" dxfId="6" text="NEURO">
      <formula>NOT(ISERROR(SEARCH(("NEURO"),(AA50))))</formula>
    </cfRule>
    <cfRule type="containsText" priority="3348" operator="containsText" dxfId="5" text="NEURO">
      <formula>NOT(ISERROR(SEARCH(("NEURO"),(AA50))))</formula>
    </cfRule>
    <cfRule type="containsText" priority="3349" operator="containsText" dxfId="0" text="ICU N">
      <formula>NOT(ISERROR(SEARCH(("ICU N"),(AA50))))</formula>
    </cfRule>
    <cfRule type="containsText" priority="3350" operator="containsText" dxfId="3" text="ICU">
      <formula>NOT(ISERROR(SEARCH(("ICU"),(AA50))))</formula>
    </cfRule>
    <cfRule type="containsText" priority="3351" operator="containsText" dxfId="0" text="SWING">
      <formula>NOT(ISERROR(SEARCH(("SWING"),(AA50))))</formula>
    </cfRule>
    <cfRule type="containsText" priority="3352" operator="containsText" dxfId="0" text="NF">
      <formula>NOT(ISERROR(SEARCH(("NF"),(AA50))))</formula>
    </cfRule>
    <cfRule type="containsText" priority="3353" operator="containsText" dxfId="0" text="ICU N">
      <formula>NOT(ISERROR(SEARCH(("ICU N"),(AA50))))</formula>
    </cfRule>
    <cfRule type="containsText" priority="3319" operator="containsText" dxfId="17" text="VACATION">
      <formula>NOT(ISERROR(SEARCH(("VACATION"),(AA50))))</formula>
    </cfRule>
    <cfRule type="containsText" priority="3320" operator="containsText" dxfId="16" text="ED">
      <formula>NOT(ISERROR(SEARCH(("ED"),(AA50))))</formula>
    </cfRule>
    <cfRule type="containsText" priority="3321" operator="containsText" dxfId="15" text="GERIATRIC">
      <formula>NOT(ISERROR(SEARCH(("GERIATRIC"),(AA50))))</formula>
    </cfRule>
    <cfRule type="containsText" priority="3322" operator="containsText" dxfId="7" text="PATH">
      <formula>NOT(ISERROR(SEARCH(("PATH"),(AA50))))</formula>
    </cfRule>
    <cfRule type="containsText" priority="3323" operator="containsText" dxfId="7" text="NEPHRO">
      <formula>NOT(ISERROR(SEARCH(("NEPHRO"),(AA50))))</formula>
    </cfRule>
    <cfRule type="containsText" priority="3324" operator="containsText" dxfId="7" text="PULM">
      <formula>NOT(ISERROR(SEARCH(("PULM"),(AA50))))</formula>
    </cfRule>
    <cfRule type="containsText" priority="3325" operator="containsText" dxfId="7" text="RADIOLOGY">
      <formula>NOT(ISERROR(SEARCH(("RADIOLOGY"),(AA50))))</formula>
    </cfRule>
    <cfRule type="containsText" priority="3326" operator="containsText" dxfId="7" text="HEM/ONC">
      <formula>NOT(ISERROR(SEARCH(("HEM/ONC"),(AA50))))</formula>
    </cfRule>
    <cfRule type="containsText" priority="3327" operator="containsText" dxfId="7" text="CARDIO">
      <formula>NOT(ISERROR(SEARCH(("CARDIO"),(AA50))))</formula>
    </cfRule>
    <cfRule type="containsText" priority="3328" operator="containsText" dxfId="7" text="ID">
      <formula>NOT(ISERROR(SEARCH(("ID"),(AA50))))</formula>
    </cfRule>
    <cfRule type="containsText" priority="3329" operator="containsText" dxfId="7" text="NEURO">
      <formula>NOT(ISERROR(SEARCH(("NEURO"),(AA50))))</formula>
    </cfRule>
    <cfRule type="containsText" priority="3330" operator="containsText" dxfId="6" text="NEURO">
      <formula>NOT(ISERROR(SEARCH(("NEURO"),(AA50))))</formula>
    </cfRule>
    <cfRule type="containsText" priority="3331" operator="containsText" dxfId="5" text="NEURO">
      <formula>NOT(ISERROR(SEARCH(("NEURO"),(AA50))))</formula>
    </cfRule>
    <cfRule type="containsText" priority="3332" operator="containsText" dxfId="0" text="ICU N">
      <formula>NOT(ISERROR(SEARCH(("ICU N"),(AA50))))</formula>
    </cfRule>
    <cfRule type="containsText" priority="3333" operator="containsText" dxfId="3" text="ICU">
      <formula>NOT(ISERROR(SEARCH(("ICU"),(AA50))))</formula>
    </cfRule>
    <cfRule type="containsText" priority="3334" operator="containsText" dxfId="0" text="SWING">
      <formula>NOT(ISERROR(SEARCH(("SWING"),(AA50))))</formula>
    </cfRule>
    <cfRule type="containsText" priority="3335" operator="containsText" dxfId="0" text="NF">
      <formula>NOT(ISERROR(SEARCH(("NF"),(AA50))))</formula>
    </cfRule>
    <cfRule type="containsText" priority="3304" operator="containsText" dxfId="7" text="PATH">
      <formula>NOT(ISERROR(SEARCH(("PATH"),(AA50))))</formula>
    </cfRule>
    <cfRule type="containsText" priority="3305" operator="containsText" dxfId="7" text="NEPHRO">
      <formula>NOT(ISERROR(SEARCH(("NEPHRO"),(AA50))))</formula>
    </cfRule>
    <cfRule type="containsText" priority="3306" operator="containsText" dxfId="7" text="PULM">
      <formula>NOT(ISERROR(SEARCH(("PULM"),(AA50))))</formula>
    </cfRule>
    <cfRule type="containsText" priority="3307" operator="containsText" dxfId="7" text="RADIOLOGY">
      <formula>NOT(ISERROR(SEARCH(("RADIOLOGY"),(AA50))))</formula>
    </cfRule>
    <cfRule type="containsText" priority="3308" operator="containsText" dxfId="7" text="HEM/ONC">
      <formula>NOT(ISERROR(SEARCH(("HEM/ONC"),(AA50))))</formula>
    </cfRule>
    <cfRule type="containsText" priority="3309" operator="containsText" dxfId="7" text="CARDIO">
      <formula>NOT(ISERROR(SEARCH(("CARDIO"),(AA50))))</formula>
    </cfRule>
    <cfRule type="containsText" priority="3310" operator="containsText" dxfId="7" text="ID">
      <formula>NOT(ISERROR(SEARCH(("ID"),(AA50))))</formula>
    </cfRule>
    <cfRule type="containsText" priority="3311" operator="containsText" dxfId="7" text="NEURO">
      <formula>NOT(ISERROR(SEARCH(("NEURO"),(AA50))))</formula>
    </cfRule>
    <cfRule type="containsText" priority="3312" operator="containsText" dxfId="6" text="NEURO">
      <formula>NOT(ISERROR(SEARCH(("NEURO"),(AA50))))</formula>
    </cfRule>
    <cfRule type="containsText" priority="3313" operator="containsText" dxfId="5" text="NEURO">
      <formula>NOT(ISERROR(SEARCH(("NEURO"),(AA50))))</formula>
    </cfRule>
    <cfRule type="containsText" priority="3314" operator="containsText" dxfId="0" text="ICU N">
      <formula>NOT(ISERROR(SEARCH(("ICU N"),(AA50))))</formula>
    </cfRule>
    <cfRule type="containsText" priority="3315" operator="containsText" dxfId="3" text="ICU">
      <formula>NOT(ISERROR(SEARCH(("ICU"),(AA50))))</formula>
    </cfRule>
    <cfRule type="containsText" priority="3316" operator="containsText" dxfId="0" text="SWING">
      <formula>NOT(ISERROR(SEARCH(("SWING"),(AA50))))</formula>
    </cfRule>
    <cfRule type="containsText" priority="3317" operator="containsText" dxfId="0" text="NF">
      <formula>NOT(ISERROR(SEARCH(("NF"),(AA50))))</formula>
    </cfRule>
    <cfRule type="containsText" priority="3318" operator="containsText" dxfId="0" text="ICU N">
      <formula>NOT(ISERROR(SEARCH(("ICU N"),(AA50))))</formula>
    </cfRule>
  </conditionalFormatting>
  <conditionalFormatting sqref="AE52">
    <cfRule type="containsText" priority="13258" operator="containsText" dxfId="16" text="ED">
      <formula>NOT(ISERROR(SEARCH(("ED"),(AE52))))</formula>
    </cfRule>
    <cfRule type="containsText" priority="13259" operator="containsText" dxfId="15" text="GERIATRIC">
      <formula>NOT(ISERROR(SEARCH(("GERIATRIC"),(AE52))))</formula>
    </cfRule>
    <cfRule type="containsText" priority="13260" operator="containsText" dxfId="17" text="VACATION">
      <formula>NOT(ISERROR(SEARCH(("VACATION"),(AE52))))</formula>
    </cfRule>
    <cfRule type="containsText" priority="13261" operator="containsText" dxfId="7" text="PATH">
      <formula>NOT(ISERROR(SEARCH(("PATH"),(AE52))))</formula>
    </cfRule>
    <cfRule type="containsText" priority="13262" operator="containsText" dxfId="7" text="NEPHRO">
      <formula>NOT(ISERROR(SEARCH(("NEPHRO"),(AE52))))</formula>
    </cfRule>
    <cfRule type="containsText" priority="13263" operator="containsText" dxfId="7" text="PULM">
      <formula>NOT(ISERROR(SEARCH(("PULM"),(AE52))))</formula>
    </cfRule>
    <cfRule type="containsText" priority="13264" operator="containsText" dxfId="7" text="RADIOLOGY">
      <formula>NOT(ISERROR(SEARCH(("RADIOLOGY"),(AE52))))</formula>
    </cfRule>
    <cfRule type="containsText" priority="13265" operator="containsText" dxfId="7" text="HEM/ONC">
      <formula>NOT(ISERROR(SEARCH(("HEM/ONC"),(AE52))))</formula>
    </cfRule>
    <cfRule type="containsText" priority="13266" operator="containsText" dxfId="7" text="CARDIO">
      <formula>NOT(ISERROR(SEARCH(("CARDIO"),(AE52))))</formula>
    </cfRule>
    <cfRule type="containsText" priority="13267" operator="containsText" dxfId="7" text="ID">
      <formula>NOT(ISERROR(SEARCH(("ID"),(AE52))))</formula>
    </cfRule>
    <cfRule type="containsText" priority="13268" operator="containsText" dxfId="7" text="NEURO">
      <formula>NOT(ISERROR(SEARCH(("NEURO"),(AE52))))</formula>
    </cfRule>
    <cfRule type="containsText" priority="13269" operator="containsText" dxfId="6" text="NEURO">
      <formula>NOT(ISERROR(SEARCH(("NEURO"),(AE52))))</formula>
    </cfRule>
    <cfRule type="containsText" priority="13270" operator="containsText" dxfId="5" text="NEURO">
      <formula>NOT(ISERROR(SEARCH(("NEURO"),(AE52))))</formula>
    </cfRule>
    <cfRule type="containsText" priority="13271" operator="containsText" dxfId="0" text="ICU N">
      <formula>NOT(ISERROR(SEARCH(("ICU N"),(AE52))))</formula>
    </cfRule>
    <cfRule type="containsText" priority="13272" operator="containsText" dxfId="3" text="ICU">
      <formula>NOT(ISERROR(SEARCH(("ICU"),(AE52))))</formula>
    </cfRule>
    <cfRule type="containsText" priority="13273" operator="containsText" dxfId="0" text="SWING">
      <formula>NOT(ISERROR(SEARCH(("SWING"),(AE52))))</formula>
    </cfRule>
    <cfRule type="containsText" priority="13274" operator="containsText" dxfId="0" text="NF">
      <formula>NOT(ISERROR(SEARCH(("NF"),(AE52))))</formula>
    </cfRule>
    <cfRule type="containsText" priority="13275" operator="containsText" dxfId="0" text="ICU N">
      <formula>NOT(ISERROR(SEARCH(("ICU N"),(AE52))))</formula>
    </cfRule>
    <cfRule type="containsText" priority="13241" operator="containsText" dxfId="17" text="VACATION">
      <formula>NOT(ISERROR(SEARCH(("VACATION"),(AE52))))</formula>
    </cfRule>
    <cfRule type="containsText" priority="13242" operator="containsText" dxfId="16" text="ED">
      <formula>NOT(ISERROR(SEARCH(("ED"),(AE52))))</formula>
    </cfRule>
    <cfRule type="containsText" priority="13243" operator="containsText" dxfId="15" text="GERIATRIC">
      <formula>NOT(ISERROR(SEARCH(("GERIATRIC"),(AE52))))</formula>
    </cfRule>
    <cfRule type="containsText" priority="13244" operator="containsText" dxfId="7" text="PATH">
      <formula>NOT(ISERROR(SEARCH(("PATH"),(AE52))))</formula>
    </cfRule>
    <cfRule type="containsText" priority="13245" operator="containsText" dxfId="7" text="NEPHRO">
      <formula>NOT(ISERROR(SEARCH(("NEPHRO"),(AE52))))</formula>
    </cfRule>
    <cfRule type="containsText" priority="13246" operator="containsText" dxfId="7" text="PULM">
      <formula>NOT(ISERROR(SEARCH(("PULM"),(AE52))))</formula>
    </cfRule>
    <cfRule type="containsText" priority="13247" operator="containsText" dxfId="7" text="RADIOLOGY">
      <formula>NOT(ISERROR(SEARCH(("RADIOLOGY"),(AE52))))</formula>
    </cfRule>
    <cfRule type="containsText" priority="13248" operator="containsText" dxfId="7" text="HEM/ONC">
      <formula>NOT(ISERROR(SEARCH(("HEM/ONC"),(AE52))))</formula>
    </cfRule>
    <cfRule type="containsText" priority="13249" operator="containsText" dxfId="7" text="CARDIO">
      <formula>NOT(ISERROR(SEARCH(("CARDIO"),(AE52))))</formula>
    </cfRule>
    <cfRule type="containsText" priority="13250" operator="containsText" dxfId="7" text="ID">
      <formula>NOT(ISERROR(SEARCH(("ID"),(AE52))))</formula>
    </cfRule>
    <cfRule type="containsText" priority="13251" operator="containsText" dxfId="7" text="NEURO">
      <formula>NOT(ISERROR(SEARCH(("NEURO"),(AE52))))</formula>
    </cfRule>
    <cfRule type="containsText" priority="13252" operator="containsText" dxfId="6" text="NEURO">
      <formula>NOT(ISERROR(SEARCH(("NEURO"),(AE52))))</formula>
    </cfRule>
    <cfRule type="containsText" priority="13253" operator="containsText" dxfId="5" text="NEURO">
      <formula>NOT(ISERROR(SEARCH(("NEURO"),(AE52))))</formula>
    </cfRule>
    <cfRule type="containsText" priority="13254" operator="containsText" dxfId="0" text="ICU N">
      <formula>NOT(ISERROR(SEARCH(("ICU N"),(AE52))))</formula>
    </cfRule>
    <cfRule type="containsText" priority="13255" operator="containsText" dxfId="3" text="ICU">
      <formula>NOT(ISERROR(SEARCH(("ICU"),(AE52))))</formula>
    </cfRule>
    <cfRule type="containsText" priority="13256" operator="containsText" dxfId="0" text="SWING">
      <formula>NOT(ISERROR(SEARCH(("SWING"),(AE52))))</formula>
    </cfRule>
    <cfRule type="containsText" priority="13257" operator="containsText" dxfId="0" text="NF">
      <formula>NOT(ISERROR(SEARCH(("NF"),(AE52))))</formula>
    </cfRule>
    <cfRule type="containsText" priority="13226" operator="containsText" dxfId="7" text="PATH">
      <formula>NOT(ISERROR(SEARCH(("PATH"),(AE52))))</formula>
    </cfRule>
    <cfRule type="containsText" priority="13227" operator="containsText" dxfId="7" text="NEPHRO">
      <formula>NOT(ISERROR(SEARCH(("NEPHRO"),(AE52))))</formula>
    </cfRule>
    <cfRule type="containsText" priority="13228" operator="containsText" dxfId="7" text="PULM">
      <formula>NOT(ISERROR(SEARCH(("PULM"),(AE52))))</formula>
    </cfRule>
    <cfRule type="containsText" priority="13229" operator="containsText" dxfId="7" text="RADIOLOGY">
      <formula>NOT(ISERROR(SEARCH(("RADIOLOGY"),(AE52))))</formula>
    </cfRule>
    <cfRule type="containsText" priority="13230" operator="containsText" dxfId="7" text="HEM/ONC">
      <formula>NOT(ISERROR(SEARCH(("HEM/ONC"),(AE52))))</formula>
    </cfRule>
    <cfRule type="containsText" priority="13231" operator="containsText" dxfId="7" text="CARDIO">
      <formula>NOT(ISERROR(SEARCH(("CARDIO"),(AE52))))</formula>
    </cfRule>
    <cfRule type="containsText" priority="13232" operator="containsText" dxfId="7" text="ID">
      <formula>NOT(ISERROR(SEARCH(("ID"),(AE52))))</formula>
    </cfRule>
    <cfRule type="containsText" priority="13233" operator="containsText" dxfId="7" text="NEURO">
      <formula>NOT(ISERROR(SEARCH(("NEURO"),(AE52))))</formula>
    </cfRule>
    <cfRule type="containsText" priority="13234" operator="containsText" dxfId="6" text="NEURO">
      <formula>NOT(ISERROR(SEARCH(("NEURO"),(AE52))))</formula>
    </cfRule>
    <cfRule type="containsText" priority="13235" operator="containsText" dxfId="5" text="NEURO">
      <formula>NOT(ISERROR(SEARCH(("NEURO"),(AE52))))</formula>
    </cfRule>
    <cfRule type="containsText" priority="13236" operator="containsText" dxfId="0" text="ICU N">
      <formula>NOT(ISERROR(SEARCH(("ICU N"),(AE52))))</formula>
    </cfRule>
    <cfRule type="containsText" priority="13237" operator="containsText" dxfId="3" text="ICU">
      <formula>NOT(ISERROR(SEARCH(("ICU"),(AE52))))</formula>
    </cfRule>
    <cfRule type="containsText" priority="13238" operator="containsText" dxfId="0" text="SWING">
      <formula>NOT(ISERROR(SEARCH(("SWING"),(AE52))))</formula>
    </cfRule>
    <cfRule type="containsText" priority="13239" operator="containsText" dxfId="0" text="NF">
      <formula>NOT(ISERROR(SEARCH(("NF"),(AE52))))</formula>
    </cfRule>
    <cfRule type="containsText" priority="13240" operator="containsText" dxfId="0" text="ICU N">
      <formula>NOT(ISERROR(SEARCH(("ICU N"),(AE52))))</formula>
    </cfRule>
  </conditionalFormatting>
  <conditionalFormatting sqref="AE42">
    <cfRule type="containsText" priority="13208" operator="containsText" dxfId="16" text="ED">
      <formula>NOT(ISERROR(SEARCH(("ED"),(AE42))))</formula>
    </cfRule>
    <cfRule type="containsText" priority="13209" operator="containsText" dxfId="15" text="GERIATRIC">
      <formula>NOT(ISERROR(SEARCH(("GERIATRIC"),(AE42))))</formula>
    </cfRule>
    <cfRule type="containsText" priority="13210" operator="containsText" dxfId="17" text="VACATION">
      <formula>NOT(ISERROR(SEARCH(("VACATION"),(AE42))))</formula>
    </cfRule>
    <cfRule type="containsText" priority="13211" operator="containsText" dxfId="7" text="PATH">
      <formula>NOT(ISERROR(SEARCH(("PATH"),(AE42))))</formula>
    </cfRule>
    <cfRule type="containsText" priority="13212" operator="containsText" dxfId="7" text="NEPHRO">
      <formula>NOT(ISERROR(SEARCH(("NEPHRO"),(AE42))))</formula>
    </cfRule>
    <cfRule type="containsText" priority="13213" operator="containsText" dxfId="7" text="PULM">
      <formula>NOT(ISERROR(SEARCH(("PULM"),(AE42))))</formula>
    </cfRule>
    <cfRule type="containsText" priority="13214" operator="containsText" dxfId="7" text="RADIOLOGY">
      <formula>NOT(ISERROR(SEARCH(("RADIOLOGY"),(AE42))))</formula>
    </cfRule>
    <cfRule type="containsText" priority="13215" operator="containsText" dxfId="7" text="HEM/ONC">
      <formula>NOT(ISERROR(SEARCH(("HEM/ONC"),(AE42))))</formula>
    </cfRule>
    <cfRule type="containsText" priority="13216" operator="containsText" dxfId="7" text="CARDIO">
      <formula>NOT(ISERROR(SEARCH(("CARDIO"),(AE42))))</formula>
    </cfRule>
    <cfRule type="containsText" priority="13217" operator="containsText" dxfId="7" text="ID">
      <formula>NOT(ISERROR(SEARCH(("ID"),(AE42))))</formula>
    </cfRule>
    <cfRule type="containsText" priority="13218" operator="containsText" dxfId="7" text="NEURO">
      <formula>NOT(ISERROR(SEARCH(("NEURO"),(AE42))))</formula>
    </cfRule>
    <cfRule type="containsText" priority="13219" operator="containsText" dxfId="6" text="NEURO">
      <formula>NOT(ISERROR(SEARCH(("NEURO"),(AE42))))</formula>
    </cfRule>
    <cfRule type="containsText" priority="13220" operator="containsText" dxfId="5" text="NEURO">
      <formula>NOT(ISERROR(SEARCH(("NEURO"),(AE42))))</formula>
    </cfRule>
    <cfRule type="containsText" priority="13221" operator="containsText" dxfId="0" text="ICU N">
      <formula>NOT(ISERROR(SEARCH(("ICU N"),(AE42))))</formula>
    </cfRule>
    <cfRule type="containsText" priority="13222" operator="containsText" dxfId="3" text="ICU">
      <formula>NOT(ISERROR(SEARCH(("ICU"),(AE42))))</formula>
    </cfRule>
    <cfRule type="containsText" priority="13223" operator="containsText" dxfId="0" text="SWING">
      <formula>NOT(ISERROR(SEARCH(("SWING"),(AE42))))</formula>
    </cfRule>
    <cfRule type="containsText" priority="13224" operator="containsText" dxfId="0" text="NF">
      <formula>NOT(ISERROR(SEARCH(("NF"),(AE42))))</formula>
    </cfRule>
    <cfRule type="containsText" priority="13225" operator="containsText" dxfId="0" text="ICU N">
      <formula>NOT(ISERROR(SEARCH(("ICU N"),(AE42))))</formula>
    </cfRule>
    <cfRule type="containsText" priority="13190" operator="containsText" dxfId="16" text="ED">
      <formula>NOT(ISERROR(SEARCH(("ED"),(AE42))))</formula>
    </cfRule>
    <cfRule type="containsText" priority="13191" operator="containsText" dxfId="15" text="GERIATRIC">
      <formula>NOT(ISERROR(SEARCH(("GERIATRIC"),(AE42))))</formula>
    </cfRule>
    <cfRule type="containsText" priority="13192" operator="containsText" dxfId="17" text="VACATION">
      <formula>NOT(ISERROR(SEARCH(("VACATION"),(AE42))))</formula>
    </cfRule>
    <cfRule type="containsText" priority="13193" operator="containsText" dxfId="7" text="PATH">
      <formula>NOT(ISERROR(SEARCH(("PATH"),(AE42))))</formula>
    </cfRule>
    <cfRule type="containsText" priority="13194" operator="containsText" dxfId="7" text="NEPHRO">
      <formula>NOT(ISERROR(SEARCH(("NEPHRO"),(AE42))))</formula>
    </cfRule>
    <cfRule type="containsText" priority="13195" operator="containsText" dxfId="7" text="PULM">
      <formula>NOT(ISERROR(SEARCH(("PULM"),(AE42))))</formula>
    </cfRule>
    <cfRule type="containsText" priority="13196" operator="containsText" dxfId="7" text="RADIOLOGY">
      <formula>NOT(ISERROR(SEARCH(("RADIOLOGY"),(AE42))))</formula>
    </cfRule>
    <cfRule type="containsText" priority="13197" operator="containsText" dxfId="7" text="HEM/ONC">
      <formula>NOT(ISERROR(SEARCH(("HEM/ONC"),(AE42))))</formula>
    </cfRule>
    <cfRule type="containsText" priority="13198" operator="containsText" dxfId="7" text="CARDIO">
      <formula>NOT(ISERROR(SEARCH(("CARDIO"),(AE42))))</formula>
    </cfRule>
    <cfRule type="containsText" priority="13199" operator="containsText" dxfId="7" text="ID">
      <formula>NOT(ISERROR(SEARCH(("ID"),(AE42))))</formula>
    </cfRule>
    <cfRule type="containsText" priority="13200" operator="containsText" dxfId="7" text="NEURO">
      <formula>NOT(ISERROR(SEARCH(("NEURO"),(AE42))))</formula>
    </cfRule>
    <cfRule type="containsText" priority="13201" operator="containsText" dxfId="6" text="NEURO">
      <formula>NOT(ISERROR(SEARCH(("NEURO"),(AE42))))</formula>
    </cfRule>
    <cfRule type="containsText" priority="13202" operator="containsText" dxfId="5" text="NEURO">
      <formula>NOT(ISERROR(SEARCH(("NEURO"),(AE42))))</formula>
    </cfRule>
    <cfRule type="containsText" priority="13203" operator="containsText" dxfId="0" text="ICU N">
      <formula>NOT(ISERROR(SEARCH(("ICU N"),(AE42))))</formula>
    </cfRule>
    <cfRule type="containsText" priority="13204" operator="containsText" dxfId="3" text="ICU">
      <formula>NOT(ISERROR(SEARCH(("ICU"),(AE42))))</formula>
    </cfRule>
    <cfRule type="containsText" priority="13205" operator="containsText" dxfId="0" text="SWING">
      <formula>NOT(ISERROR(SEARCH(("SWING"),(AE42))))</formula>
    </cfRule>
    <cfRule type="containsText" priority="13206" operator="containsText" dxfId="0" text="NF">
      <formula>NOT(ISERROR(SEARCH(("NF"),(AE42))))</formula>
    </cfRule>
    <cfRule type="containsText" priority="13207" operator="containsText" dxfId="0" text="ICU N">
      <formula>NOT(ISERROR(SEARCH(("ICU N"),(AE42))))</formula>
    </cfRule>
    <cfRule type="containsText" priority="13173" operator="containsText" dxfId="17" text="VACATION">
      <formula>NOT(ISERROR(SEARCH(("VACATION"),(AE42))))</formula>
    </cfRule>
    <cfRule type="containsText" priority="13174" operator="containsText" dxfId="16" text="ED">
      <formula>NOT(ISERROR(SEARCH(("ED"),(AE42))))</formula>
    </cfRule>
    <cfRule type="containsText" priority="13175" operator="containsText" dxfId="15" text="GERIATRIC">
      <formula>NOT(ISERROR(SEARCH(("GERIATRIC"),(AE42))))</formula>
    </cfRule>
    <cfRule type="containsText" priority="13176" operator="containsText" dxfId="7" text="PATH">
      <formula>NOT(ISERROR(SEARCH(("PATH"),(AE42))))</formula>
    </cfRule>
    <cfRule type="containsText" priority="13177" operator="containsText" dxfId="7" text="NEPHRO">
      <formula>NOT(ISERROR(SEARCH(("NEPHRO"),(AE42))))</formula>
    </cfRule>
    <cfRule type="containsText" priority="13178" operator="containsText" dxfId="7" text="PULM">
      <formula>NOT(ISERROR(SEARCH(("PULM"),(AE42))))</formula>
    </cfRule>
    <cfRule type="containsText" priority="13179" operator="containsText" dxfId="7" text="RADIOLOGY">
      <formula>NOT(ISERROR(SEARCH(("RADIOLOGY"),(AE42))))</formula>
    </cfRule>
    <cfRule type="containsText" priority="13180" operator="containsText" dxfId="7" text="HEM/ONC">
      <formula>NOT(ISERROR(SEARCH(("HEM/ONC"),(AE42))))</formula>
    </cfRule>
    <cfRule type="containsText" priority="13181" operator="containsText" dxfId="7" text="CARDIO">
      <formula>NOT(ISERROR(SEARCH(("CARDIO"),(AE42))))</formula>
    </cfRule>
    <cfRule type="containsText" priority="13182" operator="containsText" dxfId="7" text="ID">
      <formula>NOT(ISERROR(SEARCH(("ID"),(AE42))))</formula>
    </cfRule>
    <cfRule type="containsText" priority="13183" operator="containsText" dxfId="7" text="NEURO">
      <formula>NOT(ISERROR(SEARCH(("NEURO"),(AE42))))</formula>
    </cfRule>
    <cfRule type="containsText" priority="13184" operator="containsText" dxfId="6" text="NEURO">
      <formula>NOT(ISERROR(SEARCH(("NEURO"),(AE42))))</formula>
    </cfRule>
    <cfRule type="containsText" priority="13185" operator="containsText" dxfId="5" text="NEURO">
      <formula>NOT(ISERROR(SEARCH(("NEURO"),(AE42))))</formula>
    </cfRule>
    <cfRule type="containsText" priority="13186" operator="containsText" dxfId="0" text="ICU N">
      <formula>NOT(ISERROR(SEARCH(("ICU N"),(AE42))))</formula>
    </cfRule>
    <cfRule type="containsText" priority="13187" operator="containsText" dxfId="3" text="ICU">
      <formula>NOT(ISERROR(SEARCH(("ICU"),(AE42))))</formula>
    </cfRule>
    <cfRule type="containsText" priority="13188" operator="containsText" dxfId="0" text="SWING">
      <formula>NOT(ISERROR(SEARCH(("SWING"),(AE42))))</formula>
    </cfRule>
    <cfRule type="containsText" priority="13189" operator="containsText" dxfId="0" text="NF">
      <formula>NOT(ISERROR(SEARCH(("NF"),(AE42))))</formula>
    </cfRule>
    <cfRule type="containsText" priority="13158" operator="containsText" dxfId="7" text="PATH">
      <formula>NOT(ISERROR(SEARCH(("PATH"),(AE42))))</formula>
    </cfRule>
    <cfRule type="containsText" priority="13159" operator="containsText" dxfId="7" text="NEPHRO">
      <formula>NOT(ISERROR(SEARCH(("NEPHRO"),(AE42))))</formula>
    </cfRule>
    <cfRule type="containsText" priority="13160" operator="containsText" dxfId="7" text="PULM">
      <formula>NOT(ISERROR(SEARCH(("PULM"),(AE42))))</formula>
    </cfRule>
    <cfRule type="containsText" priority="13161" operator="containsText" dxfId="7" text="RADIOLOGY">
      <formula>NOT(ISERROR(SEARCH(("RADIOLOGY"),(AE42))))</formula>
    </cfRule>
    <cfRule type="containsText" priority="13162" operator="containsText" dxfId="7" text="HEM/ONC">
      <formula>NOT(ISERROR(SEARCH(("HEM/ONC"),(AE42))))</formula>
    </cfRule>
    <cfRule type="containsText" priority="13163" operator="containsText" dxfId="7" text="CARDIO">
      <formula>NOT(ISERROR(SEARCH(("CARDIO"),(AE42))))</formula>
    </cfRule>
    <cfRule type="containsText" priority="13164" operator="containsText" dxfId="7" text="ID">
      <formula>NOT(ISERROR(SEARCH(("ID"),(AE42))))</formula>
    </cfRule>
    <cfRule type="containsText" priority="13165" operator="containsText" dxfId="7" text="NEURO">
      <formula>NOT(ISERROR(SEARCH(("NEURO"),(AE42))))</formula>
    </cfRule>
    <cfRule type="containsText" priority="13166" operator="containsText" dxfId="6" text="NEURO">
      <formula>NOT(ISERROR(SEARCH(("NEURO"),(AE42))))</formula>
    </cfRule>
    <cfRule type="containsText" priority="13167" operator="containsText" dxfId="5" text="NEURO">
      <formula>NOT(ISERROR(SEARCH(("NEURO"),(AE42))))</formula>
    </cfRule>
    <cfRule type="containsText" priority="13168" operator="containsText" dxfId="0" text="ICU N">
      <formula>NOT(ISERROR(SEARCH(("ICU N"),(AE42))))</formula>
    </cfRule>
    <cfRule type="containsText" priority="13169" operator="containsText" dxfId="3" text="ICU">
      <formula>NOT(ISERROR(SEARCH(("ICU"),(AE42))))</formula>
    </cfRule>
    <cfRule type="containsText" priority="13170" operator="containsText" dxfId="0" text="SWING">
      <formula>NOT(ISERROR(SEARCH(("SWING"),(AE42))))</formula>
    </cfRule>
    <cfRule type="containsText" priority="13171" operator="containsText" dxfId="0" text="NF">
      <formula>NOT(ISERROR(SEARCH(("NF"),(AE42))))</formula>
    </cfRule>
    <cfRule type="containsText" priority="13172" operator="containsText" dxfId="0" text="ICU N">
      <formula>NOT(ISERROR(SEARCH(("ICU N"),(AE42))))</formula>
    </cfRule>
  </conditionalFormatting>
  <conditionalFormatting sqref="AF42">
    <cfRule type="containsText" priority="13140" operator="containsText" dxfId="16" text="ED">
      <formula>NOT(ISERROR(SEARCH(("ED"),(AF42))))</formula>
    </cfRule>
    <cfRule type="containsText" priority="13141" operator="containsText" dxfId="15" text="GERIATRIC">
      <formula>NOT(ISERROR(SEARCH(("GERIATRIC"),(AF42))))</formula>
    </cfRule>
    <cfRule type="containsText" priority="13142" operator="containsText" dxfId="17" text="VACATION">
      <formula>NOT(ISERROR(SEARCH(("VACATION"),(AF42))))</formula>
    </cfRule>
    <cfRule type="containsText" priority="13143" operator="containsText" dxfId="7" text="PATH">
      <formula>NOT(ISERROR(SEARCH(("PATH"),(AF42))))</formula>
    </cfRule>
    <cfRule type="containsText" priority="13144" operator="containsText" dxfId="7" text="NEPHRO">
      <formula>NOT(ISERROR(SEARCH(("NEPHRO"),(AF42))))</formula>
    </cfRule>
    <cfRule type="containsText" priority="13145" operator="containsText" dxfId="7" text="PULM">
      <formula>NOT(ISERROR(SEARCH(("PULM"),(AF42))))</formula>
    </cfRule>
    <cfRule type="containsText" priority="13146" operator="containsText" dxfId="7" text="RADIOLOGY">
      <formula>NOT(ISERROR(SEARCH(("RADIOLOGY"),(AF42))))</formula>
    </cfRule>
    <cfRule type="containsText" priority="13147" operator="containsText" dxfId="7" text="HEM/ONC">
      <formula>NOT(ISERROR(SEARCH(("HEM/ONC"),(AF42))))</formula>
    </cfRule>
    <cfRule type="containsText" priority="13148" operator="containsText" dxfId="7" text="CARDIO">
      <formula>NOT(ISERROR(SEARCH(("CARDIO"),(AF42))))</formula>
    </cfRule>
    <cfRule type="containsText" priority="13149" operator="containsText" dxfId="7" text="ID">
      <formula>NOT(ISERROR(SEARCH(("ID"),(AF42))))</formula>
    </cfRule>
    <cfRule type="containsText" priority="13150" operator="containsText" dxfId="7" text="NEURO">
      <formula>NOT(ISERROR(SEARCH(("NEURO"),(AF42))))</formula>
    </cfRule>
    <cfRule type="containsText" priority="13151" operator="containsText" dxfId="6" text="NEURO">
      <formula>NOT(ISERROR(SEARCH(("NEURO"),(AF42))))</formula>
    </cfRule>
    <cfRule type="containsText" priority="13152" operator="containsText" dxfId="5" text="NEURO">
      <formula>NOT(ISERROR(SEARCH(("NEURO"),(AF42))))</formula>
    </cfRule>
    <cfRule type="containsText" priority="13153" operator="containsText" dxfId="0" text="ICU N">
      <formula>NOT(ISERROR(SEARCH(("ICU N"),(AF42))))</formula>
    </cfRule>
    <cfRule type="containsText" priority="13154" operator="containsText" dxfId="3" text="ICU">
      <formula>NOT(ISERROR(SEARCH(("ICU"),(AF42))))</formula>
    </cfRule>
    <cfRule type="containsText" priority="13155" operator="containsText" dxfId="0" text="SWING">
      <formula>NOT(ISERROR(SEARCH(("SWING"),(AF42))))</formula>
    </cfRule>
    <cfRule type="containsText" priority="13156" operator="containsText" dxfId="0" text="NF">
      <formula>NOT(ISERROR(SEARCH(("NF"),(AF42))))</formula>
    </cfRule>
    <cfRule type="containsText" priority="13157" operator="containsText" dxfId="0" text="ICU N">
      <formula>NOT(ISERROR(SEARCH(("ICU N"),(AF42))))</formula>
    </cfRule>
    <cfRule type="containsText" priority="13122" operator="containsText" dxfId="16" text="ED">
      <formula>NOT(ISERROR(SEARCH(("ED"),(AF42))))</formula>
    </cfRule>
    <cfRule type="containsText" priority="13123" operator="containsText" dxfId="15" text="GERIATRIC">
      <formula>NOT(ISERROR(SEARCH(("GERIATRIC"),(AF42))))</formula>
    </cfRule>
    <cfRule type="containsText" priority="13124" operator="containsText" dxfId="17" text="VACATION">
      <formula>NOT(ISERROR(SEARCH(("VACATION"),(AF42))))</formula>
    </cfRule>
    <cfRule type="containsText" priority="13125" operator="containsText" dxfId="7" text="PATH">
      <formula>NOT(ISERROR(SEARCH(("PATH"),(AF42))))</formula>
    </cfRule>
    <cfRule type="containsText" priority="13126" operator="containsText" dxfId="7" text="NEPHRO">
      <formula>NOT(ISERROR(SEARCH(("NEPHRO"),(AF42))))</formula>
    </cfRule>
    <cfRule type="containsText" priority="13127" operator="containsText" dxfId="7" text="PULM">
      <formula>NOT(ISERROR(SEARCH(("PULM"),(AF42))))</formula>
    </cfRule>
    <cfRule type="containsText" priority="13128" operator="containsText" dxfId="7" text="RADIOLOGY">
      <formula>NOT(ISERROR(SEARCH(("RADIOLOGY"),(AF42))))</formula>
    </cfRule>
    <cfRule type="containsText" priority="13129" operator="containsText" dxfId="7" text="HEM/ONC">
      <formula>NOT(ISERROR(SEARCH(("HEM/ONC"),(AF42))))</formula>
    </cfRule>
    <cfRule type="containsText" priority="13130" operator="containsText" dxfId="7" text="CARDIO">
      <formula>NOT(ISERROR(SEARCH(("CARDIO"),(AF42))))</formula>
    </cfRule>
    <cfRule type="containsText" priority="13131" operator="containsText" dxfId="7" text="ID">
      <formula>NOT(ISERROR(SEARCH(("ID"),(AF42))))</formula>
    </cfRule>
    <cfRule type="containsText" priority="13132" operator="containsText" dxfId="7" text="NEURO">
      <formula>NOT(ISERROR(SEARCH(("NEURO"),(AF42))))</formula>
    </cfRule>
    <cfRule type="containsText" priority="13133" operator="containsText" dxfId="6" text="NEURO">
      <formula>NOT(ISERROR(SEARCH(("NEURO"),(AF42))))</formula>
    </cfRule>
    <cfRule type="containsText" priority="13134" operator="containsText" dxfId="5" text="NEURO">
      <formula>NOT(ISERROR(SEARCH(("NEURO"),(AF42))))</formula>
    </cfRule>
    <cfRule type="containsText" priority="13135" operator="containsText" dxfId="0" text="ICU N">
      <formula>NOT(ISERROR(SEARCH(("ICU N"),(AF42))))</formula>
    </cfRule>
    <cfRule type="containsText" priority="13136" operator="containsText" dxfId="3" text="ICU">
      <formula>NOT(ISERROR(SEARCH(("ICU"),(AF42))))</formula>
    </cfRule>
    <cfRule type="containsText" priority="13137" operator="containsText" dxfId="0" text="SWING">
      <formula>NOT(ISERROR(SEARCH(("SWING"),(AF42))))</formula>
    </cfRule>
    <cfRule type="containsText" priority="13138" operator="containsText" dxfId="0" text="NF">
      <formula>NOT(ISERROR(SEARCH(("NF"),(AF42))))</formula>
    </cfRule>
    <cfRule type="containsText" priority="13139" operator="containsText" dxfId="0" text="ICU N">
      <formula>NOT(ISERROR(SEARCH(("ICU N"),(AF42))))</formula>
    </cfRule>
    <cfRule type="containsText" priority="13105" operator="containsText" dxfId="17" text="VACATION">
      <formula>NOT(ISERROR(SEARCH(("VACATION"),(AF42))))</formula>
    </cfRule>
    <cfRule type="containsText" priority="13106" operator="containsText" dxfId="16" text="ED">
      <formula>NOT(ISERROR(SEARCH(("ED"),(AF42))))</formula>
    </cfRule>
    <cfRule type="containsText" priority="13107" operator="containsText" dxfId="15" text="GERIATRIC">
      <formula>NOT(ISERROR(SEARCH(("GERIATRIC"),(AF42))))</formula>
    </cfRule>
    <cfRule type="containsText" priority="13108" operator="containsText" dxfId="7" text="PATH">
      <formula>NOT(ISERROR(SEARCH(("PATH"),(AF42))))</formula>
    </cfRule>
    <cfRule type="containsText" priority="13109" operator="containsText" dxfId="7" text="NEPHRO">
      <formula>NOT(ISERROR(SEARCH(("NEPHRO"),(AF42))))</formula>
    </cfRule>
    <cfRule type="containsText" priority="13110" operator="containsText" dxfId="7" text="PULM">
      <formula>NOT(ISERROR(SEARCH(("PULM"),(AF42))))</formula>
    </cfRule>
    <cfRule type="containsText" priority="13111" operator="containsText" dxfId="7" text="RADIOLOGY">
      <formula>NOT(ISERROR(SEARCH(("RADIOLOGY"),(AF42))))</formula>
    </cfRule>
    <cfRule type="containsText" priority="13112" operator="containsText" dxfId="7" text="HEM/ONC">
      <formula>NOT(ISERROR(SEARCH(("HEM/ONC"),(AF42))))</formula>
    </cfRule>
    <cfRule type="containsText" priority="13113" operator="containsText" dxfId="7" text="CARDIO">
      <formula>NOT(ISERROR(SEARCH(("CARDIO"),(AF42))))</formula>
    </cfRule>
    <cfRule type="containsText" priority="13114" operator="containsText" dxfId="7" text="ID">
      <formula>NOT(ISERROR(SEARCH(("ID"),(AF42))))</formula>
    </cfRule>
    <cfRule type="containsText" priority="13115" operator="containsText" dxfId="7" text="NEURO">
      <formula>NOT(ISERROR(SEARCH(("NEURO"),(AF42))))</formula>
    </cfRule>
    <cfRule type="containsText" priority="13116" operator="containsText" dxfId="6" text="NEURO">
      <formula>NOT(ISERROR(SEARCH(("NEURO"),(AF42))))</formula>
    </cfRule>
    <cfRule type="containsText" priority="13117" operator="containsText" dxfId="5" text="NEURO">
      <formula>NOT(ISERROR(SEARCH(("NEURO"),(AF42))))</formula>
    </cfRule>
    <cfRule type="containsText" priority="13118" operator="containsText" dxfId="0" text="ICU N">
      <formula>NOT(ISERROR(SEARCH(("ICU N"),(AF42))))</formula>
    </cfRule>
    <cfRule type="containsText" priority="13119" operator="containsText" dxfId="3" text="ICU">
      <formula>NOT(ISERROR(SEARCH(("ICU"),(AF42))))</formula>
    </cfRule>
    <cfRule type="containsText" priority="13120" operator="containsText" dxfId="0" text="SWING">
      <formula>NOT(ISERROR(SEARCH(("SWING"),(AF42))))</formula>
    </cfRule>
    <cfRule type="containsText" priority="13121" operator="containsText" dxfId="0" text="NF">
      <formula>NOT(ISERROR(SEARCH(("NF"),(AF42))))</formula>
    </cfRule>
    <cfRule type="containsText" priority="13090" operator="containsText" dxfId="7" text="PATH">
      <formula>NOT(ISERROR(SEARCH(("PATH"),(AF42))))</formula>
    </cfRule>
    <cfRule type="containsText" priority="13091" operator="containsText" dxfId="7" text="NEPHRO">
      <formula>NOT(ISERROR(SEARCH(("NEPHRO"),(AF42))))</formula>
    </cfRule>
    <cfRule type="containsText" priority="13092" operator="containsText" dxfId="7" text="PULM">
      <formula>NOT(ISERROR(SEARCH(("PULM"),(AF42))))</formula>
    </cfRule>
    <cfRule type="containsText" priority="13093" operator="containsText" dxfId="7" text="RADIOLOGY">
      <formula>NOT(ISERROR(SEARCH(("RADIOLOGY"),(AF42))))</formula>
    </cfRule>
    <cfRule type="containsText" priority="13094" operator="containsText" dxfId="7" text="HEM/ONC">
      <formula>NOT(ISERROR(SEARCH(("HEM/ONC"),(AF42))))</formula>
    </cfRule>
    <cfRule type="containsText" priority="13095" operator="containsText" dxfId="7" text="CARDIO">
      <formula>NOT(ISERROR(SEARCH(("CARDIO"),(AF42))))</formula>
    </cfRule>
    <cfRule type="containsText" priority="13096" operator="containsText" dxfId="7" text="ID">
      <formula>NOT(ISERROR(SEARCH(("ID"),(AF42))))</formula>
    </cfRule>
    <cfRule type="containsText" priority="13097" operator="containsText" dxfId="7" text="NEURO">
      <formula>NOT(ISERROR(SEARCH(("NEURO"),(AF42))))</formula>
    </cfRule>
    <cfRule type="containsText" priority="13098" operator="containsText" dxfId="6" text="NEURO">
      <formula>NOT(ISERROR(SEARCH(("NEURO"),(AF42))))</formula>
    </cfRule>
    <cfRule type="containsText" priority="13099" operator="containsText" dxfId="5" text="NEURO">
      <formula>NOT(ISERROR(SEARCH(("NEURO"),(AF42))))</formula>
    </cfRule>
    <cfRule type="containsText" priority="13100" operator="containsText" dxfId="0" text="ICU N">
      <formula>NOT(ISERROR(SEARCH(("ICU N"),(AF42))))</formula>
    </cfRule>
    <cfRule type="containsText" priority="13101" operator="containsText" dxfId="3" text="ICU">
      <formula>NOT(ISERROR(SEARCH(("ICU"),(AF42))))</formula>
    </cfRule>
    <cfRule type="containsText" priority="13102" operator="containsText" dxfId="0" text="SWING">
      <formula>NOT(ISERROR(SEARCH(("SWING"),(AF42))))</formula>
    </cfRule>
    <cfRule type="containsText" priority="13103" operator="containsText" dxfId="0" text="NF">
      <formula>NOT(ISERROR(SEARCH(("NF"),(AF42))))</formula>
    </cfRule>
    <cfRule type="containsText" priority="13104" operator="containsText" dxfId="0" text="ICU N">
      <formula>NOT(ISERROR(SEARCH(("ICU N"),(AF42))))</formula>
    </cfRule>
  </conditionalFormatting>
  <conditionalFormatting sqref="AG46">
    <cfRule type="containsText" priority="13087" operator="containsText" dxfId="16" text="ED">
      <formula>NOT(ISERROR(SEARCH(("ED"),(AG46))))</formula>
    </cfRule>
    <cfRule type="containsText" priority="13088" operator="containsText" dxfId="17" text="VACATION">
      <formula>NOT(ISERROR(SEARCH(("VACATION"),(AG46))))</formula>
    </cfRule>
    <cfRule type="containsText" priority="13089" operator="containsText" dxfId="0" text="ICU N">
      <formula>NOT(ISERROR(SEARCH(("ICU N"),(AG46))))</formula>
    </cfRule>
    <cfRule type="containsText" priority="13069" operator="containsText" dxfId="16" text="ED">
      <formula>NOT(ISERROR(SEARCH(("ED"),(AG46))))</formula>
    </cfRule>
    <cfRule type="containsText" priority="13070" operator="containsText" dxfId="15" text="GERIATRIC">
      <formula>NOT(ISERROR(SEARCH(("GERIATRIC"),(AG46))))</formula>
    </cfRule>
    <cfRule type="containsText" priority="13071" operator="containsText" dxfId="17" text="VACATION">
      <formula>NOT(ISERROR(SEARCH(("VACATION"),(AG46))))</formula>
    </cfRule>
    <cfRule type="containsText" priority="13072" operator="containsText" dxfId="7" text="PATH">
      <formula>NOT(ISERROR(SEARCH(("PATH"),(AG46))))</formula>
    </cfRule>
    <cfRule type="containsText" priority="13073" operator="containsText" dxfId="7" text="NEPHRO">
      <formula>NOT(ISERROR(SEARCH(("NEPHRO"),(AG46))))</formula>
    </cfRule>
    <cfRule type="containsText" priority="13074" operator="containsText" dxfId="7" text="PULM">
      <formula>NOT(ISERROR(SEARCH(("PULM"),(AG46))))</formula>
    </cfRule>
    <cfRule type="containsText" priority="13075" operator="containsText" dxfId="7" text="RADIOLOGY">
      <formula>NOT(ISERROR(SEARCH(("RADIOLOGY"),(AG46))))</formula>
    </cfRule>
    <cfRule type="containsText" priority="13076" operator="containsText" dxfId="7" text="HEM/ONC">
      <formula>NOT(ISERROR(SEARCH(("HEM/ONC"),(AG46))))</formula>
    </cfRule>
    <cfRule type="containsText" priority="13077" operator="containsText" dxfId="7" text="CARDIO">
      <formula>NOT(ISERROR(SEARCH(("CARDIO"),(AG46))))</formula>
    </cfRule>
    <cfRule type="containsText" priority="13078" operator="containsText" dxfId="7" text="ID">
      <formula>NOT(ISERROR(SEARCH(("ID"),(AG46))))</formula>
    </cfRule>
    <cfRule type="containsText" priority="13079" operator="containsText" dxfId="7" text="NEURO">
      <formula>NOT(ISERROR(SEARCH(("NEURO"),(AG46))))</formula>
    </cfRule>
    <cfRule type="containsText" priority="13080" operator="containsText" dxfId="6" text="NEURO">
      <formula>NOT(ISERROR(SEARCH(("NEURO"),(AG46))))</formula>
    </cfRule>
    <cfRule type="containsText" priority="13081" operator="containsText" dxfId="5" text="NEURO">
      <formula>NOT(ISERROR(SEARCH(("NEURO"),(AG46))))</formula>
    </cfRule>
    <cfRule type="containsText" priority="13082" operator="containsText" dxfId="0" text="ICU N">
      <formula>NOT(ISERROR(SEARCH(("ICU N"),(AG46))))</formula>
    </cfRule>
    <cfRule type="containsText" priority="13083" operator="containsText" dxfId="3" text="ICU">
      <formula>NOT(ISERROR(SEARCH(("ICU"),(AG46))))</formula>
    </cfRule>
    <cfRule type="containsText" priority="13084" operator="containsText" dxfId="0" text="SWING">
      <formula>NOT(ISERROR(SEARCH(("SWING"),(AG46))))</formula>
    </cfRule>
    <cfRule type="containsText" priority="13085" operator="containsText" dxfId="0" text="NF">
      <formula>NOT(ISERROR(SEARCH(("NF"),(AG46))))</formula>
    </cfRule>
    <cfRule type="containsText" priority="13086" operator="containsText" dxfId="0" text="ICU N">
      <formula>NOT(ISERROR(SEARCH(("ICU N"),(AG46))))</formula>
    </cfRule>
    <cfRule type="containsText" priority="13052" operator="containsText" dxfId="17" text="VACATION">
      <formula>NOT(ISERROR(SEARCH(("VACATION"),(AG46))))</formula>
    </cfRule>
    <cfRule type="containsText" priority="13053" operator="containsText" dxfId="16" text="ED">
      <formula>NOT(ISERROR(SEARCH(("ED"),(AG46))))</formula>
    </cfRule>
    <cfRule type="containsText" priority="13054" operator="containsText" dxfId="15" text="GERIATRIC">
      <formula>NOT(ISERROR(SEARCH(("GERIATRIC"),(AG46))))</formula>
    </cfRule>
    <cfRule type="containsText" priority="13055" operator="containsText" dxfId="7" text="PATH">
      <formula>NOT(ISERROR(SEARCH(("PATH"),(AG46))))</formula>
    </cfRule>
    <cfRule type="containsText" priority="13056" operator="containsText" dxfId="7" text="NEPHRO">
      <formula>NOT(ISERROR(SEARCH(("NEPHRO"),(AG46))))</formula>
    </cfRule>
    <cfRule type="containsText" priority="13057" operator="containsText" dxfId="7" text="PULM">
      <formula>NOT(ISERROR(SEARCH(("PULM"),(AG46))))</formula>
    </cfRule>
    <cfRule type="containsText" priority="13058" operator="containsText" dxfId="7" text="RADIOLOGY">
      <formula>NOT(ISERROR(SEARCH(("RADIOLOGY"),(AG46))))</formula>
    </cfRule>
    <cfRule type="containsText" priority="13059" operator="containsText" dxfId="7" text="HEM/ONC">
      <formula>NOT(ISERROR(SEARCH(("HEM/ONC"),(AG46))))</formula>
    </cfRule>
    <cfRule type="containsText" priority="13060" operator="containsText" dxfId="7" text="CARDIO">
      <formula>NOT(ISERROR(SEARCH(("CARDIO"),(AG46))))</formula>
    </cfRule>
    <cfRule type="containsText" priority="13061" operator="containsText" dxfId="7" text="ID">
      <formula>NOT(ISERROR(SEARCH(("ID"),(AG46))))</formula>
    </cfRule>
    <cfRule type="containsText" priority="13062" operator="containsText" dxfId="7" text="NEURO">
      <formula>NOT(ISERROR(SEARCH(("NEURO"),(AG46))))</formula>
    </cfRule>
    <cfRule type="containsText" priority="13063" operator="containsText" dxfId="6" text="NEURO">
      <formula>NOT(ISERROR(SEARCH(("NEURO"),(AG46))))</formula>
    </cfRule>
    <cfRule type="containsText" priority="13064" operator="containsText" dxfId="5" text="NEURO">
      <formula>NOT(ISERROR(SEARCH(("NEURO"),(AG46))))</formula>
    </cfRule>
    <cfRule type="containsText" priority="13065" operator="containsText" dxfId="0" text="ICU N">
      <formula>NOT(ISERROR(SEARCH(("ICU N"),(AG46))))</formula>
    </cfRule>
    <cfRule type="containsText" priority="13066" operator="containsText" dxfId="3" text="ICU">
      <formula>NOT(ISERROR(SEARCH(("ICU"),(AG46))))</formula>
    </cfRule>
    <cfRule type="containsText" priority="13067" operator="containsText" dxfId="0" text="SWING">
      <formula>NOT(ISERROR(SEARCH(("SWING"),(AG46))))</formula>
    </cfRule>
    <cfRule type="containsText" priority="13068" operator="containsText" dxfId="0" text="NF">
      <formula>NOT(ISERROR(SEARCH(("NF"),(AG46))))</formula>
    </cfRule>
    <cfRule type="containsText" priority="13037" operator="containsText" dxfId="7" text="PATH">
      <formula>NOT(ISERROR(SEARCH(("PATH"),(AG46))))</formula>
    </cfRule>
    <cfRule type="containsText" priority="13038" operator="containsText" dxfId="7" text="NEPHRO">
      <formula>NOT(ISERROR(SEARCH(("NEPHRO"),(AG46))))</formula>
    </cfRule>
    <cfRule type="containsText" priority="13039" operator="containsText" dxfId="7" text="PULM">
      <formula>NOT(ISERROR(SEARCH(("PULM"),(AG46))))</formula>
    </cfRule>
    <cfRule type="containsText" priority="13040" operator="containsText" dxfId="7" text="RADIOLOGY">
      <formula>NOT(ISERROR(SEARCH(("RADIOLOGY"),(AG46))))</formula>
    </cfRule>
    <cfRule type="containsText" priority="13041" operator="containsText" dxfId="7" text="HEM/ONC">
      <formula>NOT(ISERROR(SEARCH(("HEM/ONC"),(AG46))))</formula>
    </cfRule>
    <cfRule type="containsText" priority="13042" operator="containsText" dxfId="7" text="CARDIO">
      <formula>NOT(ISERROR(SEARCH(("CARDIO"),(AG46))))</formula>
    </cfRule>
    <cfRule type="containsText" priority="13043" operator="containsText" dxfId="7" text="ID">
      <formula>NOT(ISERROR(SEARCH(("ID"),(AG46))))</formula>
    </cfRule>
    <cfRule type="containsText" priority="13044" operator="containsText" dxfId="7" text="NEURO">
      <formula>NOT(ISERROR(SEARCH(("NEURO"),(AG46))))</formula>
    </cfRule>
    <cfRule type="containsText" priority="13045" operator="containsText" dxfId="6" text="NEURO">
      <formula>NOT(ISERROR(SEARCH(("NEURO"),(AG46))))</formula>
    </cfRule>
    <cfRule type="containsText" priority="13046" operator="containsText" dxfId="5" text="NEURO">
      <formula>NOT(ISERROR(SEARCH(("NEURO"),(AG46))))</formula>
    </cfRule>
    <cfRule type="containsText" priority="13047" operator="containsText" dxfId="0" text="ICU N">
      <formula>NOT(ISERROR(SEARCH(("ICU N"),(AG46))))</formula>
    </cfRule>
    <cfRule type="containsText" priority="13048" operator="containsText" dxfId="3" text="ICU">
      <formula>NOT(ISERROR(SEARCH(("ICU"),(AG46))))</formula>
    </cfRule>
    <cfRule type="containsText" priority="13049" operator="containsText" dxfId="0" text="SWING">
      <formula>NOT(ISERROR(SEARCH(("SWING"),(AG46))))</formula>
    </cfRule>
    <cfRule type="containsText" priority="13050" operator="containsText" dxfId="0" text="NF">
      <formula>NOT(ISERROR(SEARCH(("NF"),(AG46))))</formula>
    </cfRule>
    <cfRule type="containsText" priority="13051" operator="containsText" dxfId="0" text="ICU N">
      <formula>NOT(ISERROR(SEARCH(("ICU N"),(AG46))))</formula>
    </cfRule>
  </conditionalFormatting>
  <conditionalFormatting sqref="AG44">
    <cfRule type="containsText" priority="13034" operator="containsText" dxfId="16" text="ED">
      <formula>NOT(ISERROR(SEARCH(("ED"),(AG44))))</formula>
    </cfRule>
    <cfRule type="containsText" priority="13035" operator="containsText" dxfId="17" text="VACATION">
      <formula>NOT(ISERROR(SEARCH(("VACATION"),(AG44))))</formula>
    </cfRule>
    <cfRule type="containsText" priority="13036" operator="containsText" dxfId="0" text="ICU N">
      <formula>NOT(ISERROR(SEARCH(("ICU N"),(AG44))))</formula>
    </cfRule>
    <cfRule type="containsText" priority="13016" operator="containsText" dxfId="16" text="ED">
      <formula>NOT(ISERROR(SEARCH(("ED"),(AG44))))</formula>
    </cfRule>
    <cfRule type="containsText" priority="13017" operator="containsText" dxfId="15" text="GERIATRIC">
      <formula>NOT(ISERROR(SEARCH(("GERIATRIC"),(AG44))))</formula>
    </cfRule>
    <cfRule type="containsText" priority="13018" operator="containsText" dxfId="17" text="VACATION">
      <formula>NOT(ISERROR(SEARCH(("VACATION"),(AG44))))</formula>
    </cfRule>
    <cfRule type="containsText" priority="13019" operator="containsText" dxfId="7" text="PATH">
      <formula>NOT(ISERROR(SEARCH(("PATH"),(AG44))))</formula>
    </cfRule>
    <cfRule type="containsText" priority="13020" operator="containsText" dxfId="7" text="NEPHRO">
      <formula>NOT(ISERROR(SEARCH(("NEPHRO"),(AG44))))</formula>
    </cfRule>
    <cfRule type="containsText" priority="13021" operator="containsText" dxfId="7" text="PULM">
      <formula>NOT(ISERROR(SEARCH(("PULM"),(AG44))))</formula>
    </cfRule>
    <cfRule type="containsText" priority="13022" operator="containsText" dxfId="7" text="RADIOLOGY">
      <formula>NOT(ISERROR(SEARCH(("RADIOLOGY"),(AG44))))</formula>
    </cfRule>
    <cfRule type="containsText" priority="13023" operator="containsText" dxfId="7" text="HEM/ONC">
      <formula>NOT(ISERROR(SEARCH(("HEM/ONC"),(AG44))))</formula>
    </cfRule>
    <cfRule type="containsText" priority="13024" operator="containsText" dxfId="7" text="CARDIO">
      <formula>NOT(ISERROR(SEARCH(("CARDIO"),(AG44))))</formula>
    </cfRule>
    <cfRule type="containsText" priority="13025" operator="containsText" dxfId="7" text="ID">
      <formula>NOT(ISERROR(SEARCH(("ID"),(AG44))))</formula>
    </cfRule>
    <cfRule type="containsText" priority="13026" operator="containsText" dxfId="7" text="NEURO">
      <formula>NOT(ISERROR(SEARCH(("NEURO"),(AG44))))</formula>
    </cfRule>
    <cfRule type="containsText" priority="13027" operator="containsText" dxfId="6" text="NEURO">
      <formula>NOT(ISERROR(SEARCH(("NEURO"),(AG44))))</formula>
    </cfRule>
    <cfRule type="containsText" priority="13028" operator="containsText" dxfId="5" text="NEURO">
      <formula>NOT(ISERROR(SEARCH(("NEURO"),(AG44))))</formula>
    </cfRule>
    <cfRule type="containsText" priority="13029" operator="containsText" dxfId="0" text="ICU N">
      <formula>NOT(ISERROR(SEARCH(("ICU N"),(AG44))))</formula>
    </cfRule>
    <cfRule type="containsText" priority="13030" operator="containsText" dxfId="3" text="ICU">
      <formula>NOT(ISERROR(SEARCH(("ICU"),(AG44))))</formula>
    </cfRule>
    <cfRule type="containsText" priority="13031" operator="containsText" dxfId="0" text="SWING">
      <formula>NOT(ISERROR(SEARCH(("SWING"),(AG44))))</formula>
    </cfRule>
    <cfRule type="containsText" priority="13032" operator="containsText" dxfId="0" text="NF">
      <formula>NOT(ISERROR(SEARCH(("NF"),(AG44))))</formula>
    </cfRule>
    <cfRule type="containsText" priority="13033" operator="containsText" dxfId="0" text="ICU N">
      <formula>NOT(ISERROR(SEARCH(("ICU N"),(AG44))))</formula>
    </cfRule>
    <cfRule type="containsText" priority="12999" operator="containsText" dxfId="17" text="VACATION">
      <formula>NOT(ISERROR(SEARCH(("VACATION"),(AG44))))</formula>
    </cfRule>
    <cfRule type="containsText" priority="13000" operator="containsText" dxfId="16" text="ED">
      <formula>NOT(ISERROR(SEARCH(("ED"),(AG44))))</formula>
    </cfRule>
    <cfRule type="containsText" priority="13001" operator="containsText" dxfId="15" text="GERIATRIC">
      <formula>NOT(ISERROR(SEARCH(("GERIATRIC"),(AG44))))</formula>
    </cfRule>
    <cfRule type="containsText" priority="13002" operator="containsText" dxfId="7" text="PATH">
      <formula>NOT(ISERROR(SEARCH(("PATH"),(AG44))))</formula>
    </cfRule>
    <cfRule type="containsText" priority="13003" operator="containsText" dxfId="7" text="NEPHRO">
      <formula>NOT(ISERROR(SEARCH(("NEPHRO"),(AG44))))</formula>
    </cfRule>
    <cfRule type="containsText" priority="13004" operator="containsText" dxfId="7" text="PULM">
      <formula>NOT(ISERROR(SEARCH(("PULM"),(AG44))))</formula>
    </cfRule>
    <cfRule type="containsText" priority="13005" operator="containsText" dxfId="7" text="RADIOLOGY">
      <formula>NOT(ISERROR(SEARCH(("RADIOLOGY"),(AG44))))</formula>
    </cfRule>
    <cfRule type="containsText" priority="13006" operator="containsText" dxfId="7" text="HEM/ONC">
      <formula>NOT(ISERROR(SEARCH(("HEM/ONC"),(AG44))))</formula>
    </cfRule>
    <cfRule type="containsText" priority="13007" operator="containsText" dxfId="7" text="CARDIO">
      <formula>NOT(ISERROR(SEARCH(("CARDIO"),(AG44))))</formula>
    </cfRule>
    <cfRule type="containsText" priority="13008" operator="containsText" dxfId="7" text="ID">
      <formula>NOT(ISERROR(SEARCH(("ID"),(AG44))))</formula>
    </cfRule>
    <cfRule type="containsText" priority="13009" operator="containsText" dxfId="7" text="NEURO">
      <formula>NOT(ISERROR(SEARCH(("NEURO"),(AG44))))</formula>
    </cfRule>
    <cfRule type="containsText" priority="13010" operator="containsText" dxfId="6" text="NEURO">
      <formula>NOT(ISERROR(SEARCH(("NEURO"),(AG44))))</formula>
    </cfRule>
    <cfRule type="containsText" priority="13011" operator="containsText" dxfId="5" text="NEURO">
      <formula>NOT(ISERROR(SEARCH(("NEURO"),(AG44))))</formula>
    </cfRule>
    <cfRule type="containsText" priority="13012" operator="containsText" dxfId="0" text="ICU N">
      <formula>NOT(ISERROR(SEARCH(("ICU N"),(AG44))))</formula>
    </cfRule>
    <cfRule type="containsText" priority="13013" operator="containsText" dxfId="3" text="ICU">
      <formula>NOT(ISERROR(SEARCH(("ICU"),(AG44))))</formula>
    </cfRule>
    <cfRule type="containsText" priority="13014" operator="containsText" dxfId="0" text="SWING">
      <formula>NOT(ISERROR(SEARCH(("SWING"),(AG44))))</formula>
    </cfRule>
    <cfRule type="containsText" priority="13015" operator="containsText" dxfId="0" text="NF">
      <formula>NOT(ISERROR(SEARCH(("NF"),(AG44))))</formula>
    </cfRule>
    <cfRule type="containsText" priority="12984" operator="containsText" dxfId="7" text="PATH">
      <formula>NOT(ISERROR(SEARCH(("PATH"),(AG44))))</formula>
    </cfRule>
    <cfRule type="containsText" priority="12985" operator="containsText" dxfId="7" text="NEPHRO">
      <formula>NOT(ISERROR(SEARCH(("NEPHRO"),(AG44))))</formula>
    </cfRule>
    <cfRule type="containsText" priority="12986" operator="containsText" dxfId="7" text="PULM">
      <formula>NOT(ISERROR(SEARCH(("PULM"),(AG44))))</formula>
    </cfRule>
    <cfRule type="containsText" priority="12987" operator="containsText" dxfId="7" text="RADIOLOGY">
      <formula>NOT(ISERROR(SEARCH(("RADIOLOGY"),(AG44))))</formula>
    </cfRule>
    <cfRule type="containsText" priority="12988" operator="containsText" dxfId="7" text="HEM/ONC">
      <formula>NOT(ISERROR(SEARCH(("HEM/ONC"),(AG44))))</formula>
    </cfRule>
    <cfRule type="containsText" priority="12989" operator="containsText" dxfId="7" text="CARDIO">
      <formula>NOT(ISERROR(SEARCH(("CARDIO"),(AG44))))</formula>
    </cfRule>
    <cfRule type="containsText" priority="12990" operator="containsText" dxfId="7" text="ID">
      <formula>NOT(ISERROR(SEARCH(("ID"),(AG44))))</formula>
    </cfRule>
    <cfRule type="containsText" priority="12991" operator="containsText" dxfId="7" text="NEURO">
      <formula>NOT(ISERROR(SEARCH(("NEURO"),(AG44))))</formula>
    </cfRule>
    <cfRule type="containsText" priority="12992" operator="containsText" dxfId="6" text="NEURO">
      <formula>NOT(ISERROR(SEARCH(("NEURO"),(AG44))))</formula>
    </cfRule>
    <cfRule type="containsText" priority="12993" operator="containsText" dxfId="5" text="NEURO">
      <formula>NOT(ISERROR(SEARCH(("NEURO"),(AG44))))</formula>
    </cfRule>
    <cfRule type="containsText" priority="12994" operator="containsText" dxfId="0" text="ICU N">
      <formula>NOT(ISERROR(SEARCH(("ICU N"),(AG44))))</formula>
    </cfRule>
    <cfRule type="containsText" priority="12995" operator="containsText" dxfId="3" text="ICU">
      <formula>NOT(ISERROR(SEARCH(("ICU"),(AG44))))</formula>
    </cfRule>
    <cfRule type="containsText" priority="12996" operator="containsText" dxfId="0" text="SWING">
      <formula>NOT(ISERROR(SEARCH(("SWING"),(AG44))))</formula>
    </cfRule>
    <cfRule type="containsText" priority="12997" operator="containsText" dxfId="0" text="NF">
      <formula>NOT(ISERROR(SEARCH(("NF"),(AG44))))</formula>
    </cfRule>
    <cfRule type="containsText" priority="12998" operator="containsText" dxfId="0" text="ICU N">
      <formula>NOT(ISERROR(SEARCH(("ICU N"),(AG44))))</formula>
    </cfRule>
  </conditionalFormatting>
  <conditionalFormatting sqref="AF55">
    <cfRule type="containsText" priority="12965" operator="containsText" dxfId="17" text="VACATION">
      <formula>NOT(ISERROR(SEARCH(("VACATION"),(AF55))))</formula>
    </cfRule>
    <cfRule type="containsText" priority="12966" operator="containsText" dxfId="16" text="ED">
      <formula>NOT(ISERROR(SEARCH(("ED"),(AF55))))</formula>
    </cfRule>
    <cfRule type="containsText" priority="12967" operator="containsText" dxfId="15" text="GERIATRIC">
      <formula>NOT(ISERROR(SEARCH(("GERIATRIC"),(AF55))))</formula>
    </cfRule>
    <cfRule type="containsText" priority="12968" operator="containsText" dxfId="17" text="VACATION">
      <formula>NOT(ISERROR(SEARCH(("VACATION"),(AF55))))</formula>
    </cfRule>
    <cfRule type="containsText" priority="12969" operator="containsText" dxfId="7" text="PATH">
      <formula>NOT(ISERROR(SEARCH(("PATH"),(AF55))))</formula>
    </cfRule>
    <cfRule type="containsText" priority="12970" operator="containsText" dxfId="7" text="NEPHRO">
      <formula>NOT(ISERROR(SEARCH(("NEPHRO"),(AF55))))</formula>
    </cfRule>
    <cfRule type="containsText" priority="12971" operator="containsText" dxfId="7" text="PULM">
      <formula>NOT(ISERROR(SEARCH(("PULM"),(AF55))))</formula>
    </cfRule>
    <cfRule type="containsText" priority="12972" operator="containsText" dxfId="7" text="RADIOLOGY">
      <formula>NOT(ISERROR(SEARCH(("RADIOLOGY"),(AF55))))</formula>
    </cfRule>
    <cfRule type="containsText" priority="12973" operator="containsText" dxfId="7" text="HEM/ONC">
      <formula>NOT(ISERROR(SEARCH(("HEM/ONC"),(AF55))))</formula>
    </cfRule>
    <cfRule type="containsText" priority="12974" operator="containsText" dxfId="7" text="CARDIO">
      <formula>NOT(ISERROR(SEARCH(("CARDIO"),(AF55))))</formula>
    </cfRule>
    <cfRule type="containsText" priority="12975" operator="containsText" dxfId="7" text="ID">
      <formula>NOT(ISERROR(SEARCH(("ID"),(AF55))))</formula>
    </cfRule>
    <cfRule type="containsText" priority="12976" operator="containsText" dxfId="7" text="NEURO">
      <formula>NOT(ISERROR(SEARCH(("NEURO"),(AF55))))</formula>
    </cfRule>
    <cfRule type="containsText" priority="12977" operator="containsText" dxfId="6" text="NEURO">
      <formula>NOT(ISERROR(SEARCH(("NEURO"),(AF55))))</formula>
    </cfRule>
    <cfRule type="containsText" priority="12978" operator="containsText" dxfId="5" text="NEURO">
      <formula>NOT(ISERROR(SEARCH(("NEURO"),(AF55))))</formula>
    </cfRule>
    <cfRule type="containsText" priority="12979" operator="containsText" dxfId="0" text="ICU N">
      <formula>NOT(ISERROR(SEARCH(("ICU N"),(AF55))))</formula>
    </cfRule>
    <cfRule type="containsText" priority="12980" operator="containsText" dxfId="3" text="ICU">
      <formula>NOT(ISERROR(SEARCH(("ICU"),(AF55))))</formula>
    </cfRule>
    <cfRule type="containsText" priority="12981" operator="containsText" dxfId="0" text="SWING">
      <formula>NOT(ISERROR(SEARCH(("SWING"),(AF55))))</formula>
    </cfRule>
    <cfRule type="containsText" priority="12982" operator="containsText" dxfId="0" text="NF">
      <formula>NOT(ISERROR(SEARCH(("NF"),(AF55))))</formula>
    </cfRule>
    <cfRule type="containsText" priority="12983" operator="containsText" dxfId="0" text="ICU N">
      <formula>NOT(ISERROR(SEARCH(("ICU N"),(AF55))))</formula>
    </cfRule>
    <cfRule type="containsText" priority="12951" operator="containsText" dxfId="15" text="GERIATRIC">
      <formula>NOT(ISERROR(SEARCH(("GERIATRIC"),(AF55))))</formula>
    </cfRule>
    <cfRule type="containsText" priority="12952" operator="containsText" dxfId="7" text="PATH">
      <formula>NOT(ISERROR(SEARCH(("PATH"),(AF55))))</formula>
    </cfRule>
    <cfRule type="containsText" priority="12953" operator="containsText" dxfId="7" text="NEPHRO">
      <formula>NOT(ISERROR(SEARCH(("NEPHRO"),(AF55))))</formula>
    </cfRule>
    <cfRule type="containsText" priority="12954" operator="containsText" dxfId="7" text="PULM">
      <formula>NOT(ISERROR(SEARCH(("PULM"),(AF55))))</formula>
    </cfRule>
    <cfRule type="containsText" priority="12955" operator="containsText" dxfId="7" text="RADIOLOGY">
      <formula>NOT(ISERROR(SEARCH(("RADIOLOGY"),(AF55))))</formula>
    </cfRule>
    <cfRule type="containsText" priority="12956" operator="containsText" dxfId="7" text="HEM/ONC">
      <formula>NOT(ISERROR(SEARCH(("HEM/ONC"),(AF55))))</formula>
    </cfRule>
    <cfRule type="containsText" priority="12957" operator="containsText" dxfId="7" text="CARDIO">
      <formula>NOT(ISERROR(SEARCH(("CARDIO"),(AF55))))</formula>
    </cfRule>
    <cfRule type="containsText" priority="12958" operator="containsText" dxfId="7" text="ID">
      <formula>NOT(ISERROR(SEARCH(("ID"),(AF55))))</formula>
    </cfRule>
    <cfRule type="containsText" priority="12959" operator="containsText" dxfId="7" text="NEURO">
      <formula>NOT(ISERROR(SEARCH(("NEURO"),(AF55))))</formula>
    </cfRule>
    <cfRule type="containsText" priority="12960" operator="containsText" dxfId="6" text="NEURO">
      <formula>NOT(ISERROR(SEARCH(("NEURO"),(AF55))))</formula>
    </cfRule>
    <cfRule type="containsText" priority="12961" operator="containsText" dxfId="5" text="NEURO">
      <formula>NOT(ISERROR(SEARCH(("NEURO"),(AF55))))</formula>
    </cfRule>
    <cfRule type="containsText" priority="12962" operator="containsText" dxfId="3" text="ICU">
      <formula>NOT(ISERROR(SEARCH(("ICU"),(AF55))))</formula>
    </cfRule>
    <cfRule type="containsText" priority="12963" operator="containsText" dxfId="0" text="SWING">
      <formula>NOT(ISERROR(SEARCH(("SWING"),(AF55))))</formula>
    </cfRule>
    <cfRule type="containsText" priority="12964" operator="containsText" dxfId="0" text="NF">
      <formula>NOT(ISERROR(SEARCH(("NF"),(AF55))))</formula>
    </cfRule>
  </conditionalFormatting>
  <conditionalFormatting sqref="AG55">
    <cfRule type="containsText" priority="12932" operator="containsText" dxfId="17" text="VACATION">
      <formula>NOT(ISERROR(SEARCH(("VACATION"),(AG55))))</formula>
    </cfRule>
    <cfRule type="containsText" priority="12933" operator="containsText" dxfId="16" text="ED">
      <formula>NOT(ISERROR(SEARCH(("ED"),(AG55))))</formula>
    </cfRule>
    <cfRule type="containsText" priority="12934" operator="containsText" dxfId="15" text="GERIATRIC">
      <formula>NOT(ISERROR(SEARCH(("GERIATRIC"),(AG55))))</formula>
    </cfRule>
    <cfRule type="containsText" priority="12935" operator="containsText" dxfId="17" text="VACATION">
      <formula>NOT(ISERROR(SEARCH(("VACATION"),(AG55))))</formula>
    </cfRule>
    <cfRule type="containsText" priority="12936" operator="containsText" dxfId="7" text="PATH">
      <formula>NOT(ISERROR(SEARCH(("PATH"),(AG55))))</formula>
    </cfRule>
    <cfRule type="containsText" priority="12937" operator="containsText" dxfId="7" text="NEPHRO">
      <formula>NOT(ISERROR(SEARCH(("NEPHRO"),(AG55))))</formula>
    </cfRule>
    <cfRule type="containsText" priority="12938" operator="containsText" dxfId="7" text="PULM">
      <formula>NOT(ISERROR(SEARCH(("PULM"),(AG55))))</formula>
    </cfRule>
    <cfRule type="containsText" priority="12939" operator="containsText" dxfId="7" text="RADIOLOGY">
      <formula>NOT(ISERROR(SEARCH(("RADIOLOGY"),(AG55))))</formula>
    </cfRule>
    <cfRule type="containsText" priority="12940" operator="containsText" dxfId="7" text="HEM/ONC">
      <formula>NOT(ISERROR(SEARCH(("HEM/ONC"),(AG55))))</formula>
    </cfRule>
    <cfRule type="containsText" priority="12941" operator="containsText" dxfId="7" text="CARDIO">
      <formula>NOT(ISERROR(SEARCH(("CARDIO"),(AG55))))</formula>
    </cfRule>
    <cfRule type="containsText" priority="12942" operator="containsText" dxfId="7" text="ID">
      <formula>NOT(ISERROR(SEARCH(("ID"),(AG55))))</formula>
    </cfRule>
    <cfRule type="containsText" priority="12943" operator="containsText" dxfId="7" text="NEURO">
      <formula>NOT(ISERROR(SEARCH(("NEURO"),(AG55))))</formula>
    </cfRule>
    <cfRule type="containsText" priority="12944" operator="containsText" dxfId="6" text="NEURO">
      <formula>NOT(ISERROR(SEARCH(("NEURO"),(AG55))))</formula>
    </cfRule>
    <cfRule type="containsText" priority="12945" operator="containsText" dxfId="5" text="NEURO">
      <formula>NOT(ISERROR(SEARCH(("NEURO"),(AG55))))</formula>
    </cfRule>
    <cfRule type="containsText" priority="12946" operator="containsText" dxfId="0" text="ICU N">
      <formula>NOT(ISERROR(SEARCH(("ICU N"),(AG55))))</formula>
    </cfRule>
    <cfRule type="containsText" priority="12947" operator="containsText" dxfId="3" text="ICU">
      <formula>NOT(ISERROR(SEARCH(("ICU"),(AG55))))</formula>
    </cfRule>
    <cfRule type="containsText" priority="12948" operator="containsText" dxfId="0" text="SWING">
      <formula>NOT(ISERROR(SEARCH(("SWING"),(AG55))))</formula>
    </cfRule>
    <cfRule type="containsText" priority="12949" operator="containsText" dxfId="0" text="NF">
      <formula>NOT(ISERROR(SEARCH(("NF"),(AG55))))</formula>
    </cfRule>
    <cfRule type="containsText" priority="12950" operator="containsText" dxfId="0" text="ICU N">
      <formula>NOT(ISERROR(SEARCH(("ICU N"),(AG55))))</formula>
    </cfRule>
    <cfRule type="containsText" priority="12918" operator="containsText" dxfId="15" text="GERIATRIC">
      <formula>NOT(ISERROR(SEARCH(("GERIATRIC"),(AG55))))</formula>
    </cfRule>
    <cfRule type="containsText" priority="12919" operator="containsText" dxfId="7" text="PATH">
      <formula>NOT(ISERROR(SEARCH(("PATH"),(AG55))))</formula>
    </cfRule>
    <cfRule type="containsText" priority="12920" operator="containsText" dxfId="7" text="NEPHRO">
      <formula>NOT(ISERROR(SEARCH(("NEPHRO"),(AG55))))</formula>
    </cfRule>
    <cfRule type="containsText" priority="12921" operator="containsText" dxfId="7" text="PULM">
      <formula>NOT(ISERROR(SEARCH(("PULM"),(AG55))))</formula>
    </cfRule>
    <cfRule type="containsText" priority="12922" operator="containsText" dxfId="7" text="RADIOLOGY">
      <formula>NOT(ISERROR(SEARCH(("RADIOLOGY"),(AG55))))</formula>
    </cfRule>
    <cfRule type="containsText" priority="12923" operator="containsText" dxfId="7" text="HEM/ONC">
      <formula>NOT(ISERROR(SEARCH(("HEM/ONC"),(AG55))))</formula>
    </cfRule>
    <cfRule type="containsText" priority="12924" operator="containsText" dxfId="7" text="CARDIO">
      <formula>NOT(ISERROR(SEARCH(("CARDIO"),(AG55))))</formula>
    </cfRule>
    <cfRule type="containsText" priority="12925" operator="containsText" dxfId="7" text="ID">
      <formula>NOT(ISERROR(SEARCH(("ID"),(AG55))))</formula>
    </cfRule>
    <cfRule type="containsText" priority="12926" operator="containsText" dxfId="7" text="NEURO">
      <formula>NOT(ISERROR(SEARCH(("NEURO"),(AG55))))</formula>
    </cfRule>
    <cfRule type="containsText" priority="12927" operator="containsText" dxfId="6" text="NEURO">
      <formula>NOT(ISERROR(SEARCH(("NEURO"),(AG55))))</formula>
    </cfRule>
    <cfRule type="containsText" priority="12928" operator="containsText" dxfId="5" text="NEURO">
      <formula>NOT(ISERROR(SEARCH(("NEURO"),(AG55))))</formula>
    </cfRule>
    <cfRule type="containsText" priority="12929" operator="containsText" dxfId="3" text="ICU">
      <formula>NOT(ISERROR(SEARCH(("ICU"),(AG55))))</formula>
    </cfRule>
    <cfRule type="containsText" priority="12930" operator="containsText" dxfId="0" text="SWING">
      <formula>NOT(ISERROR(SEARCH(("SWING"),(AG55))))</formula>
    </cfRule>
    <cfRule type="containsText" priority="12931" operator="containsText" dxfId="0" text="NF">
      <formula>NOT(ISERROR(SEARCH(("NF"),(AG55))))</formula>
    </cfRule>
  </conditionalFormatting>
  <conditionalFormatting sqref="AI14">
    <cfRule type="containsText" priority="12845" operator="containsText" dxfId="17" text="VACATION">
      <formula>NOT(ISERROR(SEARCH(("VACATION"),(AI14))))</formula>
    </cfRule>
  </conditionalFormatting>
  <conditionalFormatting sqref="AI15">
    <cfRule type="containsText" priority="12828" operator="containsText" dxfId="17" text="VACATION">
      <formula>NOT(ISERROR(SEARCH(("VACATION"),(AI15))))</formula>
    </cfRule>
    <cfRule type="containsText" priority="12829" operator="containsText" dxfId="16" text="ED">
      <formula>NOT(ISERROR(SEARCH(("ED"),(AI15))))</formula>
    </cfRule>
    <cfRule type="containsText" priority="12830" operator="containsText" dxfId="15" text="GERIATRIC">
      <formula>NOT(ISERROR(SEARCH(("GERIATRIC"),(AI15))))</formula>
    </cfRule>
    <cfRule type="containsText" priority="12831" operator="containsText" dxfId="7" text="PATH">
      <formula>NOT(ISERROR(SEARCH(("PATH"),(AI15))))</formula>
    </cfRule>
    <cfRule type="containsText" priority="12832" operator="containsText" dxfId="7" text="NEPHRO">
      <formula>NOT(ISERROR(SEARCH(("NEPHRO"),(AI15))))</formula>
    </cfRule>
    <cfRule type="containsText" priority="12833" operator="containsText" dxfId="7" text="PULM">
      <formula>NOT(ISERROR(SEARCH(("PULM"),(AI15))))</formula>
    </cfRule>
    <cfRule type="containsText" priority="12834" operator="containsText" dxfId="7" text="RADIOLOGY">
      <formula>NOT(ISERROR(SEARCH(("RADIOLOGY"),(AI15))))</formula>
    </cfRule>
    <cfRule type="containsText" priority="12835" operator="containsText" dxfId="7" text="HEM/ONC">
      <formula>NOT(ISERROR(SEARCH(("HEM/ONC"),(AI15))))</formula>
    </cfRule>
    <cfRule type="containsText" priority="12836" operator="containsText" dxfId="7" text="CARDIO">
      <formula>NOT(ISERROR(SEARCH(("CARDIO"),(AI15))))</formula>
    </cfRule>
    <cfRule type="containsText" priority="12837" operator="containsText" dxfId="7" text="ID">
      <formula>NOT(ISERROR(SEARCH(("ID"),(AI15))))</formula>
    </cfRule>
    <cfRule type="containsText" priority="12838" operator="containsText" dxfId="7" text="NEURO">
      <formula>NOT(ISERROR(SEARCH(("NEURO"),(AI15))))</formula>
    </cfRule>
    <cfRule type="containsText" priority="12839" operator="containsText" dxfId="6" text="NEURO">
      <formula>NOT(ISERROR(SEARCH(("NEURO"),(AI15))))</formula>
    </cfRule>
    <cfRule type="containsText" priority="12840" operator="containsText" dxfId="5" text="NEURO">
      <formula>NOT(ISERROR(SEARCH(("NEURO"),(AI15))))</formula>
    </cfRule>
    <cfRule type="containsText" priority="12841" operator="containsText" dxfId="0" text="ICU N">
      <formula>NOT(ISERROR(SEARCH(("ICU N"),(AI15))))</formula>
    </cfRule>
    <cfRule type="containsText" priority="12842" operator="containsText" dxfId="3" text="ICU">
      <formula>NOT(ISERROR(SEARCH(("ICU"),(AI15))))</formula>
    </cfRule>
    <cfRule type="containsText" priority="12843" operator="containsText" dxfId="0" text="SWING">
      <formula>NOT(ISERROR(SEARCH(("SWING"),(AI15))))</formula>
    </cfRule>
    <cfRule type="containsText" priority="12844" operator="containsText" dxfId="0" text="NF">
      <formula>NOT(ISERROR(SEARCH(("NF"),(AI15))))</formula>
    </cfRule>
    <cfRule type="containsText" priority="12827" operator="containsText" dxfId="17" text="VACATION">
      <formula>NOT(ISERROR(SEARCH(("VACATION"),(AI15))))</formula>
    </cfRule>
  </conditionalFormatting>
  <conditionalFormatting sqref="AJ14">
    <cfRule type="containsText" priority="12825" operator="containsText" dxfId="17" text="VACATION">
      <formula>NOT(ISERROR(SEARCH(("VACATION"),(AJ14))))</formula>
    </cfRule>
  </conditionalFormatting>
  <conditionalFormatting sqref="AJ15">
    <cfRule type="containsText" priority="12822" operator="containsText" dxfId="17" text="VACATION">
      <formula>NOT(ISERROR(SEARCH(("VACATION"),(AJ15))))</formula>
    </cfRule>
    <cfRule type="containsText" priority="12823" operator="containsText" dxfId="16" text="ED">
      <formula>NOT(ISERROR(SEARCH(("ED"),(AJ15))))</formula>
    </cfRule>
    <cfRule type="containsText" priority="12824" operator="containsText" dxfId="15" text="GERIATRIC">
      <formula>NOT(ISERROR(SEARCH(("GERIATRIC"),(AJ15))))</formula>
    </cfRule>
    <cfRule type="containsText" priority="12821" operator="containsText" dxfId="17" text="VACATION">
      <formula>NOT(ISERROR(SEARCH(("VACATION"),(AJ15))))</formula>
    </cfRule>
    <cfRule type="containsText" priority="6360" operator="containsText" dxfId="17" text="VACATION">
      <formula>NOT(ISERROR(SEARCH(("VACATION"),(AJ15))))</formula>
    </cfRule>
    <cfRule type="containsText" priority="6361" operator="containsText" dxfId="16" text="ED">
      <formula>NOT(ISERROR(SEARCH(("ED"),(AJ15))))</formula>
    </cfRule>
    <cfRule type="containsText" priority="6362" operator="containsText" dxfId="15" text="GERIATRIC">
      <formula>NOT(ISERROR(SEARCH(("GERIATRIC"),(AJ15))))</formula>
    </cfRule>
  </conditionalFormatting>
  <conditionalFormatting sqref="AE55">
    <cfRule type="containsText" priority="12803" operator="containsText" dxfId="16" text="ED">
      <formula>NOT(ISERROR(SEARCH(("ED"),(AE55))))</formula>
    </cfRule>
    <cfRule type="containsText" priority="12804" operator="containsText" dxfId="15" text="GERIATRIC">
      <formula>NOT(ISERROR(SEARCH(("GERIATRIC"),(AE55))))</formula>
    </cfRule>
    <cfRule type="containsText" priority="12805" operator="containsText" dxfId="17" text="VACATION">
      <formula>NOT(ISERROR(SEARCH(("VACATION"),(AE55))))</formula>
    </cfRule>
    <cfRule type="containsText" priority="12806" operator="containsText" dxfId="7" text="PATH">
      <formula>NOT(ISERROR(SEARCH(("PATH"),(AE55))))</formula>
    </cfRule>
    <cfRule type="containsText" priority="12807" operator="containsText" dxfId="7" text="NEPHRO">
      <formula>NOT(ISERROR(SEARCH(("NEPHRO"),(AE55))))</formula>
    </cfRule>
    <cfRule type="containsText" priority="12808" operator="containsText" dxfId="7" text="PULM">
      <formula>NOT(ISERROR(SEARCH(("PULM"),(AE55))))</formula>
    </cfRule>
    <cfRule type="containsText" priority="12809" operator="containsText" dxfId="7" text="RADIOLOGY">
      <formula>NOT(ISERROR(SEARCH(("RADIOLOGY"),(AE55))))</formula>
    </cfRule>
    <cfRule type="containsText" priority="12810" operator="containsText" dxfId="7" text="HEM/ONC">
      <formula>NOT(ISERROR(SEARCH(("HEM/ONC"),(AE55))))</formula>
    </cfRule>
    <cfRule type="containsText" priority="12811" operator="containsText" dxfId="7" text="CARDIO">
      <formula>NOT(ISERROR(SEARCH(("CARDIO"),(AE55))))</formula>
    </cfRule>
    <cfRule type="containsText" priority="12812" operator="containsText" dxfId="7" text="ID">
      <formula>NOT(ISERROR(SEARCH(("ID"),(AE55))))</formula>
    </cfRule>
    <cfRule type="containsText" priority="12813" operator="containsText" dxfId="7" text="NEURO">
      <formula>NOT(ISERROR(SEARCH(("NEURO"),(AE55))))</formula>
    </cfRule>
    <cfRule type="containsText" priority="12814" operator="containsText" dxfId="6" text="NEURO">
      <formula>NOT(ISERROR(SEARCH(("NEURO"),(AE55))))</formula>
    </cfRule>
    <cfRule type="containsText" priority="12815" operator="containsText" dxfId="5" text="NEURO">
      <formula>NOT(ISERROR(SEARCH(("NEURO"),(AE55))))</formula>
    </cfRule>
    <cfRule type="containsText" priority="12816" operator="containsText" dxfId="0" text="ICU N">
      <formula>NOT(ISERROR(SEARCH(("ICU N"),(AE55))))</formula>
    </cfRule>
    <cfRule type="containsText" priority="12817" operator="containsText" dxfId="3" text="ICU">
      <formula>NOT(ISERROR(SEARCH(("ICU"),(AE55))))</formula>
    </cfRule>
    <cfRule type="containsText" priority="12818" operator="containsText" dxfId="0" text="SWING">
      <formula>NOT(ISERROR(SEARCH(("SWING"),(AE55))))</formula>
    </cfRule>
    <cfRule type="containsText" priority="12819" operator="containsText" dxfId="0" text="NF">
      <formula>NOT(ISERROR(SEARCH(("NF"),(AE55))))</formula>
    </cfRule>
    <cfRule type="containsText" priority="12820" operator="containsText" dxfId="0" text="ICU N">
      <formula>NOT(ISERROR(SEARCH(("ICU N"),(AE55))))</formula>
    </cfRule>
    <cfRule type="containsText" priority="12786" operator="containsText" dxfId="17" text="VACATION">
      <formula>NOT(ISERROR(SEARCH(("VACATION"),(AE55))))</formula>
    </cfRule>
    <cfRule type="containsText" priority="12787" operator="containsText" dxfId="16" text="ED">
      <formula>NOT(ISERROR(SEARCH(("ED"),(AE55))))</formula>
    </cfRule>
    <cfRule type="containsText" priority="12788" operator="containsText" dxfId="15" text="GERIATRIC">
      <formula>NOT(ISERROR(SEARCH(("GERIATRIC"),(AE55))))</formula>
    </cfRule>
    <cfRule type="containsText" priority="12789" operator="containsText" dxfId="7" text="PATH">
      <formula>NOT(ISERROR(SEARCH(("PATH"),(AE55))))</formula>
    </cfRule>
    <cfRule type="containsText" priority="12790" operator="containsText" dxfId="7" text="NEPHRO">
      <formula>NOT(ISERROR(SEARCH(("NEPHRO"),(AE55))))</formula>
    </cfRule>
    <cfRule type="containsText" priority="12791" operator="containsText" dxfId="7" text="PULM">
      <formula>NOT(ISERROR(SEARCH(("PULM"),(AE55))))</formula>
    </cfRule>
    <cfRule type="containsText" priority="12792" operator="containsText" dxfId="7" text="RADIOLOGY">
      <formula>NOT(ISERROR(SEARCH(("RADIOLOGY"),(AE55))))</formula>
    </cfRule>
    <cfRule type="containsText" priority="12793" operator="containsText" dxfId="7" text="HEM/ONC">
      <formula>NOT(ISERROR(SEARCH(("HEM/ONC"),(AE55))))</formula>
    </cfRule>
    <cfRule type="containsText" priority="12794" operator="containsText" dxfId="7" text="CARDIO">
      <formula>NOT(ISERROR(SEARCH(("CARDIO"),(AE55))))</formula>
    </cfRule>
    <cfRule type="containsText" priority="12795" operator="containsText" dxfId="7" text="ID">
      <formula>NOT(ISERROR(SEARCH(("ID"),(AE55))))</formula>
    </cfRule>
    <cfRule type="containsText" priority="12796" operator="containsText" dxfId="7" text="NEURO">
      <formula>NOT(ISERROR(SEARCH(("NEURO"),(AE55))))</formula>
    </cfRule>
    <cfRule type="containsText" priority="12797" operator="containsText" dxfId="6" text="NEURO">
      <formula>NOT(ISERROR(SEARCH(("NEURO"),(AE55))))</formula>
    </cfRule>
    <cfRule type="containsText" priority="12798" operator="containsText" dxfId="5" text="NEURO">
      <formula>NOT(ISERROR(SEARCH(("NEURO"),(AE55))))</formula>
    </cfRule>
    <cfRule type="containsText" priority="12799" operator="containsText" dxfId="0" text="ICU N">
      <formula>NOT(ISERROR(SEARCH(("ICU N"),(AE55))))</formula>
    </cfRule>
    <cfRule type="containsText" priority="12800" operator="containsText" dxfId="3" text="ICU">
      <formula>NOT(ISERROR(SEARCH(("ICU"),(AE55))))</formula>
    </cfRule>
    <cfRule type="containsText" priority="12801" operator="containsText" dxfId="0" text="SWING">
      <formula>NOT(ISERROR(SEARCH(("SWING"),(AE55))))</formula>
    </cfRule>
    <cfRule type="containsText" priority="12802" operator="containsText" dxfId="0" text="NF">
      <formula>NOT(ISERROR(SEARCH(("NF"),(AE55))))</formula>
    </cfRule>
    <cfRule type="containsText" priority="12771" operator="containsText" dxfId="7" text="PATH">
      <formula>NOT(ISERROR(SEARCH(("PATH"),(AE55))))</formula>
    </cfRule>
    <cfRule type="containsText" priority="12772" operator="containsText" dxfId="7" text="NEPHRO">
      <formula>NOT(ISERROR(SEARCH(("NEPHRO"),(AE55))))</formula>
    </cfRule>
    <cfRule type="containsText" priority="12773" operator="containsText" dxfId="7" text="PULM">
      <formula>NOT(ISERROR(SEARCH(("PULM"),(AE55))))</formula>
    </cfRule>
    <cfRule type="containsText" priority="12774" operator="containsText" dxfId="7" text="RADIOLOGY">
      <formula>NOT(ISERROR(SEARCH(("RADIOLOGY"),(AE55))))</formula>
    </cfRule>
    <cfRule type="containsText" priority="12775" operator="containsText" dxfId="7" text="HEM/ONC">
      <formula>NOT(ISERROR(SEARCH(("HEM/ONC"),(AE55))))</formula>
    </cfRule>
    <cfRule type="containsText" priority="12776" operator="containsText" dxfId="7" text="CARDIO">
      <formula>NOT(ISERROR(SEARCH(("CARDIO"),(AE55))))</formula>
    </cfRule>
    <cfRule type="containsText" priority="12777" operator="containsText" dxfId="7" text="ID">
      <formula>NOT(ISERROR(SEARCH(("ID"),(AE55))))</formula>
    </cfRule>
    <cfRule type="containsText" priority="12778" operator="containsText" dxfId="7" text="NEURO">
      <formula>NOT(ISERROR(SEARCH(("NEURO"),(AE55))))</formula>
    </cfRule>
    <cfRule type="containsText" priority="12779" operator="containsText" dxfId="6" text="NEURO">
      <formula>NOT(ISERROR(SEARCH(("NEURO"),(AE55))))</formula>
    </cfRule>
    <cfRule type="containsText" priority="12780" operator="containsText" dxfId="5" text="NEURO">
      <formula>NOT(ISERROR(SEARCH(("NEURO"),(AE55))))</formula>
    </cfRule>
    <cfRule type="containsText" priority="12781" operator="containsText" dxfId="0" text="ICU N">
      <formula>NOT(ISERROR(SEARCH(("ICU N"),(AE55))))</formula>
    </cfRule>
    <cfRule type="containsText" priority="12782" operator="containsText" dxfId="3" text="ICU">
      <formula>NOT(ISERROR(SEARCH(("ICU"),(AE55))))</formula>
    </cfRule>
    <cfRule type="containsText" priority="12783" operator="containsText" dxfId="0" text="SWING">
      <formula>NOT(ISERROR(SEARCH(("SWING"),(AE55))))</formula>
    </cfRule>
    <cfRule type="containsText" priority="12784" operator="containsText" dxfId="0" text="NF">
      <formula>NOT(ISERROR(SEARCH(("NF"),(AE55))))</formula>
    </cfRule>
    <cfRule type="containsText" priority="12785" operator="containsText" dxfId="0" text="ICU N">
      <formula>NOT(ISERROR(SEARCH(("ICU N"),(AE55))))</formula>
    </cfRule>
  </conditionalFormatting>
  <conditionalFormatting sqref="Y46">
    <cfRule type="containsText" priority="12755" operator="containsText" dxfId="16" text="ED">
      <formula>NOT(ISERROR(SEARCH(("ED"),(Y46))))</formula>
    </cfRule>
    <cfRule type="containsText" priority="12756" operator="containsText" dxfId="15" text="GERIATRIC">
      <formula>NOT(ISERROR(SEARCH(("GERIATRIC"),(Y46))))</formula>
    </cfRule>
    <cfRule type="containsText" priority="12757" operator="containsText" dxfId="7" text="PATH">
      <formula>NOT(ISERROR(SEARCH(("PATH"),(Y46))))</formula>
    </cfRule>
    <cfRule type="containsText" priority="12758" operator="containsText" dxfId="7" text="NEPHRO">
      <formula>NOT(ISERROR(SEARCH(("NEPHRO"),(Y46))))</formula>
    </cfRule>
    <cfRule type="containsText" priority="12759" operator="containsText" dxfId="7" text="PULM">
      <formula>NOT(ISERROR(SEARCH(("PULM"),(Y46))))</formula>
    </cfRule>
    <cfRule type="containsText" priority="12760" operator="containsText" dxfId="7" text="RADIOLOGY">
      <formula>NOT(ISERROR(SEARCH(("RADIOLOGY"),(Y46))))</formula>
    </cfRule>
    <cfRule type="containsText" priority="12761" operator="containsText" dxfId="7" text="HEM/ONC">
      <formula>NOT(ISERROR(SEARCH(("HEM/ONC"),(Y46))))</formula>
    </cfRule>
    <cfRule type="containsText" priority="12762" operator="containsText" dxfId="7" text="CARDIO">
      <formula>NOT(ISERROR(SEARCH(("CARDIO"),(Y46))))</formula>
    </cfRule>
    <cfRule type="containsText" priority="12763" operator="containsText" dxfId="7" text="ID">
      <formula>NOT(ISERROR(SEARCH(("ID"),(Y46))))</formula>
    </cfRule>
    <cfRule type="containsText" priority="12764" operator="containsText" dxfId="7" text="NEURO">
      <formula>NOT(ISERROR(SEARCH(("NEURO"),(Y46))))</formula>
    </cfRule>
    <cfRule type="containsText" priority="12765" operator="containsText" dxfId="6" text="NEURO">
      <formula>NOT(ISERROR(SEARCH(("NEURO"),(Y46))))</formula>
    </cfRule>
    <cfRule type="containsText" priority="12766" operator="containsText" dxfId="5" text="NEURO">
      <formula>NOT(ISERROR(SEARCH(("NEURO"),(Y46))))</formula>
    </cfRule>
    <cfRule type="containsText" priority="12767" operator="containsText" dxfId="0" text="ICU N">
      <formula>NOT(ISERROR(SEARCH(("ICU N"),(Y46))))</formula>
    </cfRule>
    <cfRule type="containsText" priority="12768" operator="containsText" dxfId="3" text="ICU">
      <formula>NOT(ISERROR(SEARCH(("ICU"),(Y46))))</formula>
    </cfRule>
    <cfRule type="containsText" priority="12769" operator="containsText" dxfId="0" text="SWING">
      <formula>NOT(ISERROR(SEARCH(("SWING"),(Y46))))</formula>
    </cfRule>
    <cfRule type="containsText" priority="12770" operator="containsText" dxfId="0" text="NF">
      <formula>NOT(ISERROR(SEARCH(("NF"),(Y46))))</formula>
    </cfRule>
    <cfRule type="containsText" priority="9776" operator="containsText" dxfId="16" text="ED">
      <formula>NOT(ISERROR(SEARCH(("ED"),(Y46))))</formula>
    </cfRule>
    <cfRule type="containsText" priority="9777" operator="containsText" dxfId="15" text="GERIATRIC">
      <formula>NOT(ISERROR(SEARCH(("GERIATRIC"),(Y46))))</formula>
    </cfRule>
    <cfRule type="containsText" priority="9778" operator="containsText" dxfId="7" text="PATH">
      <formula>NOT(ISERROR(SEARCH(("PATH"),(Y46))))</formula>
    </cfRule>
    <cfRule type="containsText" priority="9779" operator="containsText" dxfId="7" text="NEPHRO">
      <formula>NOT(ISERROR(SEARCH(("NEPHRO"),(Y46))))</formula>
    </cfRule>
    <cfRule type="containsText" priority="9780" operator="containsText" dxfId="7" text="PULM">
      <formula>NOT(ISERROR(SEARCH(("PULM"),(Y46))))</formula>
    </cfRule>
    <cfRule type="containsText" priority="9781" operator="containsText" dxfId="7" text="RADIOLOGY">
      <formula>NOT(ISERROR(SEARCH(("RADIOLOGY"),(Y46))))</formula>
    </cfRule>
    <cfRule type="containsText" priority="9782" operator="containsText" dxfId="7" text="HEM/ONC">
      <formula>NOT(ISERROR(SEARCH(("HEM/ONC"),(Y46))))</formula>
    </cfRule>
    <cfRule type="containsText" priority="9783" operator="containsText" dxfId="7" text="CARDIO">
      <formula>NOT(ISERROR(SEARCH(("CARDIO"),(Y46))))</formula>
    </cfRule>
    <cfRule type="containsText" priority="9784" operator="containsText" dxfId="7" text="ID">
      <formula>NOT(ISERROR(SEARCH(("ID"),(Y46))))</formula>
    </cfRule>
    <cfRule type="containsText" priority="9785" operator="containsText" dxfId="7" text="NEURO">
      <formula>NOT(ISERROR(SEARCH(("NEURO"),(Y46))))</formula>
    </cfRule>
    <cfRule type="containsText" priority="9786" operator="containsText" dxfId="6" text="NEURO">
      <formula>NOT(ISERROR(SEARCH(("NEURO"),(Y46))))</formula>
    </cfRule>
    <cfRule type="containsText" priority="9787" operator="containsText" dxfId="5" text="NEURO">
      <formula>NOT(ISERROR(SEARCH(("NEURO"),(Y46))))</formula>
    </cfRule>
    <cfRule type="containsText" priority="9788" operator="containsText" dxfId="0" text="ICU N">
      <formula>NOT(ISERROR(SEARCH(("ICU N"),(Y46))))</formula>
    </cfRule>
    <cfRule type="containsText" priority="9789" operator="containsText" dxfId="3" text="ICU">
      <formula>NOT(ISERROR(SEARCH(("ICU"),(Y46))))</formula>
    </cfRule>
    <cfRule type="containsText" priority="9790" operator="containsText" dxfId="0" text="SWING">
      <formula>NOT(ISERROR(SEARCH(("SWING"),(Y46))))</formula>
    </cfRule>
    <cfRule type="containsText" priority="9791" operator="containsText" dxfId="0" text="NF">
      <formula>NOT(ISERROR(SEARCH(("NF"),(Y46))))</formula>
    </cfRule>
  </conditionalFormatting>
  <conditionalFormatting sqref="Z46">
    <cfRule type="containsText" priority="12739" operator="containsText" dxfId="16" text="ED">
      <formula>NOT(ISERROR(SEARCH(("ED"),(Z46))))</formula>
    </cfRule>
    <cfRule type="containsText" priority="12740" operator="containsText" dxfId="15" text="GERIATRIC">
      <formula>NOT(ISERROR(SEARCH(("GERIATRIC"),(Z46))))</formula>
    </cfRule>
    <cfRule type="containsText" priority="12741" operator="containsText" dxfId="7" text="PATH">
      <formula>NOT(ISERROR(SEARCH(("PATH"),(Z46))))</formula>
    </cfRule>
    <cfRule type="containsText" priority="12742" operator="containsText" dxfId="7" text="NEPHRO">
      <formula>NOT(ISERROR(SEARCH(("NEPHRO"),(Z46))))</formula>
    </cfRule>
    <cfRule type="containsText" priority="12743" operator="containsText" dxfId="7" text="PULM">
      <formula>NOT(ISERROR(SEARCH(("PULM"),(Z46))))</formula>
    </cfRule>
    <cfRule type="containsText" priority="12744" operator="containsText" dxfId="7" text="RADIOLOGY">
      <formula>NOT(ISERROR(SEARCH(("RADIOLOGY"),(Z46))))</formula>
    </cfRule>
    <cfRule type="containsText" priority="12745" operator="containsText" dxfId="7" text="HEM/ONC">
      <formula>NOT(ISERROR(SEARCH(("HEM/ONC"),(Z46))))</formula>
    </cfRule>
    <cfRule type="containsText" priority="12746" operator="containsText" dxfId="7" text="CARDIO">
      <formula>NOT(ISERROR(SEARCH(("CARDIO"),(Z46))))</formula>
    </cfRule>
    <cfRule type="containsText" priority="12747" operator="containsText" dxfId="7" text="ID">
      <formula>NOT(ISERROR(SEARCH(("ID"),(Z46))))</formula>
    </cfRule>
    <cfRule type="containsText" priority="12748" operator="containsText" dxfId="7" text="NEURO">
      <formula>NOT(ISERROR(SEARCH(("NEURO"),(Z46))))</formula>
    </cfRule>
    <cfRule type="containsText" priority="12749" operator="containsText" dxfId="6" text="NEURO">
      <formula>NOT(ISERROR(SEARCH(("NEURO"),(Z46))))</formula>
    </cfRule>
    <cfRule type="containsText" priority="12750" operator="containsText" dxfId="5" text="NEURO">
      <formula>NOT(ISERROR(SEARCH(("NEURO"),(Z46))))</formula>
    </cfRule>
    <cfRule type="containsText" priority="12751" operator="containsText" dxfId="0" text="ICU N">
      <formula>NOT(ISERROR(SEARCH(("ICU N"),(Z46))))</formula>
    </cfRule>
    <cfRule type="containsText" priority="12752" operator="containsText" dxfId="3" text="ICU">
      <formula>NOT(ISERROR(SEARCH(("ICU"),(Z46))))</formula>
    </cfRule>
    <cfRule type="containsText" priority="12753" operator="containsText" dxfId="0" text="SWING">
      <formula>NOT(ISERROR(SEARCH(("SWING"),(Z46))))</formula>
    </cfRule>
    <cfRule type="containsText" priority="12754" operator="containsText" dxfId="0" text="NF">
      <formula>NOT(ISERROR(SEARCH(("NF"),(Z46))))</formula>
    </cfRule>
    <cfRule type="containsText" priority="9760" operator="containsText" dxfId="16" text="ED">
      <formula>NOT(ISERROR(SEARCH(("ED"),(Z46))))</formula>
    </cfRule>
    <cfRule type="containsText" priority="9761" operator="containsText" dxfId="15" text="GERIATRIC">
      <formula>NOT(ISERROR(SEARCH(("GERIATRIC"),(Z46))))</formula>
    </cfRule>
    <cfRule type="containsText" priority="9762" operator="containsText" dxfId="7" text="PATH">
      <formula>NOT(ISERROR(SEARCH(("PATH"),(Z46))))</formula>
    </cfRule>
    <cfRule type="containsText" priority="9763" operator="containsText" dxfId="7" text="NEPHRO">
      <formula>NOT(ISERROR(SEARCH(("NEPHRO"),(Z46))))</formula>
    </cfRule>
    <cfRule type="containsText" priority="9764" operator="containsText" dxfId="7" text="PULM">
      <formula>NOT(ISERROR(SEARCH(("PULM"),(Z46))))</formula>
    </cfRule>
    <cfRule type="containsText" priority="9765" operator="containsText" dxfId="7" text="RADIOLOGY">
      <formula>NOT(ISERROR(SEARCH(("RADIOLOGY"),(Z46))))</formula>
    </cfRule>
    <cfRule type="containsText" priority="9766" operator="containsText" dxfId="7" text="HEM/ONC">
      <formula>NOT(ISERROR(SEARCH(("HEM/ONC"),(Z46))))</formula>
    </cfRule>
    <cfRule type="containsText" priority="9767" operator="containsText" dxfId="7" text="CARDIO">
      <formula>NOT(ISERROR(SEARCH(("CARDIO"),(Z46))))</formula>
    </cfRule>
    <cfRule type="containsText" priority="9768" operator="containsText" dxfId="7" text="ID">
      <formula>NOT(ISERROR(SEARCH(("ID"),(Z46))))</formula>
    </cfRule>
    <cfRule type="containsText" priority="9769" operator="containsText" dxfId="7" text="NEURO">
      <formula>NOT(ISERROR(SEARCH(("NEURO"),(Z46))))</formula>
    </cfRule>
    <cfRule type="containsText" priority="9770" operator="containsText" dxfId="6" text="NEURO">
      <formula>NOT(ISERROR(SEARCH(("NEURO"),(Z46))))</formula>
    </cfRule>
    <cfRule type="containsText" priority="9771" operator="containsText" dxfId="5" text="NEURO">
      <formula>NOT(ISERROR(SEARCH(("NEURO"),(Z46))))</formula>
    </cfRule>
    <cfRule type="containsText" priority="9772" operator="containsText" dxfId="0" text="ICU N">
      <formula>NOT(ISERROR(SEARCH(("ICU N"),(Z46))))</formula>
    </cfRule>
    <cfRule type="containsText" priority="9773" operator="containsText" dxfId="3" text="ICU">
      <formula>NOT(ISERROR(SEARCH(("ICU"),(Z46))))</formula>
    </cfRule>
    <cfRule type="containsText" priority="9774" operator="containsText" dxfId="0" text="SWING">
      <formula>NOT(ISERROR(SEARCH(("SWING"),(Z46))))</formula>
    </cfRule>
    <cfRule type="containsText" priority="9775" operator="containsText" dxfId="0" text="NF">
      <formula>NOT(ISERROR(SEARCH(("NF"),(Z46))))</formula>
    </cfRule>
  </conditionalFormatting>
  <conditionalFormatting sqref="AL39">
    <cfRule type="containsText" priority="12688" operator="containsText" dxfId="17" text="VACATION">
      <formula>NOT(ISERROR(SEARCH(("VACATION"),(AL39))))</formula>
    </cfRule>
    <cfRule type="containsText" priority="12689" operator="containsText" dxfId="16" text="ED">
      <formula>NOT(ISERROR(SEARCH(("ED"),(AL39))))</formula>
    </cfRule>
    <cfRule type="containsText" priority="12690" operator="containsText" dxfId="15" text="GERIATRIC">
      <formula>NOT(ISERROR(SEARCH(("GERIATRIC"),(AL39))))</formula>
    </cfRule>
    <cfRule type="containsText" priority="12691" operator="containsText" dxfId="7" text="PATH">
      <formula>NOT(ISERROR(SEARCH(("PATH"),(AL39))))</formula>
    </cfRule>
    <cfRule type="containsText" priority="12692" operator="containsText" dxfId="7" text="NEPHRO">
      <formula>NOT(ISERROR(SEARCH(("NEPHRO"),(AL39))))</formula>
    </cfRule>
    <cfRule type="containsText" priority="12693" operator="containsText" dxfId="7" text="PULM">
      <formula>NOT(ISERROR(SEARCH(("PULM"),(AL39))))</formula>
    </cfRule>
    <cfRule type="containsText" priority="12694" operator="containsText" dxfId="7" text="RADIOLOGY">
      <formula>NOT(ISERROR(SEARCH(("RADIOLOGY"),(AL39))))</formula>
    </cfRule>
    <cfRule type="containsText" priority="12695" operator="containsText" dxfId="7" text="HEM/ONC">
      <formula>NOT(ISERROR(SEARCH(("HEM/ONC"),(AL39))))</formula>
    </cfRule>
    <cfRule type="containsText" priority="12696" operator="containsText" dxfId="7" text="CARDIO">
      <formula>NOT(ISERROR(SEARCH(("CARDIO"),(AL39))))</formula>
    </cfRule>
    <cfRule type="containsText" priority="12697" operator="containsText" dxfId="7" text="ID">
      <formula>NOT(ISERROR(SEARCH(("ID"),(AL39))))</formula>
    </cfRule>
    <cfRule type="containsText" priority="12698" operator="containsText" dxfId="7" text="NEURO">
      <formula>NOT(ISERROR(SEARCH(("NEURO"),(AL39))))</formula>
    </cfRule>
    <cfRule type="containsText" priority="12699" operator="containsText" dxfId="6" text="NEURO">
      <formula>NOT(ISERROR(SEARCH(("NEURO"),(AL39))))</formula>
    </cfRule>
    <cfRule type="containsText" priority="12700" operator="containsText" dxfId="5" text="NEURO">
      <formula>NOT(ISERROR(SEARCH(("NEURO"),(AL39))))</formula>
    </cfRule>
    <cfRule type="containsText" priority="12701" operator="containsText" dxfId="0" text="ICU N">
      <formula>NOT(ISERROR(SEARCH(("ICU N"),(AL39))))</formula>
    </cfRule>
    <cfRule type="containsText" priority="12702" operator="containsText" dxfId="3" text="ICU">
      <formula>NOT(ISERROR(SEARCH(("ICU"),(AL39))))</formula>
    </cfRule>
    <cfRule type="containsText" priority="12703" operator="containsText" dxfId="0" text="SWING">
      <formula>NOT(ISERROR(SEARCH(("SWING"),(AL39))))</formula>
    </cfRule>
    <cfRule type="containsText" priority="12704" operator="containsText" dxfId="0" text="NF">
      <formula>NOT(ISERROR(SEARCH(("NF"),(AL39))))</formula>
    </cfRule>
  </conditionalFormatting>
  <conditionalFormatting sqref="Z42:Z43">
    <cfRule type="containsText" priority="12686" operator="containsText" dxfId="17" text="VACATION">
      <formula>NOT(ISERROR(SEARCH(("VACATION"),(Z42))))</formula>
    </cfRule>
    <cfRule type="containsText" priority="12687" operator="containsText" dxfId="0" text="ICU N">
      <formula>NOT(ISERROR(SEARCH(("ICU N"),(Z42))))</formula>
    </cfRule>
    <cfRule type="containsText" priority="12685" operator="containsText" dxfId="17" text="VACATION">
      <formula>NOT(ISERROR(SEARCH(("VACATION"),(Z42))))</formula>
    </cfRule>
    <cfRule type="containsText" priority="12670" operator="containsText" dxfId="7" text="PATH">
      <formula>NOT(ISERROR(SEARCH(("PATH"),(Z42))))</formula>
    </cfRule>
    <cfRule type="containsText" priority="12671" operator="containsText" dxfId="7" text="NEPHRO">
      <formula>NOT(ISERROR(SEARCH(("NEPHRO"),(Z42))))</formula>
    </cfRule>
    <cfRule type="containsText" priority="12672" operator="containsText" dxfId="7" text="PULM">
      <formula>NOT(ISERROR(SEARCH(("PULM"),(Z42))))</formula>
    </cfRule>
    <cfRule type="containsText" priority="12673" operator="containsText" dxfId="7" text="RADIOLOGY">
      <formula>NOT(ISERROR(SEARCH(("RADIOLOGY"),(Z42))))</formula>
    </cfRule>
    <cfRule type="containsText" priority="12674" operator="containsText" dxfId="7" text="HEM/ONC">
      <formula>NOT(ISERROR(SEARCH(("HEM/ONC"),(Z42))))</formula>
    </cfRule>
    <cfRule type="containsText" priority="12675" operator="containsText" dxfId="7" text="CARDIO">
      <formula>NOT(ISERROR(SEARCH(("CARDIO"),(Z42))))</formula>
    </cfRule>
    <cfRule type="containsText" priority="12676" operator="containsText" dxfId="7" text="ID">
      <formula>NOT(ISERROR(SEARCH(("ID"),(Z42))))</formula>
    </cfRule>
    <cfRule type="containsText" priority="12677" operator="containsText" dxfId="7" text="NEURO">
      <formula>NOT(ISERROR(SEARCH(("NEURO"),(Z42))))</formula>
    </cfRule>
    <cfRule type="containsText" priority="12678" operator="containsText" dxfId="6" text="NEURO">
      <formula>NOT(ISERROR(SEARCH(("NEURO"),(Z42))))</formula>
    </cfRule>
    <cfRule type="containsText" priority="12679" operator="containsText" dxfId="5" text="NEURO">
      <formula>NOT(ISERROR(SEARCH(("NEURO"),(Z42))))</formula>
    </cfRule>
    <cfRule type="containsText" priority="12680" operator="containsText" dxfId="0" text="ICU N">
      <formula>NOT(ISERROR(SEARCH(("ICU N"),(Z42))))</formula>
    </cfRule>
    <cfRule type="containsText" priority="12681" operator="containsText" dxfId="3" text="ICU">
      <formula>NOT(ISERROR(SEARCH(("ICU"),(Z42))))</formula>
    </cfRule>
    <cfRule type="containsText" priority="12682" operator="containsText" dxfId="0" text="SWING">
      <formula>NOT(ISERROR(SEARCH(("SWING"),(Z42))))</formula>
    </cfRule>
    <cfRule type="containsText" priority="12683" operator="containsText" dxfId="0" text="NF">
      <formula>NOT(ISERROR(SEARCH(("NF"),(Z42))))</formula>
    </cfRule>
    <cfRule type="containsText" priority="12684" operator="containsText" dxfId="0" text="ICU N">
      <formula>NOT(ISERROR(SEARCH(("ICU N"),(Z42))))</formula>
    </cfRule>
  </conditionalFormatting>
  <conditionalFormatting sqref="AC11:AD11">
    <cfRule type="containsText" priority="12668" operator="containsText" dxfId="17" text="VACATION">
      <formula>NOT(ISERROR(SEARCH(("VACATION"),(AC11))))</formula>
    </cfRule>
    <cfRule type="containsText" priority="12669" operator="containsText" dxfId="0" text="ICU N">
      <formula>NOT(ISERROR(SEARCH(("ICU N"),(AC11))))</formula>
    </cfRule>
  </conditionalFormatting>
  <conditionalFormatting sqref="G42">
    <cfRule type="containsText" priority="12651" operator="containsText" dxfId="17" text="VACATION">
      <formula>NOT(ISERROR(SEARCH(("VACATION"),(G42))))</formula>
    </cfRule>
    <cfRule type="containsText" priority="12652" operator="containsText" dxfId="16" text="ED">
      <formula>NOT(ISERROR(SEARCH(("ED"),(G42))))</formula>
    </cfRule>
    <cfRule type="containsText" priority="12653" operator="containsText" dxfId="15" text="GERIATRIC">
      <formula>NOT(ISERROR(SEARCH(("GERIATRIC"),(G42))))</formula>
    </cfRule>
    <cfRule type="containsText" priority="12654" operator="containsText" dxfId="7" text="PATH">
      <formula>NOT(ISERROR(SEARCH(("PATH"),(G42))))</formula>
    </cfRule>
    <cfRule type="containsText" priority="12655" operator="containsText" dxfId="7" text="NEPHRO">
      <formula>NOT(ISERROR(SEARCH(("NEPHRO"),(G42))))</formula>
    </cfRule>
    <cfRule type="containsText" priority="12656" operator="containsText" dxfId="7" text="PULM">
      <formula>NOT(ISERROR(SEARCH(("PULM"),(G42))))</formula>
    </cfRule>
    <cfRule type="containsText" priority="12657" operator="containsText" dxfId="7" text="RADIOLOGY">
      <formula>NOT(ISERROR(SEARCH(("RADIOLOGY"),(G42))))</formula>
    </cfRule>
    <cfRule type="containsText" priority="12658" operator="containsText" dxfId="7" text="HEM/ONC">
      <formula>NOT(ISERROR(SEARCH(("HEM/ONC"),(G42))))</formula>
    </cfRule>
    <cfRule type="containsText" priority="12659" operator="containsText" dxfId="7" text="CARDIO">
      <formula>NOT(ISERROR(SEARCH(("CARDIO"),(G42))))</formula>
    </cfRule>
    <cfRule type="containsText" priority="12660" operator="containsText" dxfId="7" text="ID">
      <formula>NOT(ISERROR(SEARCH(("ID"),(G42))))</formula>
    </cfRule>
    <cfRule type="containsText" priority="12661" operator="containsText" dxfId="7" text="NEURO">
      <formula>NOT(ISERROR(SEARCH(("NEURO"),(G42))))</formula>
    </cfRule>
    <cfRule type="containsText" priority="12662" operator="containsText" dxfId="6" text="NEURO">
      <formula>NOT(ISERROR(SEARCH(("NEURO"),(G42))))</formula>
    </cfRule>
    <cfRule type="containsText" priority="12663" operator="containsText" dxfId="5" text="NEURO">
      <formula>NOT(ISERROR(SEARCH(("NEURO"),(G42))))</formula>
    </cfRule>
    <cfRule type="containsText" priority="12664" operator="containsText" dxfId="0" text="ICU N">
      <formula>NOT(ISERROR(SEARCH(("ICU N"),(G42))))</formula>
    </cfRule>
    <cfRule type="containsText" priority="12665" operator="containsText" dxfId="3" text="ICU">
      <formula>NOT(ISERROR(SEARCH(("ICU"),(G42))))</formula>
    </cfRule>
    <cfRule type="containsText" priority="12666" operator="containsText" dxfId="0" text="SWING">
      <formula>NOT(ISERROR(SEARCH(("SWING"),(G42))))</formula>
    </cfRule>
    <cfRule type="containsText" priority="12667" operator="containsText" dxfId="0" text="NF">
      <formula>NOT(ISERROR(SEARCH(("NF"),(G42))))</formula>
    </cfRule>
    <cfRule type="containsText" priority="12649" operator="containsText" dxfId="17" text="VACATION">
      <formula>NOT(ISERROR(SEARCH(("VACATION"),(G42))))</formula>
    </cfRule>
    <cfRule type="containsText" priority="12650" operator="containsText" dxfId="0" text="ICU N">
      <formula>NOT(ISERROR(SEARCH(("ICU N"),(G42))))</formula>
    </cfRule>
    <cfRule type="containsText" priority="12648" operator="containsText" dxfId="17" text="VACATION">
      <formula>NOT(ISERROR(SEARCH(("VACATION"),(G42))))</formula>
    </cfRule>
  </conditionalFormatting>
  <conditionalFormatting sqref="Y36">
    <cfRule type="containsText" priority="12646" operator="containsText" dxfId="17" text="VACATION">
      <formula>NOT(ISERROR(SEARCH(("VACATION"),(Y36))))</formula>
    </cfRule>
    <cfRule type="containsText" priority="12632" operator="containsText" dxfId="15" text="GERIATRIC">
      <formula>NOT(ISERROR(SEARCH(("GERIATRIC"),(Y36))))</formula>
    </cfRule>
    <cfRule type="containsText" priority="12633" operator="containsText" dxfId="7" text="PATH">
      <formula>NOT(ISERROR(SEARCH(("PATH"),(Y36))))</formula>
    </cfRule>
    <cfRule type="containsText" priority="12634" operator="containsText" dxfId="7" text="NEPHRO">
      <formula>NOT(ISERROR(SEARCH(("NEPHRO"),(Y36))))</formula>
    </cfRule>
    <cfRule type="containsText" priority="12635" operator="containsText" dxfId="7" text="PULM">
      <formula>NOT(ISERROR(SEARCH(("PULM"),(Y36))))</formula>
    </cfRule>
    <cfRule type="containsText" priority="12636" operator="containsText" dxfId="7" text="RADIOLOGY">
      <formula>NOT(ISERROR(SEARCH(("RADIOLOGY"),(Y36))))</formula>
    </cfRule>
    <cfRule type="containsText" priority="12637" operator="containsText" dxfId="7" text="HEM/ONC">
      <formula>NOT(ISERROR(SEARCH(("HEM/ONC"),(Y36))))</formula>
    </cfRule>
    <cfRule type="containsText" priority="12638" operator="containsText" dxfId="7" text="CARDIO">
      <formula>NOT(ISERROR(SEARCH(("CARDIO"),(Y36))))</formula>
    </cfRule>
    <cfRule type="containsText" priority="12639" operator="containsText" dxfId="7" text="ID">
      <formula>NOT(ISERROR(SEARCH(("ID"),(Y36))))</formula>
    </cfRule>
    <cfRule type="containsText" priority="12640" operator="containsText" dxfId="7" text="NEURO">
      <formula>NOT(ISERROR(SEARCH(("NEURO"),(Y36))))</formula>
    </cfRule>
    <cfRule type="containsText" priority="12641" operator="containsText" dxfId="6" text="NEURO">
      <formula>NOT(ISERROR(SEARCH(("NEURO"),(Y36))))</formula>
    </cfRule>
    <cfRule type="containsText" priority="12642" operator="containsText" dxfId="5" text="NEURO">
      <formula>NOT(ISERROR(SEARCH(("NEURO"),(Y36))))</formula>
    </cfRule>
    <cfRule type="containsText" priority="12643" operator="containsText" dxfId="3" text="ICU">
      <formula>NOT(ISERROR(SEARCH(("ICU"),(Y36))))</formula>
    </cfRule>
    <cfRule type="containsText" priority="12644" operator="containsText" dxfId="0" text="SWING">
      <formula>NOT(ISERROR(SEARCH(("SWING"),(Y36))))</formula>
    </cfRule>
    <cfRule type="containsText" priority="12645" operator="containsText" dxfId="0" text="NF">
      <formula>NOT(ISERROR(SEARCH(("NF"),(Y36))))</formula>
    </cfRule>
  </conditionalFormatting>
  <conditionalFormatting sqref="Z36">
    <cfRule type="containsText" priority="12618" operator="containsText" dxfId="15" text="GERIATRIC">
      <formula>NOT(ISERROR(SEARCH(("GERIATRIC"),(Z36))))</formula>
    </cfRule>
    <cfRule type="containsText" priority="12619" operator="containsText" dxfId="7" text="PATH">
      <formula>NOT(ISERROR(SEARCH(("PATH"),(Z36))))</formula>
    </cfRule>
    <cfRule type="containsText" priority="12620" operator="containsText" dxfId="7" text="NEPHRO">
      <formula>NOT(ISERROR(SEARCH(("NEPHRO"),(Z36))))</formula>
    </cfRule>
    <cfRule type="containsText" priority="12621" operator="containsText" dxfId="7" text="PULM">
      <formula>NOT(ISERROR(SEARCH(("PULM"),(Z36))))</formula>
    </cfRule>
    <cfRule type="containsText" priority="12622" operator="containsText" dxfId="7" text="RADIOLOGY">
      <formula>NOT(ISERROR(SEARCH(("RADIOLOGY"),(Z36))))</formula>
    </cfRule>
    <cfRule type="containsText" priority="12623" operator="containsText" dxfId="7" text="HEM/ONC">
      <formula>NOT(ISERROR(SEARCH(("HEM/ONC"),(Z36))))</formula>
    </cfRule>
    <cfRule type="containsText" priority="12624" operator="containsText" dxfId="7" text="CARDIO">
      <formula>NOT(ISERROR(SEARCH(("CARDIO"),(Z36))))</formula>
    </cfRule>
    <cfRule type="containsText" priority="12625" operator="containsText" dxfId="7" text="ID">
      <formula>NOT(ISERROR(SEARCH(("ID"),(Z36))))</formula>
    </cfRule>
    <cfRule type="containsText" priority="12626" operator="containsText" dxfId="7" text="NEURO">
      <formula>NOT(ISERROR(SEARCH(("NEURO"),(Z36))))</formula>
    </cfRule>
    <cfRule type="containsText" priority="12627" operator="containsText" dxfId="6" text="NEURO">
      <formula>NOT(ISERROR(SEARCH(("NEURO"),(Z36))))</formula>
    </cfRule>
    <cfRule type="containsText" priority="12628" operator="containsText" dxfId="5" text="NEURO">
      <formula>NOT(ISERROR(SEARCH(("NEURO"),(Z36))))</formula>
    </cfRule>
    <cfRule type="containsText" priority="12629" operator="containsText" dxfId="3" text="ICU">
      <formula>NOT(ISERROR(SEARCH(("ICU"),(Z36))))</formula>
    </cfRule>
    <cfRule type="containsText" priority="12630" operator="containsText" dxfId="0" text="SWING">
      <formula>NOT(ISERROR(SEARCH(("SWING"),(Z36))))</formula>
    </cfRule>
    <cfRule type="containsText" priority="12631" operator="containsText" dxfId="0" text="NF">
      <formula>NOT(ISERROR(SEARCH(("NF"),(Z36))))</formula>
    </cfRule>
  </conditionalFormatting>
  <conditionalFormatting sqref="V25">
    <cfRule type="containsText" priority="12606" operator="containsText" dxfId="16" text="ED">
      <formula>NOT(ISERROR(SEARCH(("ED"),(V25))))</formula>
    </cfRule>
    <cfRule type="containsText" priority="12607" operator="containsText" dxfId="17" text="VACATION">
      <formula>NOT(ISERROR(SEARCH(("VACATION"),(V25))))</formula>
    </cfRule>
    <cfRule type="containsText" priority="12608" operator="containsText" dxfId="0" text="ICU N">
      <formula>NOT(ISERROR(SEARCH(("ICU N"),(V25))))</formula>
    </cfRule>
    <cfRule type="containsText" priority="12588" operator="containsText" dxfId="16" text="ED">
      <formula>NOT(ISERROR(SEARCH(("ED"),(V25))))</formula>
    </cfRule>
    <cfRule type="containsText" priority="12589" operator="containsText" dxfId="15" text="GERIATRIC">
      <formula>NOT(ISERROR(SEARCH(("GERIATRIC"),(V25))))</formula>
    </cfRule>
    <cfRule type="containsText" priority="12590" operator="containsText" dxfId="17" text="VACATION">
      <formula>NOT(ISERROR(SEARCH(("VACATION"),(V25))))</formula>
    </cfRule>
    <cfRule type="containsText" priority="12591" operator="containsText" dxfId="7" text="PATH">
      <formula>NOT(ISERROR(SEARCH(("PATH"),(V25))))</formula>
    </cfRule>
    <cfRule type="containsText" priority="12592" operator="containsText" dxfId="7" text="NEPHRO">
      <formula>NOT(ISERROR(SEARCH(("NEPHRO"),(V25))))</formula>
    </cfRule>
    <cfRule type="containsText" priority="12593" operator="containsText" dxfId="7" text="PULM">
      <formula>NOT(ISERROR(SEARCH(("PULM"),(V25))))</formula>
    </cfRule>
    <cfRule type="containsText" priority="12594" operator="containsText" dxfId="7" text="RADIOLOGY">
      <formula>NOT(ISERROR(SEARCH(("RADIOLOGY"),(V25))))</formula>
    </cfRule>
    <cfRule type="containsText" priority="12595" operator="containsText" dxfId="7" text="HEM/ONC">
      <formula>NOT(ISERROR(SEARCH(("HEM/ONC"),(V25))))</formula>
    </cfRule>
    <cfRule type="containsText" priority="12596" operator="containsText" dxfId="7" text="CARDIO">
      <formula>NOT(ISERROR(SEARCH(("CARDIO"),(V25))))</formula>
    </cfRule>
    <cfRule type="containsText" priority="12597" operator="containsText" dxfId="7" text="ID">
      <formula>NOT(ISERROR(SEARCH(("ID"),(V25))))</formula>
    </cfRule>
    <cfRule type="containsText" priority="12598" operator="containsText" dxfId="7" text="NEURO">
      <formula>NOT(ISERROR(SEARCH(("NEURO"),(V25))))</formula>
    </cfRule>
    <cfRule type="containsText" priority="12599" operator="containsText" dxfId="6" text="NEURO">
      <formula>NOT(ISERROR(SEARCH(("NEURO"),(V25))))</formula>
    </cfRule>
    <cfRule type="containsText" priority="12600" operator="containsText" dxfId="5" text="NEURO">
      <formula>NOT(ISERROR(SEARCH(("NEURO"),(V25))))</formula>
    </cfRule>
    <cfRule type="containsText" priority="12601" operator="containsText" dxfId="0" text="ICU N">
      <formula>NOT(ISERROR(SEARCH(("ICU N"),(V25))))</formula>
    </cfRule>
    <cfRule type="containsText" priority="12602" operator="containsText" dxfId="3" text="ICU">
      <formula>NOT(ISERROR(SEARCH(("ICU"),(V25))))</formula>
    </cfRule>
    <cfRule type="containsText" priority="12603" operator="containsText" dxfId="0" text="SWING">
      <formula>NOT(ISERROR(SEARCH(("SWING"),(V25))))</formula>
    </cfRule>
    <cfRule type="containsText" priority="12604" operator="containsText" dxfId="0" text="NF">
      <formula>NOT(ISERROR(SEARCH(("NF"),(V25))))</formula>
    </cfRule>
    <cfRule type="containsText" priority="12605" operator="containsText" dxfId="0" text="ICU N">
      <formula>NOT(ISERROR(SEARCH(("ICU N"),(V25))))</formula>
    </cfRule>
    <cfRule type="containsText" priority="12571" operator="containsText" dxfId="17" text="VACATION">
      <formula>NOT(ISERROR(SEARCH(("VACATION"),(V25))))</formula>
    </cfRule>
    <cfRule type="containsText" priority="12572" operator="containsText" dxfId="16" text="ED">
      <formula>NOT(ISERROR(SEARCH(("ED"),(V25))))</formula>
    </cfRule>
    <cfRule type="containsText" priority="12573" operator="containsText" dxfId="15" text="GERIATRIC">
      <formula>NOT(ISERROR(SEARCH(("GERIATRIC"),(V25))))</formula>
    </cfRule>
    <cfRule type="containsText" priority="12574" operator="containsText" dxfId="7" text="PATH">
      <formula>NOT(ISERROR(SEARCH(("PATH"),(V25))))</formula>
    </cfRule>
    <cfRule type="containsText" priority="12575" operator="containsText" dxfId="7" text="NEPHRO">
      <formula>NOT(ISERROR(SEARCH(("NEPHRO"),(V25))))</formula>
    </cfRule>
    <cfRule type="containsText" priority="12576" operator="containsText" dxfId="7" text="PULM">
      <formula>NOT(ISERROR(SEARCH(("PULM"),(V25))))</formula>
    </cfRule>
    <cfRule type="containsText" priority="12577" operator="containsText" dxfId="7" text="RADIOLOGY">
      <formula>NOT(ISERROR(SEARCH(("RADIOLOGY"),(V25))))</formula>
    </cfRule>
    <cfRule type="containsText" priority="12578" operator="containsText" dxfId="7" text="HEM/ONC">
      <formula>NOT(ISERROR(SEARCH(("HEM/ONC"),(V25))))</formula>
    </cfRule>
    <cfRule type="containsText" priority="12579" operator="containsText" dxfId="7" text="CARDIO">
      <formula>NOT(ISERROR(SEARCH(("CARDIO"),(V25))))</formula>
    </cfRule>
    <cfRule type="containsText" priority="12580" operator="containsText" dxfId="7" text="ID">
      <formula>NOT(ISERROR(SEARCH(("ID"),(V25))))</formula>
    </cfRule>
    <cfRule type="containsText" priority="12581" operator="containsText" dxfId="7" text="NEURO">
      <formula>NOT(ISERROR(SEARCH(("NEURO"),(V25))))</formula>
    </cfRule>
    <cfRule type="containsText" priority="12582" operator="containsText" dxfId="6" text="NEURO">
      <formula>NOT(ISERROR(SEARCH(("NEURO"),(V25))))</formula>
    </cfRule>
    <cfRule type="containsText" priority="12583" operator="containsText" dxfId="5" text="NEURO">
      <formula>NOT(ISERROR(SEARCH(("NEURO"),(V25))))</formula>
    </cfRule>
    <cfRule type="containsText" priority="12584" operator="containsText" dxfId="0" text="ICU N">
      <formula>NOT(ISERROR(SEARCH(("ICU N"),(V25))))</formula>
    </cfRule>
    <cfRule type="containsText" priority="12585" operator="containsText" dxfId="3" text="ICU">
      <formula>NOT(ISERROR(SEARCH(("ICU"),(V25))))</formula>
    </cfRule>
    <cfRule type="containsText" priority="12586" operator="containsText" dxfId="0" text="SWING">
      <formula>NOT(ISERROR(SEARCH(("SWING"),(V25))))</formula>
    </cfRule>
    <cfRule type="containsText" priority="12587" operator="containsText" dxfId="0" text="NF">
      <formula>NOT(ISERROR(SEARCH(("NF"),(V25))))</formula>
    </cfRule>
    <cfRule type="containsText" priority="12556" operator="containsText" dxfId="7" text="PATH">
      <formula>NOT(ISERROR(SEARCH(("PATH"),(V25))))</formula>
    </cfRule>
    <cfRule type="containsText" priority="12557" operator="containsText" dxfId="7" text="NEPHRO">
      <formula>NOT(ISERROR(SEARCH(("NEPHRO"),(V25))))</formula>
    </cfRule>
    <cfRule type="containsText" priority="12558" operator="containsText" dxfId="7" text="PULM">
      <formula>NOT(ISERROR(SEARCH(("PULM"),(V25))))</formula>
    </cfRule>
    <cfRule type="containsText" priority="12559" operator="containsText" dxfId="7" text="RADIOLOGY">
      <formula>NOT(ISERROR(SEARCH(("RADIOLOGY"),(V25))))</formula>
    </cfRule>
    <cfRule type="containsText" priority="12560" operator="containsText" dxfId="7" text="HEM/ONC">
      <formula>NOT(ISERROR(SEARCH(("HEM/ONC"),(V25))))</formula>
    </cfRule>
    <cfRule type="containsText" priority="12561" operator="containsText" dxfId="7" text="CARDIO">
      <formula>NOT(ISERROR(SEARCH(("CARDIO"),(V25))))</formula>
    </cfRule>
    <cfRule type="containsText" priority="12562" operator="containsText" dxfId="7" text="ID">
      <formula>NOT(ISERROR(SEARCH(("ID"),(V25))))</formula>
    </cfRule>
    <cfRule type="containsText" priority="12563" operator="containsText" dxfId="7" text="NEURO">
      <formula>NOT(ISERROR(SEARCH(("NEURO"),(V25))))</formula>
    </cfRule>
    <cfRule type="containsText" priority="12564" operator="containsText" dxfId="6" text="NEURO">
      <formula>NOT(ISERROR(SEARCH(("NEURO"),(V25))))</formula>
    </cfRule>
    <cfRule type="containsText" priority="12565" operator="containsText" dxfId="5" text="NEURO">
      <formula>NOT(ISERROR(SEARCH(("NEURO"),(V25))))</formula>
    </cfRule>
    <cfRule type="containsText" priority="12566" operator="containsText" dxfId="0" text="ICU N">
      <formula>NOT(ISERROR(SEARCH(("ICU N"),(V25))))</formula>
    </cfRule>
    <cfRule type="containsText" priority="12567" operator="containsText" dxfId="3" text="ICU">
      <formula>NOT(ISERROR(SEARCH(("ICU"),(V25))))</formula>
    </cfRule>
    <cfRule type="containsText" priority="12568" operator="containsText" dxfId="0" text="SWING">
      <formula>NOT(ISERROR(SEARCH(("SWING"),(V25))))</formula>
    </cfRule>
    <cfRule type="containsText" priority="12569" operator="containsText" dxfId="0" text="NF">
      <formula>NOT(ISERROR(SEARCH(("NF"),(V25))))</formula>
    </cfRule>
    <cfRule type="containsText" priority="12570" operator="containsText" dxfId="0" text="ICU N">
      <formula>NOT(ISERROR(SEARCH(("ICU N"),(V25))))</formula>
    </cfRule>
  </conditionalFormatting>
  <conditionalFormatting sqref="Z11">
    <cfRule type="containsText" priority="12418" operator="containsText" dxfId="17" text="VACATION">
      <formula>NOT(ISERROR(SEARCH(("VACATION"),(Z11))))</formula>
    </cfRule>
    <cfRule type="containsText" priority="12419" operator="containsText" dxfId="16" text="ED">
      <formula>NOT(ISERROR(SEARCH(("ED"),(Z11))))</formula>
    </cfRule>
    <cfRule type="containsText" priority="12420" operator="containsText" dxfId="15" text="GERIATRIC">
      <formula>NOT(ISERROR(SEARCH(("GERIATRIC"),(Z11))))</formula>
    </cfRule>
    <cfRule type="containsText" priority="12421" operator="containsText" dxfId="17" text="VACATION">
      <formula>NOT(ISERROR(SEARCH(("VACATION"),(Z11))))</formula>
    </cfRule>
    <cfRule type="containsText" priority="12422" operator="containsText" dxfId="7" text="PATH">
      <formula>NOT(ISERROR(SEARCH(("PATH"),(Z11))))</formula>
    </cfRule>
    <cfRule type="containsText" priority="12423" operator="containsText" dxfId="7" text="NEPHRO">
      <formula>NOT(ISERROR(SEARCH(("NEPHRO"),(Z11))))</formula>
    </cfRule>
    <cfRule type="containsText" priority="12424" operator="containsText" dxfId="7" text="PULM">
      <formula>NOT(ISERROR(SEARCH(("PULM"),(Z11))))</formula>
    </cfRule>
    <cfRule type="containsText" priority="12425" operator="containsText" dxfId="7" text="RADIOLOGY">
      <formula>NOT(ISERROR(SEARCH(("RADIOLOGY"),(Z11))))</formula>
    </cfRule>
    <cfRule type="containsText" priority="12426" operator="containsText" dxfId="7" text="HEM/ONC">
      <formula>NOT(ISERROR(SEARCH(("HEM/ONC"),(Z11))))</formula>
    </cfRule>
    <cfRule type="containsText" priority="12427" operator="containsText" dxfId="7" text="CARDIO">
      <formula>NOT(ISERROR(SEARCH(("CARDIO"),(Z11))))</formula>
    </cfRule>
    <cfRule type="containsText" priority="12428" operator="containsText" dxfId="7" text="ID">
      <formula>NOT(ISERROR(SEARCH(("ID"),(Z11))))</formula>
    </cfRule>
    <cfRule type="containsText" priority="12429" operator="containsText" dxfId="7" text="NEURO">
      <formula>NOT(ISERROR(SEARCH(("NEURO"),(Z11))))</formula>
    </cfRule>
    <cfRule type="containsText" priority="12430" operator="containsText" dxfId="6" text="NEURO">
      <formula>NOT(ISERROR(SEARCH(("NEURO"),(Z11))))</formula>
    </cfRule>
    <cfRule type="containsText" priority="12431" operator="containsText" dxfId="5" text="NEURO">
      <formula>NOT(ISERROR(SEARCH(("NEURO"),(Z11))))</formula>
    </cfRule>
    <cfRule type="containsText" priority="12432" operator="containsText" dxfId="0" text="ICU N">
      <formula>NOT(ISERROR(SEARCH(("ICU N"),(Z11))))</formula>
    </cfRule>
    <cfRule type="containsText" priority="12433" operator="containsText" dxfId="3" text="ICU">
      <formula>NOT(ISERROR(SEARCH(("ICU"),(Z11))))</formula>
    </cfRule>
    <cfRule type="containsText" priority="12434" operator="containsText" dxfId="0" text="SWING">
      <formula>NOT(ISERROR(SEARCH(("SWING"),(Z11))))</formula>
    </cfRule>
    <cfRule type="containsText" priority="12435" operator="containsText" dxfId="0" text="NF">
      <formula>NOT(ISERROR(SEARCH(("NF"),(Z11))))</formula>
    </cfRule>
    <cfRule type="containsText" priority="12436" operator="containsText" dxfId="0" text="ICU N">
      <formula>NOT(ISERROR(SEARCH(("ICU N"),(Z11))))</formula>
    </cfRule>
    <cfRule type="containsText" priority="12404" operator="containsText" dxfId="15" text="GERIATRIC">
      <formula>NOT(ISERROR(SEARCH(("GERIATRIC"),(Z11))))</formula>
    </cfRule>
    <cfRule type="containsText" priority="12405" operator="containsText" dxfId="7" text="PATH">
      <formula>NOT(ISERROR(SEARCH(("PATH"),(Z11))))</formula>
    </cfRule>
    <cfRule type="containsText" priority="12406" operator="containsText" dxfId="7" text="NEPHRO">
      <formula>NOT(ISERROR(SEARCH(("NEPHRO"),(Z11))))</formula>
    </cfRule>
    <cfRule type="containsText" priority="12407" operator="containsText" dxfId="7" text="PULM">
      <formula>NOT(ISERROR(SEARCH(("PULM"),(Z11))))</formula>
    </cfRule>
    <cfRule type="containsText" priority="12408" operator="containsText" dxfId="7" text="RADIOLOGY">
      <formula>NOT(ISERROR(SEARCH(("RADIOLOGY"),(Z11))))</formula>
    </cfRule>
    <cfRule type="containsText" priority="12409" operator="containsText" dxfId="7" text="HEM/ONC">
      <formula>NOT(ISERROR(SEARCH(("HEM/ONC"),(Z11))))</formula>
    </cfRule>
    <cfRule type="containsText" priority="12410" operator="containsText" dxfId="7" text="CARDIO">
      <formula>NOT(ISERROR(SEARCH(("CARDIO"),(Z11))))</formula>
    </cfRule>
    <cfRule type="containsText" priority="12411" operator="containsText" dxfId="7" text="ID">
      <formula>NOT(ISERROR(SEARCH(("ID"),(Z11))))</formula>
    </cfRule>
    <cfRule type="containsText" priority="12412" operator="containsText" dxfId="7" text="NEURO">
      <formula>NOT(ISERROR(SEARCH(("NEURO"),(Z11))))</formula>
    </cfRule>
    <cfRule type="containsText" priority="12413" operator="containsText" dxfId="6" text="NEURO">
      <formula>NOT(ISERROR(SEARCH(("NEURO"),(Z11))))</formula>
    </cfRule>
    <cfRule type="containsText" priority="12414" operator="containsText" dxfId="5" text="NEURO">
      <formula>NOT(ISERROR(SEARCH(("NEURO"),(Z11))))</formula>
    </cfRule>
    <cfRule type="containsText" priority="12415" operator="containsText" dxfId="3" text="ICU">
      <formula>NOT(ISERROR(SEARCH(("ICU"),(Z11))))</formula>
    </cfRule>
    <cfRule type="containsText" priority="12416" operator="containsText" dxfId="0" text="SWING">
      <formula>NOT(ISERROR(SEARCH(("SWING"),(Z11))))</formula>
    </cfRule>
    <cfRule type="containsText" priority="12417" operator="containsText" dxfId="0" text="NF">
      <formula>NOT(ISERROR(SEARCH(("NF"),(Z11))))</formula>
    </cfRule>
  </conditionalFormatting>
  <conditionalFormatting sqref="AA11">
    <cfRule type="containsText" priority="12385" operator="containsText" dxfId="17" text="VACATION">
      <formula>NOT(ISERROR(SEARCH(("VACATION"),(AA11))))</formula>
    </cfRule>
    <cfRule type="containsText" priority="12386" operator="containsText" dxfId="16" text="ED">
      <formula>NOT(ISERROR(SEARCH(("ED"),(AA11))))</formula>
    </cfRule>
    <cfRule type="containsText" priority="12387" operator="containsText" dxfId="15" text="GERIATRIC">
      <formula>NOT(ISERROR(SEARCH(("GERIATRIC"),(AA11))))</formula>
    </cfRule>
    <cfRule type="containsText" priority="12388" operator="containsText" dxfId="17" text="VACATION">
      <formula>NOT(ISERROR(SEARCH(("VACATION"),(AA11))))</formula>
    </cfRule>
    <cfRule type="containsText" priority="12389" operator="containsText" dxfId="7" text="PATH">
      <formula>NOT(ISERROR(SEARCH(("PATH"),(AA11))))</formula>
    </cfRule>
    <cfRule type="containsText" priority="12390" operator="containsText" dxfId="7" text="NEPHRO">
      <formula>NOT(ISERROR(SEARCH(("NEPHRO"),(AA11))))</formula>
    </cfRule>
    <cfRule type="containsText" priority="12391" operator="containsText" dxfId="7" text="PULM">
      <formula>NOT(ISERROR(SEARCH(("PULM"),(AA11))))</formula>
    </cfRule>
    <cfRule type="containsText" priority="12392" operator="containsText" dxfId="7" text="RADIOLOGY">
      <formula>NOT(ISERROR(SEARCH(("RADIOLOGY"),(AA11))))</formula>
    </cfRule>
    <cfRule type="containsText" priority="12393" operator="containsText" dxfId="7" text="HEM/ONC">
      <formula>NOT(ISERROR(SEARCH(("HEM/ONC"),(AA11))))</formula>
    </cfRule>
    <cfRule type="containsText" priority="12394" operator="containsText" dxfId="7" text="CARDIO">
      <formula>NOT(ISERROR(SEARCH(("CARDIO"),(AA11))))</formula>
    </cfRule>
    <cfRule type="containsText" priority="12395" operator="containsText" dxfId="7" text="ID">
      <formula>NOT(ISERROR(SEARCH(("ID"),(AA11))))</formula>
    </cfRule>
    <cfRule type="containsText" priority="12396" operator="containsText" dxfId="7" text="NEURO">
      <formula>NOT(ISERROR(SEARCH(("NEURO"),(AA11))))</formula>
    </cfRule>
    <cfRule type="containsText" priority="12397" operator="containsText" dxfId="6" text="NEURO">
      <formula>NOT(ISERROR(SEARCH(("NEURO"),(AA11))))</formula>
    </cfRule>
    <cfRule type="containsText" priority="12398" operator="containsText" dxfId="5" text="NEURO">
      <formula>NOT(ISERROR(SEARCH(("NEURO"),(AA11))))</formula>
    </cfRule>
    <cfRule type="containsText" priority="12399" operator="containsText" dxfId="0" text="ICU N">
      <formula>NOT(ISERROR(SEARCH(("ICU N"),(AA11))))</formula>
    </cfRule>
    <cfRule type="containsText" priority="12400" operator="containsText" dxfId="3" text="ICU">
      <formula>NOT(ISERROR(SEARCH(("ICU"),(AA11))))</formula>
    </cfRule>
    <cfRule type="containsText" priority="12401" operator="containsText" dxfId="0" text="SWING">
      <formula>NOT(ISERROR(SEARCH(("SWING"),(AA11))))</formula>
    </cfRule>
    <cfRule type="containsText" priority="12402" operator="containsText" dxfId="0" text="NF">
      <formula>NOT(ISERROR(SEARCH(("NF"),(AA11))))</formula>
    </cfRule>
    <cfRule type="containsText" priority="12403" operator="containsText" dxfId="0" text="ICU N">
      <formula>NOT(ISERROR(SEARCH(("ICU N"),(AA11))))</formula>
    </cfRule>
    <cfRule type="containsText" priority="12371" operator="containsText" dxfId="15" text="GERIATRIC">
      <formula>NOT(ISERROR(SEARCH(("GERIATRIC"),(AA11))))</formula>
    </cfRule>
    <cfRule type="containsText" priority="12372" operator="containsText" dxfId="7" text="PATH">
      <formula>NOT(ISERROR(SEARCH(("PATH"),(AA11))))</formula>
    </cfRule>
    <cfRule type="containsText" priority="12373" operator="containsText" dxfId="7" text="NEPHRO">
      <formula>NOT(ISERROR(SEARCH(("NEPHRO"),(AA11))))</formula>
    </cfRule>
    <cfRule type="containsText" priority="12374" operator="containsText" dxfId="7" text="PULM">
      <formula>NOT(ISERROR(SEARCH(("PULM"),(AA11))))</formula>
    </cfRule>
    <cfRule type="containsText" priority="12375" operator="containsText" dxfId="7" text="RADIOLOGY">
      <formula>NOT(ISERROR(SEARCH(("RADIOLOGY"),(AA11))))</formula>
    </cfRule>
    <cfRule type="containsText" priority="12376" operator="containsText" dxfId="7" text="HEM/ONC">
      <formula>NOT(ISERROR(SEARCH(("HEM/ONC"),(AA11))))</formula>
    </cfRule>
    <cfRule type="containsText" priority="12377" operator="containsText" dxfId="7" text="CARDIO">
      <formula>NOT(ISERROR(SEARCH(("CARDIO"),(AA11))))</formula>
    </cfRule>
    <cfRule type="containsText" priority="12378" operator="containsText" dxfId="7" text="ID">
      <formula>NOT(ISERROR(SEARCH(("ID"),(AA11))))</formula>
    </cfRule>
    <cfRule type="containsText" priority="12379" operator="containsText" dxfId="7" text="NEURO">
      <formula>NOT(ISERROR(SEARCH(("NEURO"),(AA11))))</formula>
    </cfRule>
    <cfRule type="containsText" priority="12380" operator="containsText" dxfId="6" text="NEURO">
      <formula>NOT(ISERROR(SEARCH(("NEURO"),(AA11))))</formula>
    </cfRule>
    <cfRule type="containsText" priority="12381" operator="containsText" dxfId="5" text="NEURO">
      <formula>NOT(ISERROR(SEARCH(("NEURO"),(AA11))))</formula>
    </cfRule>
    <cfRule type="containsText" priority="12382" operator="containsText" dxfId="3" text="ICU">
      <formula>NOT(ISERROR(SEARCH(("ICU"),(AA11))))</formula>
    </cfRule>
    <cfRule type="containsText" priority="12383" operator="containsText" dxfId="0" text="SWING">
      <formula>NOT(ISERROR(SEARCH(("SWING"),(AA11))))</formula>
    </cfRule>
    <cfRule type="containsText" priority="12384" operator="containsText" dxfId="0" text="NF">
      <formula>NOT(ISERROR(SEARCH(("NF"),(AA11))))</formula>
    </cfRule>
  </conditionalFormatting>
  <conditionalFormatting sqref="AO37">
    <cfRule type="containsText" priority="12324" operator="containsText" dxfId="7" text="PATH">
      <formula>NOT(ISERROR(SEARCH(("PATH"),(AO37))))</formula>
    </cfRule>
    <cfRule type="containsText" priority="12325" operator="containsText" dxfId="7" text="NEPHRO">
      <formula>NOT(ISERROR(SEARCH(("NEPHRO"),(AO37))))</formula>
    </cfRule>
    <cfRule type="containsText" priority="12326" operator="containsText" dxfId="7" text="PULM">
      <formula>NOT(ISERROR(SEARCH(("PULM"),(AO37))))</formula>
    </cfRule>
    <cfRule type="containsText" priority="12327" operator="containsText" dxfId="7" text="RADIOLOGY">
      <formula>NOT(ISERROR(SEARCH(("RADIOLOGY"),(AO37))))</formula>
    </cfRule>
    <cfRule type="containsText" priority="12328" operator="containsText" dxfId="7" text="HEM/ONC">
      <formula>NOT(ISERROR(SEARCH(("HEM/ONC"),(AO37))))</formula>
    </cfRule>
    <cfRule type="containsText" priority="12329" operator="containsText" dxfId="7" text="CARDIO">
      <formula>NOT(ISERROR(SEARCH(("CARDIO"),(AO37))))</formula>
    </cfRule>
    <cfRule type="containsText" priority="12330" operator="containsText" dxfId="7" text="ID">
      <formula>NOT(ISERROR(SEARCH(("ID"),(AO37))))</formula>
    </cfRule>
    <cfRule type="containsText" priority="12331" operator="containsText" dxfId="7" text="NEURO">
      <formula>NOT(ISERROR(SEARCH(("NEURO"),(AO37))))</formula>
    </cfRule>
    <cfRule type="containsText" priority="12332" operator="containsText" dxfId="6" text="NEURO">
      <formula>NOT(ISERROR(SEARCH(("NEURO"),(AO37))))</formula>
    </cfRule>
    <cfRule type="containsText" priority="12333" operator="containsText" dxfId="5" text="NEURO">
      <formula>NOT(ISERROR(SEARCH(("NEURO"),(AO37))))</formula>
    </cfRule>
    <cfRule type="containsText" priority="12334" operator="containsText" dxfId="3" text="ICU">
      <formula>NOT(ISERROR(SEARCH(("ICU"),(AO37))))</formula>
    </cfRule>
    <cfRule type="containsText" priority="12335" operator="containsText" dxfId="0" text="SWING">
      <formula>NOT(ISERROR(SEARCH(("SWING"),(AO37))))</formula>
    </cfRule>
    <cfRule type="containsText" priority="12336" operator="containsText" dxfId="0" text="NF">
      <formula>NOT(ISERROR(SEARCH(("NF"),(AO37))))</formula>
    </cfRule>
  </conditionalFormatting>
  <conditionalFormatting sqref="AX24">
    <cfRule type="containsText" priority="12309" operator="containsText" dxfId="7" text="PATH">
      <formula>NOT(ISERROR(SEARCH(("PATH"),(AX24))))</formula>
    </cfRule>
    <cfRule type="containsText" priority="12310" operator="containsText" dxfId="7" text="NEPHRO">
      <formula>NOT(ISERROR(SEARCH(("NEPHRO"),(AX24))))</formula>
    </cfRule>
    <cfRule type="containsText" priority="12311" operator="containsText" dxfId="7" text="PULM">
      <formula>NOT(ISERROR(SEARCH(("PULM"),(AX24))))</formula>
    </cfRule>
    <cfRule type="containsText" priority="12312" operator="containsText" dxfId="7" text="RADIOLOGY">
      <formula>NOT(ISERROR(SEARCH(("RADIOLOGY"),(AX24))))</formula>
    </cfRule>
    <cfRule type="containsText" priority="12313" operator="containsText" dxfId="7" text="HEM/ONC">
      <formula>NOT(ISERROR(SEARCH(("HEM/ONC"),(AX24))))</formula>
    </cfRule>
    <cfRule type="containsText" priority="12314" operator="containsText" dxfId="7" text="CARDIO">
      <formula>NOT(ISERROR(SEARCH(("CARDIO"),(AX24))))</formula>
    </cfRule>
    <cfRule type="containsText" priority="12315" operator="containsText" dxfId="7" text="ID">
      <formula>NOT(ISERROR(SEARCH(("ID"),(AX24))))</formula>
    </cfRule>
    <cfRule type="containsText" priority="12316" operator="containsText" dxfId="7" text="NEURO">
      <formula>NOT(ISERROR(SEARCH(("NEURO"),(AX24))))</formula>
    </cfRule>
    <cfRule type="containsText" priority="12317" operator="containsText" dxfId="6" text="NEURO">
      <formula>NOT(ISERROR(SEARCH(("NEURO"),(AX24))))</formula>
    </cfRule>
    <cfRule type="containsText" priority="12318" operator="containsText" dxfId="5" text="NEURO">
      <formula>NOT(ISERROR(SEARCH(("NEURO"),(AX24))))</formula>
    </cfRule>
    <cfRule type="containsText" priority="12319" operator="containsText" dxfId="0" text="ICU N">
      <formula>NOT(ISERROR(SEARCH(("ICU N"),(AX24))))</formula>
    </cfRule>
    <cfRule type="containsText" priority="12320" operator="containsText" dxfId="3" text="ICU">
      <formula>NOT(ISERROR(SEARCH(("ICU"),(AX24))))</formula>
    </cfRule>
    <cfRule type="containsText" priority="12321" operator="containsText" dxfId="0" text="SWING">
      <formula>NOT(ISERROR(SEARCH(("SWING"),(AX24))))</formula>
    </cfRule>
    <cfRule type="containsText" priority="12322" operator="containsText" dxfId="0" text="NF">
      <formula>NOT(ISERROR(SEARCH(("NF"),(AX24))))</formula>
    </cfRule>
    <cfRule type="containsText" priority="12323" operator="containsText" dxfId="0" text="ICU N">
      <formula>NOT(ISERROR(SEARCH(("ICU N"),(AX24))))</formula>
    </cfRule>
    <cfRule type="containsText" priority="12295" operator="containsText" dxfId="7" text="PATH">
      <formula>NOT(ISERROR(SEARCH(("PATH"),(AX24))))</formula>
    </cfRule>
    <cfRule type="containsText" priority="12296" operator="containsText" dxfId="7" text="NEPHRO">
      <formula>NOT(ISERROR(SEARCH(("NEPHRO"),(AX24))))</formula>
    </cfRule>
    <cfRule type="containsText" priority="12297" operator="containsText" dxfId="7" text="PULM">
      <formula>NOT(ISERROR(SEARCH(("PULM"),(AX24))))</formula>
    </cfRule>
    <cfRule type="containsText" priority="12298" operator="containsText" dxfId="7" text="RADIOLOGY">
      <formula>NOT(ISERROR(SEARCH(("RADIOLOGY"),(AX24))))</formula>
    </cfRule>
    <cfRule type="containsText" priority="12299" operator="containsText" dxfId="7" text="HEM/ONC">
      <formula>NOT(ISERROR(SEARCH(("HEM/ONC"),(AX24))))</formula>
    </cfRule>
    <cfRule type="containsText" priority="12300" operator="containsText" dxfId="7" text="CARDIO">
      <formula>NOT(ISERROR(SEARCH(("CARDIO"),(AX24))))</formula>
    </cfRule>
    <cfRule type="containsText" priority="12301" operator="containsText" dxfId="7" text="ID">
      <formula>NOT(ISERROR(SEARCH(("ID"),(AX24))))</formula>
    </cfRule>
    <cfRule type="containsText" priority="12302" operator="containsText" dxfId="7" text="NEURO">
      <formula>NOT(ISERROR(SEARCH(("NEURO"),(AX24))))</formula>
    </cfRule>
    <cfRule type="containsText" priority="12303" operator="containsText" dxfId="6" text="NEURO">
      <formula>NOT(ISERROR(SEARCH(("NEURO"),(AX24))))</formula>
    </cfRule>
    <cfRule type="containsText" priority="12304" operator="containsText" dxfId="5" text="NEURO">
      <formula>NOT(ISERROR(SEARCH(("NEURO"),(AX24))))</formula>
    </cfRule>
    <cfRule type="containsText" priority="12305" operator="containsText" dxfId="0" text="ICU N">
      <formula>NOT(ISERROR(SEARCH(("ICU N"),(AX24))))</formula>
    </cfRule>
    <cfRule type="containsText" priority="12306" operator="containsText" dxfId="3" text="ICU">
      <formula>NOT(ISERROR(SEARCH(("ICU"),(AX24))))</formula>
    </cfRule>
    <cfRule type="containsText" priority="12307" operator="containsText" dxfId="0" text="SWING">
      <formula>NOT(ISERROR(SEARCH(("SWING"),(AX24))))</formula>
    </cfRule>
    <cfRule type="containsText" priority="12308" operator="containsText" dxfId="0" text="NF">
      <formula>NOT(ISERROR(SEARCH(("NF"),(AX24))))</formula>
    </cfRule>
    <cfRule type="containsText" priority="7837" operator="containsText" dxfId="0" text="ICU N">
      <formula>NOT(ISERROR(SEARCH(("ICU N"),(AX24))))</formula>
    </cfRule>
    <cfRule type="containsText" priority="7822" operator="containsText" dxfId="7" text="PATH">
      <formula>NOT(ISERROR(SEARCH(("PATH"),(AX24))))</formula>
    </cfRule>
    <cfRule type="containsText" priority="7823" operator="containsText" dxfId="7" text="NEPHRO">
      <formula>NOT(ISERROR(SEARCH(("NEPHRO"),(AX24))))</formula>
    </cfRule>
    <cfRule type="containsText" priority="7824" operator="containsText" dxfId="7" text="PULM">
      <formula>NOT(ISERROR(SEARCH(("PULM"),(AX24))))</formula>
    </cfRule>
    <cfRule type="containsText" priority="7825" operator="containsText" dxfId="7" text="RADIOLOGY">
      <formula>NOT(ISERROR(SEARCH(("RADIOLOGY"),(AX24))))</formula>
    </cfRule>
    <cfRule type="containsText" priority="7826" operator="containsText" dxfId="7" text="HEM/ONC">
      <formula>NOT(ISERROR(SEARCH(("HEM/ONC"),(AX24))))</formula>
    </cfRule>
    <cfRule type="containsText" priority="7827" operator="containsText" dxfId="7" text="CARDIO">
      <formula>NOT(ISERROR(SEARCH(("CARDIO"),(AX24))))</formula>
    </cfRule>
    <cfRule type="containsText" priority="7828" operator="containsText" dxfId="7" text="ID">
      <formula>NOT(ISERROR(SEARCH(("ID"),(AX24))))</formula>
    </cfRule>
    <cfRule type="containsText" priority="7829" operator="containsText" dxfId="7" text="NEURO">
      <formula>NOT(ISERROR(SEARCH(("NEURO"),(AX24))))</formula>
    </cfRule>
    <cfRule type="containsText" priority="7830" operator="containsText" dxfId="6" text="NEURO">
      <formula>NOT(ISERROR(SEARCH(("NEURO"),(AX24))))</formula>
    </cfRule>
    <cfRule type="containsText" priority="7831" operator="containsText" dxfId="5" text="NEURO">
      <formula>NOT(ISERROR(SEARCH(("NEURO"),(AX24))))</formula>
    </cfRule>
    <cfRule type="containsText" priority="7832" operator="containsText" dxfId="0" text="ICU N">
      <formula>NOT(ISERROR(SEARCH(("ICU N"),(AX24))))</formula>
    </cfRule>
    <cfRule type="containsText" priority="7833" operator="containsText" dxfId="3" text="ICU">
      <formula>NOT(ISERROR(SEARCH(("ICU"),(AX24))))</formula>
    </cfRule>
    <cfRule type="containsText" priority="7834" operator="containsText" dxfId="0" text="SWING">
      <formula>NOT(ISERROR(SEARCH(("SWING"),(AX24))))</formula>
    </cfRule>
    <cfRule type="containsText" priority="7835" operator="containsText" dxfId="0" text="NF">
      <formula>NOT(ISERROR(SEARCH(("NF"),(AX24))))</formula>
    </cfRule>
    <cfRule type="containsText" priority="7836" operator="containsText" dxfId="0" text="ICU N">
      <formula>NOT(ISERROR(SEARCH(("ICU N"),(AX24))))</formula>
    </cfRule>
  </conditionalFormatting>
  <conditionalFormatting sqref="AY24">
    <cfRule type="containsText" priority="12280" operator="containsText" dxfId="7" text="PATH">
      <formula>NOT(ISERROR(SEARCH(("PATH"),(AY24))))</formula>
    </cfRule>
    <cfRule type="containsText" priority="12281" operator="containsText" dxfId="7" text="NEPHRO">
      <formula>NOT(ISERROR(SEARCH(("NEPHRO"),(AY24))))</formula>
    </cfRule>
    <cfRule type="containsText" priority="12282" operator="containsText" dxfId="7" text="PULM">
      <formula>NOT(ISERROR(SEARCH(("PULM"),(AY24))))</formula>
    </cfRule>
    <cfRule type="containsText" priority="12283" operator="containsText" dxfId="7" text="RADIOLOGY">
      <formula>NOT(ISERROR(SEARCH(("RADIOLOGY"),(AY24))))</formula>
    </cfRule>
    <cfRule type="containsText" priority="12284" operator="containsText" dxfId="7" text="HEM/ONC">
      <formula>NOT(ISERROR(SEARCH(("HEM/ONC"),(AY24))))</formula>
    </cfRule>
    <cfRule type="containsText" priority="12285" operator="containsText" dxfId="7" text="CARDIO">
      <formula>NOT(ISERROR(SEARCH(("CARDIO"),(AY24))))</formula>
    </cfRule>
    <cfRule type="containsText" priority="12286" operator="containsText" dxfId="7" text="ID">
      <formula>NOT(ISERROR(SEARCH(("ID"),(AY24))))</formula>
    </cfRule>
    <cfRule type="containsText" priority="12287" operator="containsText" dxfId="7" text="NEURO">
      <formula>NOT(ISERROR(SEARCH(("NEURO"),(AY24))))</formula>
    </cfRule>
    <cfRule type="containsText" priority="12288" operator="containsText" dxfId="6" text="NEURO">
      <formula>NOT(ISERROR(SEARCH(("NEURO"),(AY24))))</formula>
    </cfRule>
    <cfRule type="containsText" priority="12289" operator="containsText" dxfId="5" text="NEURO">
      <formula>NOT(ISERROR(SEARCH(("NEURO"),(AY24))))</formula>
    </cfRule>
    <cfRule type="containsText" priority="12290" operator="containsText" dxfId="0" text="ICU N">
      <formula>NOT(ISERROR(SEARCH(("ICU N"),(AY24))))</formula>
    </cfRule>
    <cfRule type="containsText" priority="12291" operator="containsText" dxfId="3" text="ICU">
      <formula>NOT(ISERROR(SEARCH(("ICU"),(AY24))))</formula>
    </cfRule>
    <cfRule type="containsText" priority="12292" operator="containsText" dxfId="0" text="SWING">
      <formula>NOT(ISERROR(SEARCH(("SWING"),(AY24))))</formula>
    </cfRule>
    <cfRule type="containsText" priority="12293" operator="containsText" dxfId="0" text="NF">
      <formula>NOT(ISERROR(SEARCH(("NF"),(AY24))))</formula>
    </cfRule>
    <cfRule type="containsText" priority="12294" operator="containsText" dxfId="0" text="ICU N">
      <formula>NOT(ISERROR(SEARCH(("ICU N"),(AY24))))</formula>
    </cfRule>
    <cfRule type="containsText" priority="12266" operator="containsText" dxfId="7" text="PATH">
      <formula>NOT(ISERROR(SEARCH(("PATH"),(AY24))))</formula>
    </cfRule>
    <cfRule type="containsText" priority="12267" operator="containsText" dxfId="7" text="NEPHRO">
      <formula>NOT(ISERROR(SEARCH(("NEPHRO"),(AY24))))</formula>
    </cfRule>
    <cfRule type="containsText" priority="12268" operator="containsText" dxfId="7" text="PULM">
      <formula>NOT(ISERROR(SEARCH(("PULM"),(AY24))))</formula>
    </cfRule>
    <cfRule type="containsText" priority="12269" operator="containsText" dxfId="7" text="RADIOLOGY">
      <formula>NOT(ISERROR(SEARCH(("RADIOLOGY"),(AY24))))</formula>
    </cfRule>
    <cfRule type="containsText" priority="12270" operator="containsText" dxfId="7" text="HEM/ONC">
      <formula>NOT(ISERROR(SEARCH(("HEM/ONC"),(AY24))))</formula>
    </cfRule>
    <cfRule type="containsText" priority="12271" operator="containsText" dxfId="7" text="CARDIO">
      <formula>NOT(ISERROR(SEARCH(("CARDIO"),(AY24))))</formula>
    </cfRule>
    <cfRule type="containsText" priority="12272" operator="containsText" dxfId="7" text="ID">
      <formula>NOT(ISERROR(SEARCH(("ID"),(AY24))))</formula>
    </cfRule>
    <cfRule type="containsText" priority="12273" operator="containsText" dxfId="7" text="NEURO">
      <formula>NOT(ISERROR(SEARCH(("NEURO"),(AY24))))</formula>
    </cfRule>
    <cfRule type="containsText" priority="12274" operator="containsText" dxfId="6" text="NEURO">
      <formula>NOT(ISERROR(SEARCH(("NEURO"),(AY24))))</formula>
    </cfRule>
    <cfRule type="containsText" priority="12275" operator="containsText" dxfId="5" text="NEURO">
      <formula>NOT(ISERROR(SEARCH(("NEURO"),(AY24))))</formula>
    </cfRule>
    <cfRule type="containsText" priority="12276" operator="containsText" dxfId="0" text="ICU N">
      <formula>NOT(ISERROR(SEARCH(("ICU N"),(AY24))))</formula>
    </cfRule>
    <cfRule type="containsText" priority="12277" operator="containsText" dxfId="3" text="ICU">
      <formula>NOT(ISERROR(SEARCH(("ICU"),(AY24))))</formula>
    </cfRule>
    <cfRule type="containsText" priority="12278" operator="containsText" dxfId="0" text="SWING">
      <formula>NOT(ISERROR(SEARCH(("SWING"),(AY24))))</formula>
    </cfRule>
    <cfRule type="containsText" priority="12279" operator="containsText" dxfId="0" text="NF">
      <formula>NOT(ISERROR(SEARCH(("NF"),(AY24))))</formula>
    </cfRule>
  </conditionalFormatting>
  <conditionalFormatting sqref="AY24:AZ24">
    <cfRule type="containsText" priority="12251" operator="containsText" dxfId="7" text="PATH">
      <formula>NOT(ISERROR(SEARCH(("PATH"),(AY24))))</formula>
    </cfRule>
    <cfRule type="containsText" priority="12252" operator="containsText" dxfId="7" text="NEPHRO">
      <formula>NOT(ISERROR(SEARCH(("NEPHRO"),(AY24))))</formula>
    </cfRule>
    <cfRule type="containsText" priority="12253" operator="containsText" dxfId="7" text="PULM">
      <formula>NOT(ISERROR(SEARCH(("PULM"),(AY24))))</formula>
    </cfRule>
    <cfRule type="containsText" priority="12254" operator="containsText" dxfId="7" text="RADIOLOGY">
      <formula>NOT(ISERROR(SEARCH(("RADIOLOGY"),(AY24))))</formula>
    </cfRule>
    <cfRule type="containsText" priority="12255" operator="containsText" dxfId="7" text="HEM/ONC">
      <formula>NOT(ISERROR(SEARCH(("HEM/ONC"),(AY24))))</formula>
    </cfRule>
    <cfRule type="containsText" priority="12256" operator="containsText" dxfId="7" text="CARDIO">
      <formula>NOT(ISERROR(SEARCH(("CARDIO"),(AY24))))</formula>
    </cfRule>
    <cfRule type="containsText" priority="12257" operator="containsText" dxfId="7" text="ID">
      <formula>NOT(ISERROR(SEARCH(("ID"),(AY24))))</formula>
    </cfRule>
    <cfRule type="containsText" priority="12258" operator="containsText" dxfId="7" text="NEURO">
      <formula>NOT(ISERROR(SEARCH(("NEURO"),(AY24))))</formula>
    </cfRule>
    <cfRule type="containsText" priority="12259" operator="containsText" dxfId="6" text="NEURO">
      <formula>NOT(ISERROR(SEARCH(("NEURO"),(AY24))))</formula>
    </cfRule>
    <cfRule type="containsText" priority="12260" operator="containsText" dxfId="5" text="NEURO">
      <formula>NOT(ISERROR(SEARCH(("NEURO"),(AY24))))</formula>
    </cfRule>
    <cfRule type="containsText" priority="12261" operator="containsText" dxfId="0" text="ICU N">
      <formula>NOT(ISERROR(SEARCH(("ICU N"),(AY24))))</formula>
    </cfRule>
    <cfRule type="containsText" priority="12262" operator="containsText" dxfId="3" text="ICU">
      <formula>NOT(ISERROR(SEARCH(("ICU"),(AY24))))</formula>
    </cfRule>
    <cfRule type="containsText" priority="12263" operator="containsText" dxfId="0" text="SWING">
      <formula>NOT(ISERROR(SEARCH(("SWING"),(AY24))))</formula>
    </cfRule>
    <cfRule type="containsText" priority="12264" operator="containsText" dxfId="0" text="NF">
      <formula>NOT(ISERROR(SEARCH(("NF"),(AY24))))</formula>
    </cfRule>
    <cfRule type="containsText" priority="12265" operator="containsText" dxfId="0" text="ICU N">
      <formula>NOT(ISERROR(SEARCH(("ICU N"),(AY24))))</formula>
    </cfRule>
    <cfRule type="containsText" priority="12237" operator="containsText" dxfId="7" text="PATH">
      <formula>NOT(ISERROR(SEARCH(("PATH"),(AY24))))</formula>
    </cfRule>
    <cfRule type="containsText" priority="12238" operator="containsText" dxfId="7" text="NEPHRO">
      <formula>NOT(ISERROR(SEARCH(("NEPHRO"),(AY24))))</formula>
    </cfRule>
    <cfRule type="containsText" priority="12239" operator="containsText" dxfId="7" text="PULM">
      <formula>NOT(ISERROR(SEARCH(("PULM"),(AY24))))</formula>
    </cfRule>
    <cfRule type="containsText" priority="12240" operator="containsText" dxfId="7" text="RADIOLOGY">
      <formula>NOT(ISERROR(SEARCH(("RADIOLOGY"),(AY24))))</formula>
    </cfRule>
    <cfRule type="containsText" priority="12241" operator="containsText" dxfId="7" text="HEM/ONC">
      <formula>NOT(ISERROR(SEARCH(("HEM/ONC"),(AY24))))</formula>
    </cfRule>
    <cfRule type="containsText" priority="12242" operator="containsText" dxfId="7" text="CARDIO">
      <formula>NOT(ISERROR(SEARCH(("CARDIO"),(AY24))))</formula>
    </cfRule>
    <cfRule type="containsText" priority="12243" operator="containsText" dxfId="7" text="ID">
      <formula>NOT(ISERROR(SEARCH(("ID"),(AY24))))</formula>
    </cfRule>
    <cfRule type="containsText" priority="12244" operator="containsText" dxfId="7" text="NEURO">
      <formula>NOT(ISERROR(SEARCH(("NEURO"),(AY24))))</formula>
    </cfRule>
    <cfRule type="containsText" priority="12245" operator="containsText" dxfId="6" text="NEURO">
      <formula>NOT(ISERROR(SEARCH(("NEURO"),(AY24))))</formula>
    </cfRule>
    <cfRule type="containsText" priority="12246" operator="containsText" dxfId="5" text="NEURO">
      <formula>NOT(ISERROR(SEARCH(("NEURO"),(AY24))))</formula>
    </cfRule>
    <cfRule type="containsText" priority="12247" operator="containsText" dxfId="0" text="ICU N">
      <formula>NOT(ISERROR(SEARCH(("ICU N"),(AY24))))</formula>
    </cfRule>
    <cfRule type="containsText" priority="12248" operator="containsText" dxfId="3" text="ICU">
      <formula>NOT(ISERROR(SEARCH(("ICU"),(AY24))))</formula>
    </cfRule>
    <cfRule type="containsText" priority="12249" operator="containsText" dxfId="0" text="SWING">
      <formula>NOT(ISERROR(SEARCH(("SWING"),(AY24))))</formula>
    </cfRule>
    <cfRule type="containsText" priority="12250" operator="containsText" dxfId="0" text="NF">
      <formula>NOT(ISERROR(SEARCH(("NF"),(AY24))))</formula>
    </cfRule>
  </conditionalFormatting>
  <conditionalFormatting sqref="BA10">
    <cfRule type="containsText" priority="12222" operator="containsText" dxfId="7" text="PATH">
      <formula>NOT(ISERROR(SEARCH(("PATH"),(BA10))))</formula>
    </cfRule>
    <cfRule type="containsText" priority="12223" operator="containsText" dxfId="7" text="NEPHRO">
      <formula>NOT(ISERROR(SEARCH(("NEPHRO"),(BA10))))</formula>
    </cfRule>
    <cfRule type="containsText" priority="12224" operator="containsText" dxfId="7" text="PULM">
      <formula>NOT(ISERROR(SEARCH(("PULM"),(BA10))))</formula>
    </cfRule>
    <cfRule type="containsText" priority="12225" operator="containsText" dxfId="7" text="RADIOLOGY">
      <formula>NOT(ISERROR(SEARCH(("RADIOLOGY"),(BA10))))</formula>
    </cfRule>
    <cfRule type="containsText" priority="12226" operator="containsText" dxfId="7" text="HEM/ONC">
      <formula>NOT(ISERROR(SEARCH(("HEM/ONC"),(BA10))))</formula>
    </cfRule>
    <cfRule type="containsText" priority="12227" operator="containsText" dxfId="7" text="CARDIO">
      <formula>NOT(ISERROR(SEARCH(("CARDIO"),(BA10))))</formula>
    </cfRule>
    <cfRule type="containsText" priority="12228" operator="containsText" dxfId="7" text="ID">
      <formula>NOT(ISERROR(SEARCH(("ID"),(BA10))))</formula>
    </cfRule>
    <cfRule type="containsText" priority="12229" operator="containsText" dxfId="7" text="NEURO">
      <formula>NOT(ISERROR(SEARCH(("NEURO"),(BA10))))</formula>
    </cfRule>
    <cfRule type="containsText" priority="12230" operator="containsText" dxfId="6" text="NEURO">
      <formula>NOT(ISERROR(SEARCH(("NEURO"),(BA10))))</formula>
    </cfRule>
    <cfRule type="containsText" priority="12231" operator="containsText" dxfId="5" text="NEURO">
      <formula>NOT(ISERROR(SEARCH(("NEURO"),(BA10))))</formula>
    </cfRule>
    <cfRule type="containsText" priority="12232" operator="containsText" dxfId="0" text="ICU N">
      <formula>NOT(ISERROR(SEARCH(("ICU N"),(BA10))))</formula>
    </cfRule>
    <cfRule type="containsText" priority="12233" operator="containsText" dxfId="3" text="ICU">
      <formula>NOT(ISERROR(SEARCH(("ICU"),(BA10))))</formula>
    </cfRule>
    <cfRule type="containsText" priority="12234" operator="containsText" dxfId="0" text="SWING">
      <formula>NOT(ISERROR(SEARCH(("SWING"),(BA10))))</formula>
    </cfRule>
    <cfRule type="containsText" priority="12235" operator="containsText" dxfId="0" text="NF">
      <formula>NOT(ISERROR(SEARCH(("NF"),(BA10))))</formula>
    </cfRule>
    <cfRule type="containsText" priority="12236" operator="containsText" dxfId="0" text="ICU N">
      <formula>NOT(ISERROR(SEARCH(("ICU N"),(BA10))))</formula>
    </cfRule>
    <cfRule type="containsText" priority="12208" operator="containsText" dxfId="7" text="PATH">
      <formula>NOT(ISERROR(SEARCH(("PATH"),(BA10))))</formula>
    </cfRule>
    <cfRule type="containsText" priority="12209" operator="containsText" dxfId="7" text="NEPHRO">
      <formula>NOT(ISERROR(SEARCH(("NEPHRO"),(BA10))))</formula>
    </cfRule>
    <cfRule type="containsText" priority="12210" operator="containsText" dxfId="7" text="PULM">
      <formula>NOT(ISERROR(SEARCH(("PULM"),(BA10))))</formula>
    </cfRule>
    <cfRule type="containsText" priority="12211" operator="containsText" dxfId="7" text="RADIOLOGY">
      <formula>NOT(ISERROR(SEARCH(("RADIOLOGY"),(BA10))))</formula>
    </cfRule>
    <cfRule type="containsText" priority="12212" operator="containsText" dxfId="7" text="HEM/ONC">
      <formula>NOT(ISERROR(SEARCH(("HEM/ONC"),(BA10))))</formula>
    </cfRule>
    <cfRule type="containsText" priority="12213" operator="containsText" dxfId="7" text="CARDIO">
      <formula>NOT(ISERROR(SEARCH(("CARDIO"),(BA10))))</formula>
    </cfRule>
    <cfRule type="containsText" priority="12214" operator="containsText" dxfId="7" text="ID">
      <formula>NOT(ISERROR(SEARCH(("ID"),(BA10))))</formula>
    </cfRule>
    <cfRule type="containsText" priority="12215" operator="containsText" dxfId="7" text="NEURO">
      <formula>NOT(ISERROR(SEARCH(("NEURO"),(BA10))))</formula>
    </cfRule>
    <cfRule type="containsText" priority="12216" operator="containsText" dxfId="6" text="NEURO">
      <formula>NOT(ISERROR(SEARCH(("NEURO"),(BA10))))</formula>
    </cfRule>
    <cfRule type="containsText" priority="12217" operator="containsText" dxfId="5" text="NEURO">
      <formula>NOT(ISERROR(SEARCH(("NEURO"),(BA10))))</formula>
    </cfRule>
    <cfRule type="containsText" priority="12218" operator="containsText" dxfId="0" text="ICU N">
      <formula>NOT(ISERROR(SEARCH(("ICU N"),(BA10))))</formula>
    </cfRule>
    <cfRule type="containsText" priority="12219" operator="containsText" dxfId="3" text="ICU">
      <formula>NOT(ISERROR(SEARCH(("ICU"),(BA10))))</formula>
    </cfRule>
    <cfRule type="containsText" priority="12220" operator="containsText" dxfId="0" text="SWING">
      <formula>NOT(ISERROR(SEARCH(("SWING"),(BA10))))</formula>
    </cfRule>
    <cfRule type="containsText" priority="12221" operator="containsText" dxfId="0" text="NF">
      <formula>NOT(ISERROR(SEARCH(("NF"),(BA10))))</formula>
    </cfRule>
  </conditionalFormatting>
  <conditionalFormatting sqref="AZ10">
    <cfRule type="containsText" priority="12135" operator="containsText" dxfId="7" text="PATH">
      <formula>NOT(ISERROR(SEARCH(("PATH"),(AZ10))))</formula>
    </cfRule>
    <cfRule type="containsText" priority="12136" operator="containsText" dxfId="7" text="NEPHRO">
      <formula>NOT(ISERROR(SEARCH(("NEPHRO"),(AZ10))))</formula>
    </cfRule>
    <cfRule type="containsText" priority="12137" operator="containsText" dxfId="7" text="PULM">
      <formula>NOT(ISERROR(SEARCH(("PULM"),(AZ10))))</formula>
    </cfRule>
    <cfRule type="containsText" priority="12138" operator="containsText" dxfId="7" text="RADIOLOGY">
      <formula>NOT(ISERROR(SEARCH(("RADIOLOGY"),(AZ10))))</formula>
    </cfRule>
    <cfRule type="containsText" priority="12139" operator="containsText" dxfId="7" text="HEM/ONC">
      <formula>NOT(ISERROR(SEARCH(("HEM/ONC"),(AZ10))))</formula>
    </cfRule>
    <cfRule type="containsText" priority="12140" operator="containsText" dxfId="7" text="CARDIO">
      <formula>NOT(ISERROR(SEARCH(("CARDIO"),(AZ10))))</formula>
    </cfRule>
    <cfRule type="containsText" priority="12141" operator="containsText" dxfId="7" text="ID">
      <formula>NOT(ISERROR(SEARCH(("ID"),(AZ10))))</formula>
    </cfRule>
    <cfRule type="containsText" priority="12142" operator="containsText" dxfId="7" text="NEURO">
      <formula>NOT(ISERROR(SEARCH(("NEURO"),(AZ10))))</formula>
    </cfRule>
    <cfRule type="containsText" priority="12143" operator="containsText" dxfId="6" text="NEURO">
      <formula>NOT(ISERROR(SEARCH(("NEURO"),(AZ10))))</formula>
    </cfRule>
    <cfRule type="containsText" priority="12144" operator="containsText" dxfId="5" text="NEURO">
      <formula>NOT(ISERROR(SEARCH(("NEURO"),(AZ10))))</formula>
    </cfRule>
    <cfRule type="containsText" priority="12145" operator="containsText" dxfId="0" text="ICU N">
      <formula>NOT(ISERROR(SEARCH(("ICU N"),(AZ10))))</formula>
    </cfRule>
    <cfRule type="containsText" priority="12146" operator="containsText" dxfId="3" text="ICU">
      <formula>NOT(ISERROR(SEARCH(("ICU"),(AZ10))))</formula>
    </cfRule>
    <cfRule type="containsText" priority="12147" operator="containsText" dxfId="0" text="SWING">
      <formula>NOT(ISERROR(SEARCH(("SWING"),(AZ10))))</formula>
    </cfRule>
    <cfRule type="containsText" priority="12148" operator="containsText" dxfId="0" text="NF">
      <formula>NOT(ISERROR(SEARCH(("NF"),(AZ10))))</formula>
    </cfRule>
    <cfRule type="containsText" priority="12149" operator="containsText" dxfId="0" text="ICU N">
      <formula>NOT(ISERROR(SEARCH(("ICU N"),(AZ10))))</formula>
    </cfRule>
    <cfRule type="containsText" priority="12121" operator="containsText" dxfId="7" text="PATH">
      <formula>NOT(ISERROR(SEARCH(("PATH"),(AZ10))))</formula>
    </cfRule>
    <cfRule type="containsText" priority="12122" operator="containsText" dxfId="7" text="NEPHRO">
      <formula>NOT(ISERROR(SEARCH(("NEPHRO"),(AZ10))))</formula>
    </cfRule>
    <cfRule type="containsText" priority="12123" operator="containsText" dxfId="7" text="PULM">
      <formula>NOT(ISERROR(SEARCH(("PULM"),(AZ10))))</formula>
    </cfRule>
    <cfRule type="containsText" priority="12124" operator="containsText" dxfId="7" text="RADIOLOGY">
      <formula>NOT(ISERROR(SEARCH(("RADIOLOGY"),(AZ10))))</formula>
    </cfRule>
    <cfRule type="containsText" priority="12125" operator="containsText" dxfId="7" text="HEM/ONC">
      <formula>NOT(ISERROR(SEARCH(("HEM/ONC"),(AZ10))))</formula>
    </cfRule>
    <cfRule type="containsText" priority="12126" operator="containsText" dxfId="7" text="CARDIO">
      <formula>NOT(ISERROR(SEARCH(("CARDIO"),(AZ10))))</formula>
    </cfRule>
    <cfRule type="containsText" priority="12127" operator="containsText" dxfId="7" text="ID">
      <formula>NOT(ISERROR(SEARCH(("ID"),(AZ10))))</formula>
    </cfRule>
    <cfRule type="containsText" priority="12128" operator="containsText" dxfId="7" text="NEURO">
      <formula>NOT(ISERROR(SEARCH(("NEURO"),(AZ10))))</formula>
    </cfRule>
    <cfRule type="containsText" priority="12129" operator="containsText" dxfId="6" text="NEURO">
      <formula>NOT(ISERROR(SEARCH(("NEURO"),(AZ10))))</formula>
    </cfRule>
    <cfRule type="containsText" priority="12130" operator="containsText" dxfId="5" text="NEURO">
      <formula>NOT(ISERROR(SEARCH(("NEURO"),(AZ10))))</formula>
    </cfRule>
    <cfRule type="containsText" priority="12131" operator="containsText" dxfId="0" text="ICU N">
      <formula>NOT(ISERROR(SEARCH(("ICU N"),(AZ10))))</formula>
    </cfRule>
    <cfRule type="containsText" priority="12132" operator="containsText" dxfId="3" text="ICU">
      <formula>NOT(ISERROR(SEARCH(("ICU"),(AZ10))))</formula>
    </cfRule>
    <cfRule type="containsText" priority="12133" operator="containsText" dxfId="0" text="SWING">
      <formula>NOT(ISERROR(SEARCH(("SWING"),(AZ10))))</formula>
    </cfRule>
    <cfRule type="containsText" priority="12134" operator="containsText" dxfId="0" text="NF">
      <formula>NOT(ISERROR(SEARCH(("NF"),(AZ10))))</formula>
    </cfRule>
    <cfRule type="containsText" priority="12106" operator="containsText" dxfId="7" text="PATH">
      <formula>NOT(ISERROR(SEARCH(("PATH"),(AZ10))))</formula>
    </cfRule>
    <cfRule type="containsText" priority="12107" operator="containsText" dxfId="7" text="NEPHRO">
      <formula>NOT(ISERROR(SEARCH(("NEPHRO"),(AZ10))))</formula>
    </cfRule>
    <cfRule type="containsText" priority="12108" operator="containsText" dxfId="7" text="PULM">
      <formula>NOT(ISERROR(SEARCH(("PULM"),(AZ10))))</formula>
    </cfRule>
    <cfRule type="containsText" priority="12109" operator="containsText" dxfId="7" text="RADIOLOGY">
      <formula>NOT(ISERROR(SEARCH(("RADIOLOGY"),(AZ10))))</formula>
    </cfRule>
    <cfRule type="containsText" priority="12110" operator="containsText" dxfId="7" text="HEM/ONC">
      <formula>NOT(ISERROR(SEARCH(("HEM/ONC"),(AZ10))))</formula>
    </cfRule>
    <cfRule type="containsText" priority="12111" operator="containsText" dxfId="7" text="CARDIO">
      <formula>NOT(ISERROR(SEARCH(("CARDIO"),(AZ10))))</formula>
    </cfRule>
    <cfRule type="containsText" priority="12112" operator="containsText" dxfId="7" text="ID">
      <formula>NOT(ISERROR(SEARCH(("ID"),(AZ10))))</formula>
    </cfRule>
    <cfRule type="containsText" priority="12113" operator="containsText" dxfId="7" text="NEURO">
      <formula>NOT(ISERROR(SEARCH(("NEURO"),(AZ10))))</formula>
    </cfRule>
    <cfRule type="containsText" priority="12114" operator="containsText" dxfId="6" text="NEURO">
      <formula>NOT(ISERROR(SEARCH(("NEURO"),(AZ10))))</formula>
    </cfRule>
    <cfRule type="containsText" priority="12115" operator="containsText" dxfId="5" text="NEURO">
      <formula>NOT(ISERROR(SEARCH(("NEURO"),(AZ10))))</formula>
    </cfRule>
    <cfRule type="containsText" priority="12116" operator="containsText" dxfId="0" text="ICU N">
      <formula>NOT(ISERROR(SEARCH(("ICU N"),(AZ10))))</formula>
    </cfRule>
    <cfRule type="containsText" priority="12117" operator="containsText" dxfId="3" text="ICU">
      <formula>NOT(ISERROR(SEARCH(("ICU"),(AZ10))))</formula>
    </cfRule>
    <cfRule type="containsText" priority="12118" operator="containsText" dxfId="0" text="SWING">
      <formula>NOT(ISERROR(SEARCH(("SWING"),(AZ10))))</formula>
    </cfRule>
    <cfRule type="containsText" priority="12119" operator="containsText" dxfId="0" text="NF">
      <formula>NOT(ISERROR(SEARCH(("NF"),(AZ10))))</formula>
    </cfRule>
    <cfRule type="containsText" priority="12120" operator="containsText" dxfId="0" text="ICU N">
      <formula>NOT(ISERROR(SEARCH(("ICU N"),(AZ10))))</formula>
    </cfRule>
    <cfRule type="containsText" priority="12092" operator="containsText" dxfId="7" text="PATH">
      <formula>NOT(ISERROR(SEARCH(("PATH"),(AZ10))))</formula>
    </cfRule>
    <cfRule type="containsText" priority="12093" operator="containsText" dxfId="7" text="NEPHRO">
      <formula>NOT(ISERROR(SEARCH(("NEPHRO"),(AZ10))))</formula>
    </cfRule>
    <cfRule type="containsText" priority="12094" operator="containsText" dxfId="7" text="PULM">
      <formula>NOT(ISERROR(SEARCH(("PULM"),(AZ10))))</formula>
    </cfRule>
    <cfRule type="containsText" priority="12095" operator="containsText" dxfId="7" text="RADIOLOGY">
      <formula>NOT(ISERROR(SEARCH(("RADIOLOGY"),(AZ10))))</formula>
    </cfRule>
    <cfRule type="containsText" priority="12096" operator="containsText" dxfId="7" text="HEM/ONC">
      <formula>NOT(ISERROR(SEARCH(("HEM/ONC"),(AZ10))))</formula>
    </cfRule>
    <cfRule type="containsText" priority="12097" operator="containsText" dxfId="7" text="CARDIO">
      <formula>NOT(ISERROR(SEARCH(("CARDIO"),(AZ10))))</formula>
    </cfRule>
    <cfRule type="containsText" priority="12098" operator="containsText" dxfId="7" text="ID">
      <formula>NOT(ISERROR(SEARCH(("ID"),(AZ10))))</formula>
    </cfRule>
    <cfRule type="containsText" priority="12099" operator="containsText" dxfId="7" text="NEURO">
      <formula>NOT(ISERROR(SEARCH(("NEURO"),(AZ10))))</formula>
    </cfRule>
    <cfRule type="containsText" priority="12100" operator="containsText" dxfId="6" text="NEURO">
      <formula>NOT(ISERROR(SEARCH(("NEURO"),(AZ10))))</formula>
    </cfRule>
    <cfRule type="containsText" priority="12101" operator="containsText" dxfId="5" text="NEURO">
      <formula>NOT(ISERROR(SEARCH(("NEURO"),(AZ10))))</formula>
    </cfRule>
    <cfRule type="containsText" priority="12102" operator="containsText" dxfId="0" text="ICU N">
      <formula>NOT(ISERROR(SEARCH(("ICU N"),(AZ10))))</formula>
    </cfRule>
    <cfRule type="containsText" priority="12103" operator="containsText" dxfId="3" text="ICU">
      <formula>NOT(ISERROR(SEARCH(("ICU"),(AZ10))))</formula>
    </cfRule>
    <cfRule type="containsText" priority="12104" operator="containsText" dxfId="0" text="SWING">
      <formula>NOT(ISERROR(SEARCH(("SWING"),(AZ10))))</formula>
    </cfRule>
    <cfRule type="containsText" priority="12105" operator="containsText" dxfId="0" text="NF">
      <formula>NOT(ISERROR(SEARCH(("NF"),(AZ10))))</formula>
    </cfRule>
  </conditionalFormatting>
  <conditionalFormatting sqref="K6">
    <cfRule type="containsText" priority="11930" operator="containsText" dxfId="16" text="ED">
      <formula>NOT(ISERROR(SEARCH(("ED"),(K6))))</formula>
    </cfRule>
    <cfRule type="containsText" priority="11931" operator="containsText" dxfId="15" text="GERIATRIC">
      <formula>NOT(ISERROR(SEARCH(("GERIATRIC"),(K6))))</formula>
    </cfRule>
    <cfRule type="containsText" priority="11932" operator="containsText" dxfId="17" text="VACATION">
      <formula>NOT(ISERROR(SEARCH(("VACATION"),(K6))))</formula>
    </cfRule>
    <cfRule type="containsText" priority="11933" operator="containsText" dxfId="7" text="PATH">
      <formula>NOT(ISERROR(SEARCH(("PATH"),(K6))))</formula>
    </cfRule>
    <cfRule type="containsText" priority="11934" operator="containsText" dxfId="7" text="NEPHRO">
      <formula>NOT(ISERROR(SEARCH(("NEPHRO"),(K6))))</formula>
    </cfRule>
    <cfRule type="containsText" priority="11935" operator="containsText" dxfId="7" text="PULM">
      <formula>NOT(ISERROR(SEARCH(("PULM"),(K6))))</formula>
    </cfRule>
    <cfRule type="containsText" priority="11936" operator="containsText" dxfId="7" text="RADIOLOGY">
      <formula>NOT(ISERROR(SEARCH(("RADIOLOGY"),(K6))))</formula>
    </cfRule>
    <cfRule type="containsText" priority="11937" operator="containsText" dxfId="7" text="HEM/ONC">
      <formula>NOT(ISERROR(SEARCH(("HEM/ONC"),(K6))))</formula>
    </cfRule>
    <cfRule type="containsText" priority="11938" operator="containsText" dxfId="7" text="CARDIO">
      <formula>NOT(ISERROR(SEARCH(("CARDIO"),(K6))))</formula>
    </cfRule>
    <cfRule type="containsText" priority="11939" operator="containsText" dxfId="7" text="ID">
      <formula>NOT(ISERROR(SEARCH(("ID"),(K6))))</formula>
    </cfRule>
    <cfRule type="containsText" priority="11940" operator="containsText" dxfId="7" text="NEURO">
      <formula>NOT(ISERROR(SEARCH(("NEURO"),(K6))))</formula>
    </cfRule>
    <cfRule type="containsText" priority="11941" operator="containsText" dxfId="6" text="NEURO">
      <formula>NOT(ISERROR(SEARCH(("NEURO"),(K6))))</formula>
    </cfRule>
    <cfRule type="containsText" priority="11942" operator="containsText" dxfId="5" text="NEURO">
      <formula>NOT(ISERROR(SEARCH(("NEURO"),(K6))))</formula>
    </cfRule>
    <cfRule type="containsText" priority="11943" operator="containsText" dxfId="0" text="ICU N">
      <formula>NOT(ISERROR(SEARCH(("ICU N"),(K6))))</formula>
    </cfRule>
    <cfRule type="containsText" priority="11944" operator="containsText" dxfId="3" text="ICU">
      <formula>NOT(ISERROR(SEARCH(("ICU"),(K6))))</formula>
    </cfRule>
    <cfRule type="containsText" priority="11945" operator="containsText" dxfId="0" text="SWING">
      <formula>NOT(ISERROR(SEARCH(("SWING"),(K6))))</formula>
    </cfRule>
    <cfRule type="containsText" priority="11946" operator="containsText" dxfId="0" text="NF">
      <formula>NOT(ISERROR(SEARCH(("NF"),(K6))))</formula>
    </cfRule>
    <cfRule type="containsText" priority="11947" operator="containsText" dxfId="0" text="ICU N">
      <formula>NOT(ISERROR(SEARCH(("ICU N"),(K6))))</formula>
    </cfRule>
    <cfRule type="containsText" priority="11912" operator="containsText" dxfId="16" text="ED">
      <formula>NOT(ISERROR(SEARCH(("ED"),(K6))))</formula>
    </cfRule>
    <cfRule type="containsText" priority="11913" operator="containsText" dxfId="15" text="GERIATRIC">
      <formula>NOT(ISERROR(SEARCH(("GERIATRIC"),(K6))))</formula>
    </cfRule>
    <cfRule type="containsText" priority="11914" operator="containsText" dxfId="17" text="VACATION">
      <formula>NOT(ISERROR(SEARCH(("VACATION"),(K6))))</formula>
    </cfRule>
    <cfRule type="containsText" priority="11915" operator="containsText" dxfId="7" text="PATH">
      <formula>NOT(ISERROR(SEARCH(("PATH"),(K6))))</formula>
    </cfRule>
    <cfRule type="containsText" priority="11916" operator="containsText" dxfId="7" text="NEPHRO">
      <formula>NOT(ISERROR(SEARCH(("NEPHRO"),(K6))))</formula>
    </cfRule>
    <cfRule type="containsText" priority="11917" operator="containsText" dxfId="7" text="PULM">
      <formula>NOT(ISERROR(SEARCH(("PULM"),(K6))))</formula>
    </cfRule>
    <cfRule type="containsText" priority="11918" operator="containsText" dxfId="7" text="RADIOLOGY">
      <formula>NOT(ISERROR(SEARCH(("RADIOLOGY"),(K6))))</formula>
    </cfRule>
    <cfRule type="containsText" priority="11919" operator="containsText" dxfId="7" text="HEM/ONC">
      <formula>NOT(ISERROR(SEARCH(("HEM/ONC"),(K6))))</formula>
    </cfRule>
    <cfRule type="containsText" priority="11920" operator="containsText" dxfId="7" text="CARDIO">
      <formula>NOT(ISERROR(SEARCH(("CARDIO"),(K6))))</formula>
    </cfRule>
    <cfRule type="containsText" priority="11921" operator="containsText" dxfId="7" text="ID">
      <formula>NOT(ISERROR(SEARCH(("ID"),(K6))))</formula>
    </cfRule>
    <cfRule type="containsText" priority="11922" operator="containsText" dxfId="7" text="NEURO">
      <formula>NOT(ISERROR(SEARCH(("NEURO"),(K6))))</formula>
    </cfRule>
    <cfRule type="containsText" priority="11923" operator="containsText" dxfId="6" text="NEURO">
      <formula>NOT(ISERROR(SEARCH(("NEURO"),(K6))))</formula>
    </cfRule>
    <cfRule type="containsText" priority="11924" operator="containsText" dxfId="5" text="NEURO">
      <formula>NOT(ISERROR(SEARCH(("NEURO"),(K6))))</formula>
    </cfRule>
    <cfRule type="containsText" priority="11925" operator="containsText" dxfId="0" text="ICU N">
      <formula>NOT(ISERROR(SEARCH(("ICU N"),(K6))))</formula>
    </cfRule>
    <cfRule type="containsText" priority="11926" operator="containsText" dxfId="3" text="ICU">
      <formula>NOT(ISERROR(SEARCH(("ICU"),(K6))))</formula>
    </cfRule>
    <cfRule type="containsText" priority="11927" operator="containsText" dxfId="0" text="SWING">
      <formula>NOT(ISERROR(SEARCH(("SWING"),(K6))))</formula>
    </cfRule>
    <cfRule type="containsText" priority="11928" operator="containsText" dxfId="0" text="NF">
      <formula>NOT(ISERROR(SEARCH(("NF"),(K6))))</formula>
    </cfRule>
    <cfRule type="containsText" priority="11929" operator="containsText" dxfId="0" text="ICU N">
      <formula>NOT(ISERROR(SEARCH(("ICU N"),(K6))))</formula>
    </cfRule>
  </conditionalFormatting>
  <conditionalFormatting sqref="J36">
    <cfRule type="containsText" priority="11858" operator="containsText" dxfId="16" text="ED">
      <formula>NOT(ISERROR(SEARCH(("ED"),(J36))))</formula>
    </cfRule>
    <cfRule type="containsText" priority="11859" operator="containsText" dxfId="15" text="GERIATRIC">
      <formula>NOT(ISERROR(SEARCH(("GERIATRIC"),(J36))))</formula>
    </cfRule>
    <cfRule type="containsText" priority="11860" operator="containsText" dxfId="17" text="VACATION">
      <formula>NOT(ISERROR(SEARCH(("VACATION"),(J36))))</formula>
    </cfRule>
    <cfRule type="containsText" priority="11861" operator="containsText" dxfId="7" text="PATH">
      <formula>NOT(ISERROR(SEARCH(("PATH"),(J36))))</formula>
    </cfRule>
    <cfRule type="containsText" priority="11862" operator="containsText" dxfId="7" text="NEPHRO">
      <formula>NOT(ISERROR(SEARCH(("NEPHRO"),(J36))))</formula>
    </cfRule>
    <cfRule type="containsText" priority="11863" operator="containsText" dxfId="7" text="PULM">
      <formula>NOT(ISERROR(SEARCH(("PULM"),(J36))))</formula>
    </cfRule>
    <cfRule type="containsText" priority="11864" operator="containsText" dxfId="7" text="RADIOLOGY">
      <formula>NOT(ISERROR(SEARCH(("RADIOLOGY"),(J36))))</formula>
    </cfRule>
    <cfRule type="containsText" priority="11865" operator="containsText" dxfId="7" text="HEM/ONC">
      <formula>NOT(ISERROR(SEARCH(("HEM/ONC"),(J36))))</formula>
    </cfRule>
    <cfRule type="containsText" priority="11866" operator="containsText" dxfId="7" text="CARDIO">
      <formula>NOT(ISERROR(SEARCH(("CARDIO"),(J36))))</formula>
    </cfRule>
    <cfRule type="containsText" priority="11867" operator="containsText" dxfId="7" text="ID">
      <formula>NOT(ISERROR(SEARCH(("ID"),(J36))))</formula>
    </cfRule>
    <cfRule type="containsText" priority="11868" operator="containsText" dxfId="7" text="NEURO">
      <formula>NOT(ISERROR(SEARCH(("NEURO"),(J36))))</formula>
    </cfRule>
    <cfRule type="containsText" priority="11869" operator="containsText" dxfId="6" text="NEURO">
      <formula>NOT(ISERROR(SEARCH(("NEURO"),(J36))))</formula>
    </cfRule>
    <cfRule type="containsText" priority="11870" operator="containsText" dxfId="5" text="NEURO">
      <formula>NOT(ISERROR(SEARCH(("NEURO"),(J36))))</formula>
    </cfRule>
    <cfRule type="containsText" priority="11871" operator="containsText" dxfId="0" text="ICU N">
      <formula>NOT(ISERROR(SEARCH(("ICU N"),(J36))))</formula>
    </cfRule>
    <cfRule type="containsText" priority="11872" operator="containsText" dxfId="3" text="ICU">
      <formula>NOT(ISERROR(SEARCH(("ICU"),(J36))))</formula>
    </cfRule>
    <cfRule type="containsText" priority="11873" operator="containsText" dxfId="0" text="SWING">
      <formula>NOT(ISERROR(SEARCH(("SWING"),(J36))))</formula>
    </cfRule>
    <cfRule type="containsText" priority="11874" operator="containsText" dxfId="0" text="NF">
      <formula>NOT(ISERROR(SEARCH(("NF"),(J36))))</formula>
    </cfRule>
    <cfRule type="containsText" priority="11875" operator="containsText" dxfId="0" text="ICU N">
      <formula>NOT(ISERROR(SEARCH(("ICU N"),(J36))))</formula>
    </cfRule>
    <cfRule type="containsText" priority="11840" operator="containsText" dxfId="16" text="ED">
      <formula>NOT(ISERROR(SEARCH(("ED"),(J36))))</formula>
    </cfRule>
    <cfRule type="containsText" priority="11841" operator="containsText" dxfId="15" text="GERIATRIC">
      <formula>NOT(ISERROR(SEARCH(("GERIATRIC"),(J36))))</formula>
    </cfRule>
    <cfRule type="containsText" priority="11842" operator="containsText" dxfId="17" text="VACATION">
      <formula>NOT(ISERROR(SEARCH(("VACATION"),(J36))))</formula>
    </cfRule>
    <cfRule type="containsText" priority="11843" operator="containsText" dxfId="7" text="PATH">
      <formula>NOT(ISERROR(SEARCH(("PATH"),(J36))))</formula>
    </cfRule>
    <cfRule type="containsText" priority="11844" operator="containsText" dxfId="7" text="NEPHRO">
      <formula>NOT(ISERROR(SEARCH(("NEPHRO"),(J36))))</formula>
    </cfRule>
    <cfRule type="containsText" priority="11845" operator="containsText" dxfId="7" text="PULM">
      <formula>NOT(ISERROR(SEARCH(("PULM"),(J36))))</formula>
    </cfRule>
    <cfRule type="containsText" priority="11846" operator="containsText" dxfId="7" text="RADIOLOGY">
      <formula>NOT(ISERROR(SEARCH(("RADIOLOGY"),(J36))))</formula>
    </cfRule>
    <cfRule type="containsText" priority="11847" operator="containsText" dxfId="7" text="HEM/ONC">
      <formula>NOT(ISERROR(SEARCH(("HEM/ONC"),(J36))))</formula>
    </cfRule>
    <cfRule type="containsText" priority="11848" operator="containsText" dxfId="7" text="CARDIO">
      <formula>NOT(ISERROR(SEARCH(("CARDIO"),(J36))))</formula>
    </cfRule>
    <cfRule type="containsText" priority="11849" operator="containsText" dxfId="7" text="ID">
      <formula>NOT(ISERROR(SEARCH(("ID"),(J36))))</formula>
    </cfRule>
    <cfRule type="containsText" priority="11850" operator="containsText" dxfId="7" text="NEURO">
      <formula>NOT(ISERROR(SEARCH(("NEURO"),(J36))))</formula>
    </cfRule>
    <cfRule type="containsText" priority="11851" operator="containsText" dxfId="6" text="NEURO">
      <formula>NOT(ISERROR(SEARCH(("NEURO"),(J36))))</formula>
    </cfRule>
    <cfRule type="containsText" priority="11852" operator="containsText" dxfId="5" text="NEURO">
      <formula>NOT(ISERROR(SEARCH(("NEURO"),(J36))))</formula>
    </cfRule>
    <cfRule type="containsText" priority="11853" operator="containsText" dxfId="0" text="ICU N">
      <formula>NOT(ISERROR(SEARCH(("ICU N"),(J36))))</formula>
    </cfRule>
    <cfRule type="containsText" priority="11854" operator="containsText" dxfId="3" text="ICU">
      <formula>NOT(ISERROR(SEARCH(("ICU"),(J36))))</formula>
    </cfRule>
    <cfRule type="containsText" priority="11855" operator="containsText" dxfId="0" text="SWING">
      <formula>NOT(ISERROR(SEARCH(("SWING"),(J36))))</formula>
    </cfRule>
    <cfRule type="containsText" priority="11856" operator="containsText" dxfId="0" text="NF">
      <formula>NOT(ISERROR(SEARCH(("NF"),(J36))))</formula>
    </cfRule>
    <cfRule type="containsText" priority="11857" operator="containsText" dxfId="0" text="ICU N">
      <formula>NOT(ISERROR(SEARCH(("ICU N"),(J36))))</formula>
    </cfRule>
  </conditionalFormatting>
  <conditionalFormatting sqref="W36">
    <cfRule type="containsText" priority="11750" operator="containsText" dxfId="16" text="ED">
      <formula>NOT(ISERROR(SEARCH(("ED"),(W36))))</formula>
    </cfRule>
    <cfRule type="containsText" priority="11751" operator="containsText" dxfId="15" text="GERIATRIC">
      <formula>NOT(ISERROR(SEARCH(("GERIATRIC"),(W36))))</formula>
    </cfRule>
    <cfRule type="containsText" priority="11752" operator="containsText" dxfId="17" text="VACATION">
      <formula>NOT(ISERROR(SEARCH(("VACATION"),(W36))))</formula>
    </cfRule>
    <cfRule type="containsText" priority="11753" operator="containsText" dxfId="7" text="PATH">
      <formula>NOT(ISERROR(SEARCH(("PATH"),(W36))))</formula>
    </cfRule>
    <cfRule type="containsText" priority="11754" operator="containsText" dxfId="7" text="NEPHRO">
      <formula>NOT(ISERROR(SEARCH(("NEPHRO"),(W36))))</formula>
    </cfRule>
    <cfRule type="containsText" priority="11755" operator="containsText" dxfId="7" text="PULM">
      <formula>NOT(ISERROR(SEARCH(("PULM"),(W36))))</formula>
    </cfRule>
    <cfRule type="containsText" priority="11756" operator="containsText" dxfId="7" text="RADIOLOGY">
      <formula>NOT(ISERROR(SEARCH(("RADIOLOGY"),(W36))))</formula>
    </cfRule>
    <cfRule type="containsText" priority="11757" operator="containsText" dxfId="7" text="HEM/ONC">
      <formula>NOT(ISERROR(SEARCH(("HEM/ONC"),(W36))))</formula>
    </cfRule>
    <cfRule type="containsText" priority="11758" operator="containsText" dxfId="7" text="CARDIO">
      <formula>NOT(ISERROR(SEARCH(("CARDIO"),(W36))))</formula>
    </cfRule>
    <cfRule type="containsText" priority="11759" operator="containsText" dxfId="7" text="ID">
      <formula>NOT(ISERROR(SEARCH(("ID"),(W36))))</formula>
    </cfRule>
    <cfRule type="containsText" priority="11760" operator="containsText" dxfId="7" text="NEURO">
      <formula>NOT(ISERROR(SEARCH(("NEURO"),(W36))))</formula>
    </cfRule>
    <cfRule type="containsText" priority="11761" operator="containsText" dxfId="6" text="NEURO">
      <formula>NOT(ISERROR(SEARCH(("NEURO"),(W36))))</formula>
    </cfRule>
    <cfRule type="containsText" priority="11762" operator="containsText" dxfId="5" text="NEURO">
      <formula>NOT(ISERROR(SEARCH(("NEURO"),(W36))))</formula>
    </cfRule>
    <cfRule type="containsText" priority="11763" operator="containsText" dxfId="0" text="ICU N">
      <formula>NOT(ISERROR(SEARCH(("ICU N"),(W36))))</formula>
    </cfRule>
    <cfRule type="containsText" priority="11764" operator="containsText" dxfId="3" text="ICU">
      <formula>NOT(ISERROR(SEARCH(("ICU"),(W36))))</formula>
    </cfRule>
    <cfRule type="containsText" priority="11765" operator="containsText" dxfId="0" text="SWING">
      <formula>NOT(ISERROR(SEARCH(("SWING"),(W36))))</formula>
    </cfRule>
    <cfRule type="containsText" priority="11766" operator="containsText" dxfId="0" text="NF">
      <formula>NOT(ISERROR(SEARCH(("NF"),(W36))))</formula>
    </cfRule>
    <cfRule type="containsText" priority="11767" operator="containsText" dxfId="0" text="ICU N">
      <formula>NOT(ISERROR(SEARCH(("ICU N"),(W36))))</formula>
    </cfRule>
    <cfRule type="containsText" priority="11732" operator="containsText" dxfId="16" text="ED">
      <formula>NOT(ISERROR(SEARCH(("ED"),(W36))))</formula>
    </cfRule>
    <cfRule type="containsText" priority="11733" operator="containsText" dxfId="15" text="GERIATRIC">
      <formula>NOT(ISERROR(SEARCH(("GERIATRIC"),(W36))))</formula>
    </cfRule>
    <cfRule type="containsText" priority="11734" operator="containsText" dxfId="17" text="VACATION">
      <formula>NOT(ISERROR(SEARCH(("VACATION"),(W36))))</formula>
    </cfRule>
    <cfRule type="containsText" priority="11735" operator="containsText" dxfId="7" text="PATH">
      <formula>NOT(ISERROR(SEARCH(("PATH"),(W36))))</formula>
    </cfRule>
    <cfRule type="containsText" priority="11736" operator="containsText" dxfId="7" text="NEPHRO">
      <formula>NOT(ISERROR(SEARCH(("NEPHRO"),(W36))))</formula>
    </cfRule>
    <cfRule type="containsText" priority="11737" operator="containsText" dxfId="7" text="PULM">
      <formula>NOT(ISERROR(SEARCH(("PULM"),(W36))))</formula>
    </cfRule>
    <cfRule type="containsText" priority="11738" operator="containsText" dxfId="7" text="RADIOLOGY">
      <formula>NOT(ISERROR(SEARCH(("RADIOLOGY"),(W36))))</formula>
    </cfRule>
    <cfRule type="containsText" priority="11739" operator="containsText" dxfId="7" text="HEM/ONC">
      <formula>NOT(ISERROR(SEARCH(("HEM/ONC"),(W36))))</formula>
    </cfRule>
    <cfRule type="containsText" priority="11740" operator="containsText" dxfId="7" text="CARDIO">
      <formula>NOT(ISERROR(SEARCH(("CARDIO"),(W36))))</formula>
    </cfRule>
    <cfRule type="containsText" priority="11741" operator="containsText" dxfId="7" text="ID">
      <formula>NOT(ISERROR(SEARCH(("ID"),(W36))))</formula>
    </cfRule>
    <cfRule type="containsText" priority="11742" operator="containsText" dxfId="7" text="NEURO">
      <formula>NOT(ISERROR(SEARCH(("NEURO"),(W36))))</formula>
    </cfRule>
    <cfRule type="containsText" priority="11743" operator="containsText" dxfId="6" text="NEURO">
      <formula>NOT(ISERROR(SEARCH(("NEURO"),(W36))))</formula>
    </cfRule>
    <cfRule type="containsText" priority="11744" operator="containsText" dxfId="5" text="NEURO">
      <formula>NOT(ISERROR(SEARCH(("NEURO"),(W36))))</formula>
    </cfRule>
    <cfRule type="containsText" priority="11745" operator="containsText" dxfId="0" text="ICU N">
      <formula>NOT(ISERROR(SEARCH(("ICU N"),(W36))))</formula>
    </cfRule>
    <cfRule type="containsText" priority="11746" operator="containsText" dxfId="3" text="ICU">
      <formula>NOT(ISERROR(SEARCH(("ICU"),(W36))))</formula>
    </cfRule>
    <cfRule type="containsText" priority="11747" operator="containsText" dxfId="0" text="SWING">
      <formula>NOT(ISERROR(SEARCH(("SWING"),(W36))))</formula>
    </cfRule>
    <cfRule type="containsText" priority="11748" operator="containsText" dxfId="0" text="NF">
      <formula>NOT(ISERROR(SEARCH(("NF"),(W36))))</formula>
    </cfRule>
    <cfRule type="containsText" priority="11749" operator="containsText" dxfId="0" text="ICU N">
      <formula>NOT(ISERROR(SEARCH(("ICU N"),(W36))))</formula>
    </cfRule>
  </conditionalFormatting>
  <conditionalFormatting sqref="T33">
    <cfRule type="containsText" priority="11714" operator="containsText" dxfId="16" text="ED">
      <formula>NOT(ISERROR(SEARCH(("ED"),(T33))))</formula>
    </cfRule>
    <cfRule type="containsText" priority="11715" operator="containsText" dxfId="15" text="GERIATRIC">
      <formula>NOT(ISERROR(SEARCH(("GERIATRIC"),(T33))))</formula>
    </cfRule>
    <cfRule type="containsText" priority="11716" operator="containsText" dxfId="17" text="VACATION">
      <formula>NOT(ISERROR(SEARCH(("VACATION"),(T33))))</formula>
    </cfRule>
    <cfRule type="containsText" priority="11717" operator="containsText" dxfId="7" text="PATH">
      <formula>NOT(ISERROR(SEARCH(("PATH"),(T33))))</formula>
    </cfRule>
    <cfRule type="containsText" priority="11718" operator="containsText" dxfId="7" text="NEPHRO">
      <formula>NOT(ISERROR(SEARCH(("NEPHRO"),(T33))))</formula>
    </cfRule>
    <cfRule type="containsText" priority="11719" operator="containsText" dxfId="7" text="PULM">
      <formula>NOT(ISERROR(SEARCH(("PULM"),(T33))))</formula>
    </cfRule>
    <cfRule type="containsText" priority="11720" operator="containsText" dxfId="7" text="RADIOLOGY">
      <formula>NOT(ISERROR(SEARCH(("RADIOLOGY"),(T33))))</formula>
    </cfRule>
    <cfRule type="containsText" priority="11721" operator="containsText" dxfId="7" text="HEM/ONC">
      <formula>NOT(ISERROR(SEARCH(("HEM/ONC"),(T33))))</formula>
    </cfRule>
    <cfRule type="containsText" priority="11722" operator="containsText" dxfId="7" text="CARDIO">
      <formula>NOT(ISERROR(SEARCH(("CARDIO"),(T33))))</formula>
    </cfRule>
    <cfRule type="containsText" priority="11723" operator="containsText" dxfId="7" text="ID">
      <formula>NOT(ISERROR(SEARCH(("ID"),(T33))))</formula>
    </cfRule>
    <cfRule type="containsText" priority="11724" operator="containsText" dxfId="7" text="NEURO">
      <formula>NOT(ISERROR(SEARCH(("NEURO"),(T33))))</formula>
    </cfRule>
    <cfRule type="containsText" priority="11725" operator="containsText" dxfId="6" text="NEURO">
      <formula>NOT(ISERROR(SEARCH(("NEURO"),(T33))))</formula>
    </cfRule>
    <cfRule type="containsText" priority="11726" operator="containsText" dxfId="5" text="NEURO">
      <formula>NOT(ISERROR(SEARCH(("NEURO"),(T33))))</formula>
    </cfRule>
    <cfRule type="containsText" priority="11727" operator="containsText" dxfId="0" text="ICU N">
      <formula>NOT(ISERROR(SEARCH(("ICU N"),(T33))))</formula>
    </cfRule>
    <cfRule type="containsText" priority="11728" operator="containsText" dxfId="3" text="ICU">
      <formula>NOT(ISERROR(SEARCH(("ICU"),(T33))))</formula>
    </cfRule>
    <cfRule type="containsText" priority="11729" operator="containsText" dxfId="0" text="SWING">
      <formula>NOT(ISERROR(SEARCH(("SWING"),(T33))))</formula>
    </cfRule>
    <cfRule type="containsText" priority="11730" operator="containsText" dxfId="0" text="NF">
      <formula>NOT(ISERROR(SEARCH(("NF"),(T33))))</formula>
    </cfRule>
    <cfRule type="containsText" priority="11731" operator="containsText" dxfId="0" text="ICU N">
      <formula>NOT(ISERROR(SEARCH(("ICU N"),(T33))))</formula>
    </cfRule>
    <cfRule type="containsText" priority="11696" operator="containsText" dxfId="16" text="ED">
      <formula>NOT(ISERROR(SEARCH(("ED"),(T33))))</formula>
    </cfRule>
    <cfRule type="containsText" priority="11697" operator="containsText" dxfId="15" text="GERIATRIC">
      <formula>NOT(ISERROR(SEARCH(("GERIATRIC"),(T33))))</formula>
    </cfRule>
    <cfRule type="containsText" priority="11698" operator="containsText" dxfId="17" text="VACATION">
      <formula>NOT(ISERROR(SEARCH(("VACATION"),(T33))))</formula>
    </cfRule>
    <cfRule type="containsText" priority="11699" operator="containsText" dxfId="7" text="PATH">
      <formula>NOT(ISERROR(SEARCH(("PATH"),(T33))))</formula>
    </cfRule>
    <cfRule type="containsText" priority="11700" operator="containsText" dxfId="7" text="NEPHRO">
      <formula>NOT(ISERROR(SEARCH(("NEPHRO"),(T33))))</formula>
    </cfRule>
    <cfRule type="containsText" priority="11701" operator="containsText" dxfId="7" text="PULM">
      <formula>NOT(ISERROR(SEARCH(("PULM"),(T33))))</formula>
    </cfRule>
    <cfRule type="containsText" priority="11702" operator="containsText" dxfId="7" text="RADIOLOGY">
      <formula>NOT(ISERROR(SEARCH(("RADIOLOGY"),(T33))))</formula>
    </cfRule>
    <cfRule type="containsText" priority="11703" operator="containsText" dxfId="7" text="HEM/ONC">
      <formula>NOT(ISERROR(SEARCH(("HEM/ONC"),(T33))))</formula>
    </cfRule>
    <cfRule type="containsText" priority="11704" operator="containsText" dxfId="7" text="CARDIO">
      <formula>NOT(ISERROR(SEARCH(("CARDIO"),(T33))))</formula>
    </cfRule>
    <cfRule type="containsText" priority="11705" operator="containsText" dxfId="7" text="ID">
      <formula>NOT(ISERROR(SEARCH(("ID"),(T33))))</formula>
    </cfRule>
    <cfRule type="containsText" priority="11706" operator="containsText" dxfId="7" text="NEURO">
      <formula>NOT(ISERROR(SEARCH(("NEURO"),(T33))))</formula>
    </cfRule>
    <cfRule type="containsText" priority="11707" operator="containsText" dxfId="6" text="NEURO">
      <formula>NOT(ISERROR(SEARCH(("NEURO"),(T33))))</formula>
    </cfRule>
    <cfRule type="containsText" priority="11708" operator="containsText" dxfId="5" text="NEURO">
      <formula>NOT(ISERROR(SEARCH(("NEURO"),(T33))))</formula>
    </cfRule>
    <cfRule type="containsText" priority="11709" operator="containsText" dxfId="0" text="ICU N">
      <formula>NOT(ISERROR(SEARCH(("ICU N"),(T33))))</formula>
    </cfRule>
    <cfRule type="containsText" priority="11710" operator="containsText" dxfId="3" text="ICU">
      <formula>NOT(ISERROR(SEARCH(("ICU"),(T33))))</formula>
    </cfRule>
    <cfRule type="containsText" priority="11711" operator="containsText" dxfId="0" text="SWING">
      <formula>NOT(ISERROR(SEARCH(("SWING"),(T33))))</formula>
    </cfRule>
    <cfRule type="containsText" priority="11712" operator="containsText" dxfId="0" text="NF">
      <formula>NOT(ISERROR(SEARCH(("NF"),(T33))))</formula>
    </cfRule>
    <cfRule type="containsText" priority="11713" operator="containsText" dxfId="0" text="ICU N">
      <formula>NOT(ISERROR(SEARCH(("ICU N"),(T33))))</formula>
    </cfRule>
  </conditionalFormatting>
  <conditionalFormatting sqref="AY45">
    <cfRule type="containsText" priority="11659" operator="containsText" dxfId="0" text="ICU N">
      <formula>NOT(ISERROR(SEARCH(("ICU N"),(AY45))))</formula>
    </cfRule>
    <cfRule type="containsText" priority="11658" operator="containsText" dxfId="0" text="ICU N">
      <formula>NOT(ISERROR(SEARCH(("ICU N"),(AY45))))</formula>
    </cfRule>
    <cfRule type="containsText" priority="11657" operator="containsText" dxfId="0" text="ICU N">
      <formula>NOT(ISERROR(SEARCH(("ICU N"),(AY45))))</formula>
    </cfRule>
  </conditionalFormatting>
  <conditionalFormatting sqref="AZ45">
    <cfRule type="containsText" priority="11656" operator="containsText" dxfId="0" text="ICU N">
      <formula>NOT(ISERROR(SEARCH(("ICU N"),(AZ45))))</formula>
    </cfRule>
    <cfRule type="containsText" priority="11655" operator="containsText" dxfId="0" text="ICU N">
      <formula>NOT(ISERROR(SEARCH(("ICU N"),(AZ45))))</formula>
    </cfRule>
    <cfRule type="containsText" priority="11654" operator="containsText" dxfId="0" text="ICU N">
      <formula>NOT(ISERROR(SEARCH(("ICU N"),(AZ45))))</formula>
    </cfRule>
  </conditionalFormatting>
  <conditionalFormatting sqref="AY46">
    <cfRule type="containsText" priority="11653" operator="containsText" dxfId="0" text="ICU N">
      <formula>NOT(ISERROR(SEARCH(("ICU N"),(AY46))))</formula>
    </cfRule>
    <cfRule type="containsText" priority="5672" operator="containsText" dxfId="7" text="PATH">
      <formula>NOT(ISERROR(SEARCH(("PATH"),(AY46))))</formula>
    </cfRule>
    <cfRule type="containsText" priority="5673" operator="containsText" dxfId="7" text="NEPHRO">
      <formula>NOT(ISERROR(SEARCH(("NEPHRO"),(AY46))))</formula>
    </cfRule>
    <cfRule type="containsText" priority="5674" operator="containsText" dxfId="7" text="PULM">
      <formula>NOT(ISERROR(SEARCH(("PULM"),(AY46))))</formula>
    </cfRule>
    <cfRule type="containsText" priority="5675" operator="containsText" dxfId="7" text="RADIOLOGY">
      <formula>NOT(ISERROR(SEARCH(("RADIOLOGY"),(AY46))))</formula>
    </cfRule>
    <cfRule type="containsText" priority="5676" operator="containsText" dxfId="7" text="HEM/ONC">
      <formula>NOT(ISERROR(SEARCH(("HEM/ONC"),(AY46))))</formula>
    </cfRule>
    <cfRule type="containsText" priority="5677" operator="containsText" dxfId="7" text="CARDIO">
      <formula>NOT(ISERROR(SEARCH(("CARDIO"),(AY46))))</formula>
    </cfRule>
    <cfRule type="containsText" priority="5678" operator="containsText" dxfId="7" text="ID">
      <formula>NOT(ISERROR(SEARCH(("ID"),(AY46))))</formula>
    </cfRule>
    <cfRule type="containsText" priority="5679" operator="containsText" dxfId="7" text="NEURO">
      <formula>NOT(ISERROR(SEARCH(("NEURO"),(AY46))))</formula>
    </cfRule>
    <cfRule type="containsText" priority="5680" operator="containsText" dxfId="6" text="NEURO">
      <formula>NOT(ISERROR(SEARCH(("NEURO"),(AY46))))</formula>
    </cfRule>
    <cfRule type="containsText" priority="5681" operator="containsText" dxfId="5" text="NEURO">
      <formula>NOT(ISERROR(SEARCH(("NEURO"),(AY46))))</formula>
    </cfRule>
    <cfRule type="containsText" priority="5682" operator="containsText" dxfId="0" text="ICU N">
      <formula>NOT(ISERROR(SEARCH(("ICU N"),(AY46))))</formula>
    </cfRule>
    <cfRule type="containsText" priority="5683" operator="containsText" dxfId="3" text="ICU">
      <formula>NOT(ISERROR(SEARCH(("ICU"),(AY46))))</formula>
    </cfRule>
    <cfRule type="containsText" priority="5684" operator="containsText" dxfId="0" text="SWING">
      <formula>NOT(ISERROR(SEARCH(("SWING"),(AY46))))</formula>
    </cfRule>
    <cfRule type="containsText" priority="5685" operator="containsText" dxfId="0" text="NF">
      <formula>NOT(ISERROR(SEARCH(("NF"),(AY46))))</formula>
    </cfRule>
    <cfRule type="containsText" priority="5686" operator="containsText" dxfId="0" text="ICU N">
      <formula>NOT(ISERROR(SEARCH(("ICU N"),(AY46))))</formula>
    </cfRule>
    <cfRule type="containsText" priority="5658" operator="containsText" dxfId="7" text="PATH">
      <formula>NOT(ISERROR(SEARCH(("PATH"),(AY46))))</formula>
    </cfRule>
    <cfRule type="containsText" priority="5659" operator="containsText" dxfId="7" text="NEPHRO">
      <formula>NOT(ISERROR(SEARCH(("NEPHRO"),(AY46))))</formula>
    </cfRule>
    <cfRule type="containsText" priority="5660" operator="containsText" dxfId="7" text="PULM">
      <formula>NOT(ISERROR(SEARCH(("PULM"),(AY46))))</formula>
    </cfRule>
    <cfRule type="containsText" priority="5661" operator="containsText" dxfId="7" text="RADIOLOGY">
      <formula>NOT(ISERROR(SEARCH(("RADIOLOGY"),(AY46))))</formula>
    </cfRule>
    <cfRule type="containsText" priority="5662" operator="containsText" dxfId="7" text="HEM/ONC">
      <formula>NOT(ISERROR(SEARCH(("HEM/ONC"),(AY46))))</formula>
    </cfRule>
    <cfRule type="containsText" priority="5663" operator="containsText" dxfId="7" text="CARDIO">
      <formula>NOT(ISERROR(SEARCH(("CARDIO"),(AY46))))</formula>
    </cfRule>
    <cfRule type="containsText" priority="5664" operator="containsText" dxfId="7" text="ID">
      <formula>NOT(ISERROR(SEARCH(("ID"),(AY46))))</formula>
    </cfRule>
    <cfRule type="containsText" priority="5665" operator="containsText" dxfId="7" text="NEURO">
      <formula>NOT(ISERROR(SEARCH(("NEURO"),(AY46))))</formula>
    </cfRule>
    <cfRule type="containsText" priority="5666" operator="containsText" dxfId="6" text="NEURO">
      <formula>NOT(ISERROR(SEARCH(("NEURO"),(AY46))))</formula>
    </cfRule>
    <cfRule type="containsText" priority="5667" operator="containsText" dxfId="5" text="NEURO">
      <formula>NOT(ISERROR(SEARCH(("NEURO"),(AY46))))</formula>
    </cfRule>
    <cfRule type="containsText" priority="5668" operator="containsText" dxfId="0" text="ICU N">
      <formula>NOT(ISERROR(SEARCH(("ICU N"),(AY46))))</formula>
    </cfRule>
    <cfRule type="containsText" priority="5669" operator="containsText" dxfId="3" text="ICU">
      <formula>NOT(ISERROR(SEARCH(("ICU"),(AY46))))</formula>
    </cfRule>
    <cfRule type="containsText" priority="5670" operator="containsText" dxfId="0" text="SWING">
      <formula>NOT(ISERROR(SEARCH(("SWING"),(AY46))))</formula>
    </cfRule>
    <cfRule type="containsText" priority="5671" operator="containsText" dxfId="0" text="NF">
      <formula>NOT(ISERROR(SEARCH(("NF"),(AY46))))</formula>
    </cfRule>
  </conditionalFormatting>
  <conditionalFormatting sqref="I34">
    <cfRule type="containsText" priority="11562" operator="containsText" dxfId="16" text="ED">
      <formula>NOT(ISERROR(SEARCH(("ED"),(I34))))</formula>
    </cfRule>
    <cfRule type="containsText" priority="11563" operator="containsText" dxfId="15" text="GERIATRIC">
      <formula>NOT(ISERROR(SEARCH(("GERIATRIC"),(I34))))</formula>
    </cfRule>
    <cfRule type="containsText" priority="11564" operator="containsText" dxfId="17" text="VACATION">
      <formula>NOT(ISERROR(SEARCH(("VACATION"),(I34))))</formula>
    </cfRule>
    <cfRule type="containsText" priority="11565" operator="containsText" dxfId="7" text="PATH">
      <formula>NOT(ISERROR(SEARCH(("PATH"),(I34))))</formula>
    </cfRule>
    <cfRule type="containsText" priority="11566" operator="containsText" dxfId="7" text="NEPHRO">
      <formula>NOT(ISERROR(SEARCH(("NEPHRO"),(I34))))</formula>
    </cfRule>
    <cfRule type="containsText" priority="11567" operator="containsText" dxfId="7" text="PULM">
      <formula>NOT(ISERROR(SEARCH(("PULM"),(I34))))</formula>
    </cfRule>
    <cfRule type="containsText" priority="11568" operator="containsText" dxfId="7" text="RADIOLOGY">
      <formula>NOT(ISERROR(SEARCH(("RADIOLOGY"),(I34))))</formula>
    </cfRule>
    <cfRule type="containsText" priority="11569" operator="containsText" dxfId="7" text="HEM/ONC">
      <formula>NOT(ISERROR(SEARCH(("HEM/ONC"),(I34))))</formula>
    </cfRule>
    <cfRule type="containsText" priority="11570" operator="containsText" dxfId="7" text="CARDIO">
      <formula>NOT(ISERROR(SEARCH(("CARDIO"),(I34))))</formula>
    </cfRule>
    <cfRule type="containsText" priority="11571" operator="containsText" dxfId="7" text="ID">
      <formula>NOT(ISERROR(SEARCH(("ID"),(I34))))</formula>
    </cfRule>
    <cfRule type="containsText" priority="11572" operator="containsText" dxfId="7" text="NEURO">
      <formula>NOT(ISERROR(SEARCH(("NEURO"),(I34))))</formula>
    </cfRule>
    <cfRule type="containsText" priority="11573" operator="containsText" dxfId="6" text="NEURO">
      <formula>NOT(ISERROR(SEARCH(("NEURO"),(I34))))</formula>
    </cfRule>
    <cfRule type="containsText" priority="11574" operator="containsText" dxfId="5" text="NEURO">
      <formula>NOT(ISERROR(SEARCH(("NEURO"),(I34))))</formula>
    </cfRule>
    <cfRule type="containsText" priority="11575" operator="containsText" dxfId="0" text="ICU N">
      <formula>NOT(ISERROR(SEARCH(("ICU N"),(I34))))</formula>
    </cfRule>
    <cfRule type="containsText" priority="11576" operator="containsText" dxfId="3" text="ICU">
      <formula>NOT(ISERROR(SEARCH(("ICU"),(I34))))</formula>
    </cfRule>
    <cfRule type="containsText" priority="11577" operator="containsText" dxfId="0" text="SWING">
      <formula>NOT(ISERROR(SEARCH(("SWING"),(I34))))</formula>
    </cfRule>
    <cfRule type="containsText" priority="11578" operator="containsText" dxfId="0" text="NF">
      <formula>NOT(ISERROR(SEARCH(("NF"),(I34))))</formula>
    </cfRule>
    <cfRule type="containsText" priority="11579" operator="containsText" dxfId="0" text="ICU N">
      <formula>NOT(ISERROR(SEARCH(("ICU N"),(I34))))</formula>
    </cfRule>
    <cfRule type="containsText" priority="11544" operator="containsText" dxfId="16" text="ED">
      <formula>NOT(ISERROR(SEARCH(("ED"),(I34))))</formula>
    </cfRule>
    <cfRule type="containsText" priority="11545" operator="containsText" dxfId="15" text="GERIATRIC">
      <formula>NOT(ISERROR(SEARCH(("GERIATRIC"),(I34))))</formula>
    </cfRule>
    <cfRule type="containsText" priority="11546" operator="containsText" dxfId="17" text="VACATION">
      <formula>NOT(ISERROR(SEARCH(("VACATION"),(I34))))</formula>
    </cfRule>
    <cfRule type="containsText" priority="11547" operator="containsText" dxfId="7" text="PATH">
      <formula>NOT(ISERROR(SEARCH(("PATH"),(I34))))</formula>
    </cfRule>
    <cfRule type="containsText" priority="11548" operator="containsText" dxfId="7" text="NEPHRO">
      <formula>NOT(ISERROR(SEARCH(("NEPHRO"),(I34))))</formula>
    </cfRule>
    <cfRule type="containsText" priority="11549" operator="containsText" dxfId="7" text="PULM">
      <formula>NOT(ISERROR(SEARCH(("PULM"),(I34))))</formula>
    </cfRule>
    <cfRule type="containsText" priority="11550" operator="containsText" dxfId="7" text="RADIOLOGY">
      <formula>NOT(ISERROR(SEARCH(("RADIOLOGY"),(I34))))</formula>
    </cfRule>
    <cfRule type="containsText" priority="11551" operator="containsText" dxfId="7" text="HEM/ONC">
      <formula>NOT(ISERROR(SEARCH(("HEM/ONC"),(I34))))</formula>
    </cfRule>
    <cfRule type="containsText" priority="11552" operator="containsText" dxfId="7" text="CARDIO">
      <formula>NOT(ISERROR(SEARCH(("CARDIO"),(I34))))</formula>
    </cfRule>
    <cfRule type="containsText" priority="11553" operator="containsText" dxfId="7" text="ID">
      <formula>NOT(ISERROR(SEARCH(("ID"),(I34))))</formula>
    </cfRule>
    <cfRule type="containsText" priority="11554" operator="containsText" dxfId="7" text="NEURO">
      <formula>NOT(ISERROR(SEARCH(("NEURO"),(I34))))</formula>
    </cfRule>
    <cfRule type="containsText" priority="11555" operator="containsText" dxfId="6" text="NEURO">
      <formula>NOT(ISERROR(SEARCH(("NEURO"),(I34))))</formula>
    </cfRule>
    <cfRule type="containsText" priority="11556" operator="containsText" dxfId="5" text="NEURO">
      <formula>NOT(ISERROR(SEARCH(("NEURO"),(I34))))</formula>
    </cfRule>
    <cfRule type="containsText" priority="11557" operator="containsText" dxfId="0" text="ICU N">
      <formula>NOT(ISERROR(SEARCH(("ICU N"),(I34))))</formula>
    </cfRule>
    <cfRule type="containsText" priority="11558" operator="containsText" dxfId="3" text="ICU">
      <formula>NOT(ISERROR(SEARCH(("ICU"),(I34))))</formula>
    </cfRule>
    <cfRule type="containsText" priority="11559" operator="containsText" dxfId="0" text="SWING">
      <formula>NOT(ISERROR(SEARCH(("SWING"),(I34))))</formula>
    </cfRule>
    <cfRule type="containsText" priority="11560" operator="containsText" dxfId="0" text="NF">
      <formula>NOT(ISERROR(SEARCH(("NF"),(I34))))</formula>
    </cfRule>
    <cfRule type="containsText" priority="11561" operator="containsText" dxfId="0" text="ICU N">
      <formula>NOT(ISERROR(SEARCH(("ICU N"),(I34))))</formula>
    </cfRule>
  </conditionalFormatting>
  <conditionalFormatting sqref="X36">
    <cfRule type="containsText" priority="11504" operator="containsText" dxfId="17" text="VACATION">
      <formula>NOT(ISERROR(SEARCH(("VACATION"),(X36))))</formula>
    </cfRule>
    <cfRule type="containsText" priority="11505" operator="containsText" dxfId="16" text="ED">
      <formula>NOT(ISERROR(SEARCH(("ED"),(X36))))</formula>
    </cfRule>
    <cfRule type="containsText" priority="11506" operator="containsText" dxfId="15" text="GERIATRIC">
      <formula>NOT(ISERROR(SEARCH(("GERIATRIC"),(X36))))</formula>
    </cfRule>
    <cfRule type="containsText" priority="11507" operator="containsText" dxfId="0" text="ICU N">
      <formula>NOT(ISERROR(SEARCH(("ICU N"),(X36))))</formula>
    </cfRule>
    <cfRule type="containsText" priority="7323" operator="containsText" dxfId="17" text="VACATION">
      <formula>NOT(ISERROR(SEARCH(("VACATION"),(X36))))</formula>
    </cfRule>
    <cfRule type="containsText" priority="7324" operator="containsText" dxfId="16" text="ED">
      <formula>NOT(ISERROR(SEARCH(("ED"),(X36))))</formula>
    </cfRule>
    <cfRule type="containsText" priority="7325" operator="containsText" dxfId="15" text="GERIATRIC">
      <formula>NOT(ISERROR(SEARCH(("GERIATRIC"),(X36))))</formula>
    </cfRule>
    <cfRule type="containsText" priority="7326" operator="containsText" dxfId="0" text="ICU N">
      <formula>NOT(ISERROR(SEARCH(("ICU N"),(X36))))</formula>
    </cfRule>
  </conditionalFormatting>
  <conditionalFormatting sqref="E36">
    <cfRule type="containsText" priority="11452" operator="containsText" dxfId="16" text="ED">
      <formula>NOT(ISERROR(SEARCH(("ED"),(E36))))</formula>
    </cfRule>
    <cfRule type="containsText" priority="11453" operator="containsText" dxfId="15" text="GERIATRIC">
      <formula>NOT(ISERROR(SEARCH(("GERIATRIC"),(E36))))</formula>
    </cfRule>
    <cfRule type="containsText" priority="11454" operator="containsText" dxfId="17" text="VACATION">
      <formula>NOT(ISERROR(SEARCH(("VACATION"),(E36))))</formula>
    </cfRule>
    <cfRule type="containsText" priority="11455" operator="containsText" dxfId="7" text="PATH">
      <formula>NOT(ISERROR(SEARCH(("PATH"),(E36))))</formula>
    </cfRule>
    <cfRule type="containsText" priority="11456" operator="containsText" dxfId="7" text="NEPHRO">
      <formula>NOT(ISERROR(SEARCH(("NEPHRO"),(E36))))</formula>
    </cfRule>
    <cfRule type="containsText" priority="11457" operator="containsText" dxfId="7" text="PULM">
      <formula>NOT(ISERROR(SEARCH(("PULM"),(E36))))</formula>
    </cfRule>
    <cfRule type="containsText" priority="11458" operator="containsText" dxfId="7" text="RADIOLOGY">
      <formula>NOT(ISERROR(SEARCH(("RADIOLOGY"),(E36))))</formula>
    </cfRule>
    <cfRule type="containsText" priority="11459" operator="containsText" dxfId="7" text="HEM/ONC">
      <formula>NOT(ISERROR(SEARCH(("HEM/ONC"),(E36))))</formula>
    </cfRule>
    <cfRule type="containsText" priority="11460" operator="containsText" dxfId="7" text="CARDIO">
      <formula>NOT(ISERROR(SEARCH(("CARDIO"),(E36))))</formula>
    </cfRule>
    <cfRule type="containsText" priority="11461" operator="containsText" dxfId="7" text="ID">
      <formula>NOT(ISERROR(SEARCH(("ID"),(E36))))</formula>
    </cfRule>
    <cfRule type="containsText" priority="11462" operator="containsText" dxfId="7" text="NEURO">
      <formula>NOT(ISERROR(SEARCH(("NEURO"),(E36))))</formula>
    </cfRule>
    <cfRule type="containsText" priority="11463" operator="containsText" dxfId="6" text="NEURO">
      <formula>NOT(ISERROR(SEARCH(("NEURO"),(E36))))</formula>
    </cfRule>
    <cfRule type="containsText" priority="11464" operator="containsText" dxfId="5" text="NEURO">
      <formula>NOT(ISERROR(SEARCH(("NEURO"),(E36))))</formula>
    </cfRule>
    <cfRule type="containsText" priority="11465" operator="containsText" dxfId="0" text="ICU N">
      <formula>NOT(ISERROR(SEARCH(("ICU N"),(E36))))</formula>
    </cfRule>
    <cfRule type="containsText" priority="11466" operator="containsText" dxfId="3" text="ICU">
      <formula>NOT(ISERROR(SEARCH(("ICU"),(E36))))</formula>
    </cfRule>
    <cfRule type="containsText" priority="11467" operator="containsText" dxfId="0" text="SWING">
      <formula>NOT(ISERROR(SEARCH(("SWING"),(E36))))</formula>
    </cfRule>
    <cfRule type="containsText" priority="11468" operator="containsText" dxfId="0" text="NF">
      <formula>NOT(ISERROR(SEARCH(("NF"),(E36))))</formula>
    </cfRule>
    <cfRule type="containsText" priority="11469" operator="containsText" dxfId="0" text="ICU N">
      <formula>NOT(ISERROR(SEARCH(("ICU N"),(E36))))</formula>
    </cfRule>
  </conditionalFormatting>
  <conditionalFormatting sqref="T34:T35">
    <cfRule type="containsText" priority="11435" operator="containsText" dxfId="17" text="VACATION">
      <formula>NOT(ISERROR(SEARCH(("VACATION"),(T34))))</formula>
    </cfRule>
    <cfRule type="containsText" priority="11436" operator="containsText" dxfId="16" text="ED">
      <formula>NOT(ISERROR(SEARCH(("ED"),(T34))))</formula>
    </cfRule>
    <cfRule type="containsText" priority="11437" operator="containsText" dxfId="15" text="GERIATRIC">
      <formula>NOT(ISERROR(SEARCH(("GERIATRIC"),(T34))))</formula>
    </cfRule>
    <cfRule type="containsText" priority="11438" operator="containsText" dxfId="7" text="PATH">
      <formula>NOT(ISERROR(SEARCH(("PATH"),(T34))))</formula>
    </cfRule>
    <cfRule type="containsText" priority="11439" operator="containsText" dxfId="7" text="NEPHRO">
      <formula>NOT(ISERROR(SEARCH(("NEPHRO"),(T34))))</formula>
    </cfRule>
    <cfRule type="containsText" priority="11440" operator="containsText" dxfId="7" text="PULM">
      <formula>NOT(ISERROR(SEARCH(("PULM"),(T34))))</formula>
    </cfRule>
    <cfRule type="containsText" priority="11441" operator="containsText" dxfId="7" text="RADIOLOGY">
      <formula>NOT(ISERROR(SEARCH(("RADIOLOGY"),(T34))))</formula>
    </cfRule>
    <cfRule type="containsText" priority="11442" operator="containsText" dxfId="7" text="HEM/ONC">
      <formula>NOT(ISERROR(SEARCH(("HEM/ONC"),(T34))))</formula>
    </cfRule>
    <cfRule type="containsText" priority="11443" operator="containsText" dxfId="7" text="CARDIO">
      <formula>NOT(ISERROR(SEARCH(("CARDIO"),(T34))))</formula>
    </cfRule>
    <cfRule type="containsText" priority="11444" operator="containsText" dxfId="7" text="ID">
      <formula>NOT(ISERROR(SEARCH(("ID"),(T34))))</formula>
    </cfRule>
    <cfRule type="containsText" priority="11445" operator="containsText" dxfId="7" text="NEURO">
      <formula>NOT(ISERROR(SEARCH(("NEURO"),(T34))))</formula>
    </cfRule>
    <cfRule type="containsText" priority="11446" operator="containsText" dxfId="6" text="NEURO">
      <formula>NOT(ISERROR(SEARCH(("NEURO"),(T34))))</formula>
    </cfRule>
    <cfRule type="containsText" priority="11447" operator="containsText" dxfId="5" text="NEURO">
      <formula>NOT(ISERROR(SEARCH(("NEURO"),(T34))))</formula>
    </cfRule>
    <cfRule type="containsText" priority="11448" operator="containsText" dxfId="0" text="ICU N">
      <formula>NOT(ISERROR(SEARCH(("ICU N"),(T34))))</formula>
    </cfRule>
    <cfRule type="containsText" priority="11449" operator="containsText" dxfId="3" text="ICU">
      <formula>NOT(ISERROR(SEARCH(("ICU"),(T34))))</formula>
    </cfRule>
    <cfRule type="containsText" priority="11450" operator="containsText" dxfId="0" text="SWING">
      <formula>NOT(ISERROR(SEARCH(("SWING"),(T34))))</formula>
    </cfRule>
    <cfRule type="containsText" priority="11451" operator="containsText" dxfId="0" text="NF">
      <formula>NOT(ISERROR(SEARCH(("NF"),(T34))))</formula>
    </cfRule>
  </conditionalFormatting>
  <conditionalFormatting sqref="X38">
    <cfRule type="containsText" priority="11433" operator="containsText" dxfId="17" text="VACATION">
      <formula>NOT(ISERROR(SEARCH(("VACATION"),(X38))))</formula>
    </cfRule>
    <cfRule type="containsText" priority="11434" operator="containsText" dxfId="0" text="ICU N">
      <formula>NOT(ISERROR(SEARCH(("ICU N"),(X38))))</formula>
    </cfRule>
  </conditionalFormatting>
  <conditionalFormatting sqref="Y38">
    <cfRule type="containsText" priority="11431" operator="containsText" dxfId="17" text="VACATION">
      <formula>NOT(ISERROR(SEARCH(("VACATION"),(Y38))))</formula>
    </cfRule>
    <cfRule type="containsText" priority="11432" operator="containsText" dxfId="0" text="ICU N">
      <formula>NOT(ISERROR(SEARCH(("ICU N"),(Y38))))</formula>
    </cfRule>
  </conditionalFormatting>
  <conditionalFormatting sqref="Y43">
    <cfRule type="containsText" priority="11396" operator="containsText" dxfId="17" text="VACATION">
      <formula>NOT(ISERROR(SEARCH(("VACATION"),(Y43))))</formula>
    </cfRule>
    <cfRule type="containsText" priority="11397" operator="containsText" dxfId="16" text="ED">
      <formula>NOT(ISERROR(SEARCH(("ED"),(Y43))))</formula>
    </cfRule>
    <cfRule type="containsText" priority="11398" operator="containsText" dxfId="15" text="GERIATRIC">
      <formula>NOT(ISERROR(SEARCH(("GERIATRIC"),(Y43))))</formula>
    </cfRule>
    <cfRule type="containsText" priority="11399" operator="containsText" dxfId="7" text="PATH">
      <formula>NOT(ISERROR(SEARCH(("PATH"),(Y43))))</formula>
    </cfRule>
    <cfRule type="containsText" priority="11400" operator="containsText" dxfId="7" text="NEPHRO">
      <formula>NOT(ISERROR(SEARCH(("NEPHRO"),(Y43))))</formula>
    </cfRule>
    <cfRule type="containsText" priority="11401" operator="containsText" dxfId="7" text="PULM">
      <formula>NOT(ISERROR(SEARCH(("PULM"),(Y43))))</formula>
    </cfRule>
    <cfRule type="containsText" priority="11402" operator="containsText" dxfId="7" text="RADIOLOGY">
      <formula>NOT(ISERROR(SEARCH(("RADIOLOGY"),(Y43))))</formula>
    </cfRule>
    <cfRule type="containsText" priority="11403" operator="containsText" dxfId="7" text="HEM/ONC">
      <formula>NOT(ISERROR(SEARCH(("HEM/ONC"),(Y43))))</formula>
    </cfRule>
    <cfRule type="containsText" priority="11404" operator="containsText" dxfId="7" text="CARDIO">
      <formula>NOT(ISERROR(SEARCH(("CARDIO"),(Y43))))</formula>
    </cfRule>
    <cfRule type="containsText" priority="11405" operator="containsText" dxfId="7" text="ID">
      <formula>NOT(ISERROR(SEARCH(("ID"),(Y43))))</formula>
    </cfRule>
    <cfRule type="containsText" priority="11406" operator="containsText" dxfId="7" text="NEURO">
      <formula>NOT(ISERROR(SEARCH(("NEURO"),(Y43))))</formula>
    </cfRule>
    <cfRule type="containsText" priority="11407" operator="containsText" dxfId="6" text="NEURO">
      <formula>NOT(ISERROR(SEARCH(("NEURO"),(Y43))))</formula>
    </cfRule>
    <cfRule type="containsText" priority="11408" operator="containsText" dxfId="5" text="NEURO">
      <formula>NOT(ISERROR(SEARCH(("NEURO"),(Y43))))</formula>
    </cfRule>
    <cfRule type="containsText" priority="11409" operator="containsText" dxfId="0" text="ICU N">
      <formula>NOT(ISERROR(SEARCH(("ICU N"),(Y43))))</formula>
    </cfRule>
    <cfRule type="containsText" priority="11410" operator="containsText" dxfId="3" text="ICU">
      <formula>NOT(ISERROR(SEARCH(("ICU"),(Y43))))</formula>
    </cfRule>
    <cfRule type="containsText" priority="11411" operator="containsText" dxfId="0" text="SWING">
      <formula>NOT(ISERROR(SEARCH(("SWING"),(Y43))))</formula>
    </cfRule>
    <cfRule type="containsText" priority="11412" operator="containsText" dxfId="0" text="NF">
      <formula>NOT(ISERROR(SEARCH(("NF"),(Y43))))</formula>
    </cfRule>
  </conditionalFormatting>
  <conditionalFormatting sqref="V27">
    <cfRule type="containsText" priority="11378" operator="containsText" dxfId="16" text="ED">
      <formula>NOT(ISERROR(SEARCH(("ED"),(V27))))</formula>
    </cfRule>
    <cfRule type="containsText" priority="11379" operator="containsText" dxfId="15" text="GERIATRIC">
      <formula>NOT(ISERROR(SEARCH(("GERIATRIC"),(V27))))</formula>
    </cfRule>
    <cfRule type="containsText" priority="11380" operator="containsText" dxfId="17" text="VACATION">
      <formula>NOT(ISERROR(SEARCH(("VACATION"),(V27))))</formula>
    </cfRule>
    <cfRule type="containsText" priority="11381" operator="containsText" dxfId="7" text="PATH">
      <formula>NOT(ISERROR(SEARCH(("PATH"),(V27))))</formula>
    </cfRule>
    <cfRule type="containsText" priority="11382" operator="containsText" dxfId="7" text="NEPHRO">
      <formula>NOT(ISERROR(SEARCH(("NEPHRO"),(V27))))</formula>
    </cfRule>
    <cfRule type="containsText" priority="11383" operator="containsText" dxfId="7" text="PULM">
      <formula>NOT(ISERROR(SEARCH(("PULM"),(V27))))</formula>
    </cfRule>
    <cfRule type="containsText" priority="11384" operator="containsText" dxfId="7" text="RADIOLOGY">
      <formula>NOT(ISERROR(SEARCH(("RADIOLOGY"),(V27))))</formula>
    </cfRule>
    <cfRule type="containsText" priority="11385" operator="containsText" dxfId="7" text="HEM/ONC">
      <formula>NOT(ISERROR(SEARCH(("HEM/ONC"),(V27))))</formula>
    </cfRule>
    <cfRule type="containsText" priority="11386" operator="containsText" dxfId="7" text="CARDIO">
      <formula>NOT(ISERROR(SEARCH(("CARDIO"),(V27))))</formula>
    </cfRule>
    <cfRule type="containsText" priority="11387" operator="containsText" dxfId="7" text="ID">
      <formula>NOT(ISERROR(SEARCH(("ID"),(V27))))</formula>
    </cfRule>
    <cfRule type="containsText" priority="11388" operator="containsText" dxfId="7" text="NEURO">
      <formula>NOT(ISERROR(SEARCH(("NEURO"),(V27))))</formula>
    </cfRule>
    <cfRule type="containsText" priority="11389" operator="containsText" dxfId="6" text="NEURO">
      <formula>NOT(ISERROR(SEARCH(("NEURO"),(V27))))</formula>
    </cfRule>
    <cfRule type="containsText" priority="11390" operator="containsText" dxfId="5" text="NEURO">
      <formula>NOT(ISERROR(SEARCH(("NEURO"),(V27))))</formula>
    </cfRule>
    <cfRule type="containsText" priority="11391" operator="containsText" dxfId="0" text="ICU N">
      <formula>NOT(ISERROR(SEARCH(("ICU N"),(V27))))</formula>
    </cfRule>
    <cfRule type="containsText" priority="11392" operator="containsText" dxfId="3" text="ICU">
      <formula>NOT(ISERROR(SEARCH(("ICU"),(V27))))</formula>
    </cfRule>
    <cfRule type="containsText" priority="11393" operator="containsText" dxfId="0" text="SWING">
      <formula>NOT(ISERROR(SEARCH(("SWING"),(V27))))</formula>
    </cfRule>
    <cfRule type="containsText" priority="11394" operator="containsText" dxfId="0" text="NF">
      <formula>NOT(ISERROR(SEARCH(("NF"),(V27))))</formula>
    </cfRule>
    <cfRule type="containsText" priority="11395" operator="containsText" dxfId="0" text="ICU N">
      <formula>NOT(ISERROR(SEARCH(("ICU N"),(V27))))</formula>
    </cfRule>
    <cfRule type="containsText" priority="11360" operator="containsText" dxfId="16" text="ED">
      <formula>NOT(ISERROR(SEARCH(("ED"),(V27))))</formula>
    </cfRule>
    <cfRule type="containsText" priority="11361" operator="containsText" dxfId="15" text="GERIATRIC">
      <formula>NOT(ISERROR(SEARCH(("GERIATRIC"),(V27))))</formula>
    </cfRule>
    <cfRule type="containsText" priority="11362" operator="containsText" dxfId="17" text="VACATION">
      <formula>NOT(ISERROR(SEARCH(("VACATION"),(V27))))</formula>
    </cfRule>
    <cfRule type="containsText" priority="11363" operator="containsText" dxfId="7" text="PATH">
      <formula>NOT(ISERROR(SEARCH(("PATH"),(V27))))</formula>
    </cfRule>
    <cfRule type="containsText" priority="11364" operator="containsText" dxfId="7" text="NEPHRO">
      <formula>NOT(ISERROR(SEARCH(("NEPHRO"),(V27))))</formula>
    </cfRule>
    <cfRule type="containsText" priority="11365" operator="containsText" dxfId="7" text="PULM">
      <formula>NOT(ISERROR(SEARCH(("PULM"),(V27))))</formula>
    </cfRule>
    <cfRule type="containsText" priority="11366" operator="containsText" dxfId="7" text="RADIOLOGY">
      <formula>NOT(ISERROR(SEARCH(("RADIOLOGY"),(V27))))</formula>
    </cfRule>
    <cfRule type="containsText" priority="11367" operator="containsText" dxfId="7" text="HEM/ONC">
      <formula>NOT(ISERROR(SEARCH(("HEM/ONC"),(V27))))</formula>
    </cfRule>
    <cfRule type="containsText" priority="11368" operator="containsText" dxfId="7" text="CARDIO">
      <formula>NOT(ISERROR(SEARCH(("CARDIO"),(V27))))</formula>
    </cfRule>
    <cfRule type="containsText" priority="11369" operator="containsText" dxfId="7" text="ID">
      <formula>NOT(ISERROR(SEARCH(("ID"),(V27))))</formula>
    </cfRule>
    <cfRule type="containsText" priority="11370" operator="containsText" dxfId="7" text="NEURO">
      <formula>NOT(ISERROR(SEARCH(("NEURO"),(V27))))</formula>
    </cfRule>
    <cfRule type="containsText" priority="11371" operator="containsText" dxfId="6" text="NEURO">
      <formula>NOT(ISERROR(SEARCH(("NEURO"),(V27))))</formula>
    </cfRule>
    <cfRule type="containsText" priority="11372" operator="containsText" dxfId="5" text="NEURO">
      <formula>NOT(ISERROR(SEARCH(("NEURO"),(V27))))</formula>
    </cfRule>
    <cfRule type="containsText" priority="11373" operator="containsText" dxfId="0" text="ICU N">
      <formula>NOT(ISERROR(SEARCH(("ICU N"),(V27))))</formula>
    </cfRule>
    <cfRule type="containsText" priority="11374" operator="containsText" dxfId="3" text="ICU">
      <formula>NOT(ISERROR(SEARCH(("ICU"),(V27))))</formula>
    </cfRule>
    <cfRule type="containsText" priority="11375" operator="containsText" dxfId="0" text="SWING">
      <formula>NOT(ISERROR(SEARCH(("SWING"),(V27))))</formula>
    </cfRule>
    <cfRule type="containsText" priority="11376" operator="containsText" dxfId="0" text="NF">
      <formula>NOT(ISERROR(SEARCH(("NF"),(V27))))</formula>
    </cfRule>
    <cfRule type="containsText" priority="11377" operator="containsText" dxfId="0" text="ICU N">
      <formula>NOT(ISERROR(SEARCH(("ICU N"),(V27))))</formula>
    </cfRule>
  </conditionalFormatting>
  <conditionalFormatting sqref="X22">
    <cfRule type="containsText" priority="11357" operator="containsText" dxfId="17" text="VACATION">
      <formula>NOT(ISERROR(SEARCH(("VACATION"),(X22))))</formula>
    </cfRule>
    <cfRule type="containsText" priority="11358" operator="containsText" dxfId="16" text="ED">
      <formula>NOT(ISERROR(SEARCH(("ED"),(X22))))</formula>
    </cfRule>
    <cfRule type="containsText" priority="11359" operator="containsText" dxfId="0" text="ICU N">
      <formula>NOT(ISERROR(SEARCH(("ICU N"),(X22))))</formula>
    </cfRule>
  </conditionalFormatting>
  <conditionalFormatting sqref="Y22">
    <cfRule type="containsText" priority="11354" operator="containsText" dxfId="17" text="VACATION">
      <formula>NOT(ISERROR(SEARCH(("VACATION"),(Y22))))</formula>
    </cfRule>
    <cfRule type="containsText" priority="11355" operator="containsText" dxfId="16" text="ED">
      <formula>NOT(ISERROR(SEARCH(("ED"),(Y22))))</formula>
    </cfRule>
    <cfRule type="containsText" priority="11356" operator="containsText" dxfId="0" text="ICU N">
      <formula>NOT(ISERROR(SEARCH(("ICU N"),(Y22))))</formula>
    </cfRule>
  </conditionalFormatting>
  <conditionalFormatting sqref="AM22">
    <cfRule type="containsText" priority="11346" operator="containsText" dxfId="17" text="VACATION">
      <formula>NOT(ISERROR(SEARCH(("VACATION"),(AM22))))</formula>
    </cfRule>
    <cfRule type="containsText" priority="11347" operator="containsText" dxfId="0" text="ICU N">
      <formula>NOT(ISERROR(SEARCH(("ICU N"),(AM22))))</formula>
    </cfRule>
  </conditionalFormatting>
  <conditionalFormatting sqref="AN22:AO22">
    <cfRule type="containsText" priority="11344" operator="containsText" dxfId="17" text="VACATION">
      <formula>NOT(ISERROR(SEARCH(("VACATION"),(AN22))))</formula>
    </cfRule>
    <cfRule type="containsText" priority="11345" operator="containsText" dxfId="0" text="ICU N">
      <formula>NOT(ISERROR(SEARCH(("ICU N"),(AN22))))</formula>
    </cfRule>
  </conditionalFormatting>
  <conditionalFormatting sqref="AO55">
    <cfRule type="containsText" priority="11341" operator="containsText" dxfId="16" text="ED">
      <formula>NOT(ISERROR(SEARCH(("ED"),(AO55))))</formula>
    </cfRule>
    <cfRule type="containsText" priority="11342" operator="containsText" dxfId="17" text="VACATION">
      <formula>NOT(ISERROR(SEARCH(("VACATION"),(AO55))))</formula>
    </cfRule>
    <cfRule type="containsText" priority="11343" operator="containsText" dxfId="0" text="ICU N">
      <formula>NOT(ISERROR(SEARCH(("ICU N"),(AO55))))</formula>
    </cfRule>
    <cfRule type="containsText" priority="11323" operator="containsText" dxfId="16" text="ED">
      <formula>NOT(ISERROR(SEARCH(("ED"),(AO55))))</formula>
    </cfRule>
    <cfRule type="containsText" priority="11324" operator="containsText" dxfId="15" text="GERIATRIC">
      <formula>NOT(ISERROR(SEARCH(("GERIATRIC"),(AO55))))</formula>
    </cfRule>
    <cfRule type="containsText" priority="11325" operator="containsText" dxfId="17" text="VACATION">
      <formula>NOT(ISERROR(SEARCH(("VACATION"),(AO55))))</formula>
    </cfRule>
    <cfRule type="containsText" priority="11326" operator="containsText" dxfId="7" text="PATH">
      <formula>NOT(ISERROR(SEARCH(("PATH"),(AO55))))</formula>
    </cfRule>
    <cfRule type="containsText" priority="11327" operator="containsText" dxfId="7" text="NEPHRO">
      <formula>NOT(ISERROR(SEARCH(("NEPHRO"),(AO55))))</formula>
    </cfRule>
    <cfRule type="containsText" priority="11328" operator="containsText" dxfId="7" text="PULM">
      <formula>NOT(ISERROR(SEARCH(("PULM"),(AO55))))</formula>
    </cfRule>
    <cfRule type="containsText" priority="11329" operator="containsText" dxfId="7" text="RADIOLOGY">
      <formula>NOT(ISERROR(SEARCH(("RADIOLOGY"),(AO55))))</formula>
    </cfRule>
    <cfRule type="containsText" priority="11330" operator="containsText" dxfId="7" text="HEM/ONC">
      <formula>NOT(ISERROR(SEARCH(("HEM/ONC"),(AO55))))</formula>
    </cfRule>
    <cfRule type="containsText" priority="11331" operator="containsText" dxfId="7" text="CARDIO">
      <formula>NOT(ISERROR(SEARCH(("CARDIO"),(AO55))))</formula>
    </cfRule>
    <cfRule type="containsText" priority="11332" operator="containsText" dxfId="7" text="ID">
      <formula>NOT(ISERROR(SEARCH(("ID"),(AO55))))</formula>
    </cfRule>
    <cfRule type="containsText" priority="11333" operator="containsText" dxfId="7" text="NEURO">
      <formula>NOT(ISERROR(SEARCH(("NEURO"),(AO55))))</formula>
    </cfRule>
    <cfRule type="containsText" priority="11334" operator="containsText" dxfId="6" text="NEURO">
      <formula>NOT(ISERROR(SEARCH(("NEURO"),(AO55))))</formula>
    </cfRule>
    <cfRule type="containsText" priority="11335" operator="containsText" dxfId="5" text="NEURO">
      <formula>NOT(ISERROR(SEARCH(("NEURO"),(AO55))))</formula>
    </cfRule>
    <cfRule type="containsText" priority="11336" operator="containsText" dxfId="0" text="ICU N">
      <formula>NOT(ISERROR(SEARCH(("ICU N"),(AO55))))</formula>
    </cfRule>
    <cfRule type="containsText" priority="11337" operator="containsText" dxfId="3" text="ICU">
      <formula>NOT(ISERROR(SEARCH(("ICU"),(AO55))))</formula>
    </cfRule>
    <cfRule type="containsText" priority="11338" operator="containsText" dxfId="0" text="SWING">
      <formula>NOT(ISERROR(SEARCH(("SWING"),(AO55))))</formula>
    </cfRule>
    <cfRule type="containsText" priority="11339" operator="containsText" dxfId="0" text="NF">
      <formula>NOT(ISERROR(SEARCH(("NF"),(AO55))))</formula>
    </cfRule>
    <cfRule type="containsText" priority="11340" operator="containsText" dxfId="0" text="ICU N">
      <formula>NOT(ISERROR(SEARCH(("ICU N"),(AO55))))</formula>
    </cfRule>
    <cfRule type="containsText" priority="11306" operator="containsText" dxfId="17" text="VACATION">
      <formula>NOT(ISERROR(SEARCH(("VACATION"),(AO55))))</formula>
    </cfRule>
    <cfRule type="containsText" priority="11307" operator="containsText" dxfId="16" text="ED">
      <formula>NOT(ISERROR(SEARCH(("ED"),(AO55))))</formula>
    </cfRule>
    <cfRule type="containsText" priority="11308" operator="containsText" dxfId="15" text="GERIATRIC">
      <formula>NOT(ISERROR(SEARCH(("GERIATRIC"),(AO55))))</formula>
    </cfRule>
    <cfRule type="containsText" priority="11309" operator="containsText" dxfId="7" text="PATH">
      <formula>NOT(ISERROR(SEARCH(("PATH"),(AO55))))</formula>
    </cfRule>
    <cfRule type="containsText" priority="11310" operator="containsText" dxfId="7" text="NEPHRO">
      <formula>NOT(ISERROR(SEARCH(("NEPHRO"),(AO55))))</formula>
    </cfRule>
    <cfRule type="containsText" priority="11311" operator="containsText" dxfId="7" text="PULM">
      <formula>NOT(ISERROR(SEARCH(("PULM"),(AO55))))</formula>
    </cfRule>
    <cfRule type="containsText" priority="11312" operator="containsText" dxfId="7" text="RADIOLOGY">
      <formula>NOT(ISERROR(SEARCH(("RADIOLOGY"),(AO55))))</formula>
    </cfRule>
    <cfRule type="containsText" priority="11313" operator="containsText" dxfId="7" text="HEM/ONC">
      <formula>NOT(ISERROR(SEARCH(("HEM/ONC"),(AO55))))</formula>
    </cfRule>
    <cfRule type="containsText" priority="11314" operator="containsText" dxfId="7" text="CARDIO">
      <formula>NOT(ISERROR(SEARCH(("CARDIO"),(AO55))))</formula>
    </cfRule>
    <cfRule type="containsText" priority="11315" operator="containsText" dxfId="7" text="ID">
      <formula>NOT(ISERROR(SEARCH(("ID"),(AO55))))</formula>
    </cfRule>
    <cfRule type="containsText" priority="11316" operator="containsText" dxfId="7" text="NEURO">
      <formula>NOT(ISERROR(SEARCH(("NEURO"),(AO55))))</formula>
    </cfRule>
    <cfRule type="containsText" priority="11317" operator="containsText" dxfId="6" text="NEURO">
      <formula>NOT(ISERROR(SEARCH(("NEURO"),(AO55))))</formula>
    </cfRule>
    <cfRule type="containsText" priority="11318" operator="containsText" dxfId="5" text="NEURO">
      <formula>NOT(ISERROR(SEARCH(("NEURO"),(AO55))))</formula>
    </cfRule>
    <cfRule type="containsText" priority="11319" operator="containsText" dxfId="0" text="ICU N">
      <formula>NOT(ISERROR(SEARCH(("ICU N"),(AO55))))</formula>
    </cfRule>
    <cfRule type="containsText" priority="11320" operator="containsText" dxfId="3" text="ICU">
      <formula>NOT(ISERROR(SEARCH(("ICU"),(AO55))))</formula>
    </cfRule>
    <cfRule type="containsText" priority="11321" operator="containsText" dxfId="0" text="SWING">
      <formula>NOT(ISERROR(SEARCH(("SWING"),(AO55))))</formula>
    </cfRule>
    <cfRule type="containsText" priority="11322" operator="containsText" dxfId="0" text="NF">
      <formula>NOT(ISERROR(SEARCH(("NF"),(AO55))))</formula>
    </cfRule>
    <cfRule type="containsText" priority="11291" operator="containsText" dxfId="7" text="PATH">
      <formula>NOT(ISERROR(SEARCH(("PATH"),(AO55))))</formula>
    </cfRule>
    <cfRule type="containsText" priority="11292" operator="containsText" dxfId="7" text="NEPHRO">
      <formula>NOT(ISERROR(SEARCH(("NEPHRO"),(AO55))))</formula>
    </cfRule>
    <cfRule type="containsText" priority="11293" operator="containsText" dxfId="7" text="PULM">
      <formula>NOT(ISERROR(SEARCH(("PULM"),(AO55))))</formula>
    </cfRule>
    <cfRule type="containsText" priority="11294" operator="containsText" dxfId="7" text="RADIOLOGY">
      <formula>NOT(ISERROR(SEARCH(("RADIOLOGY"),(AO55))))</formula>
    </cfRule>
    <cfRule type="containsText" priority="11295" operator="containsText" dxfId="7" text="HEM/ONC">
      <formula>NOT(ISERROR(SEARCH(("HEM/ONC"),(AO55))))</formula>
    </cfRule>
    <cfRule type="containsText" priority="11296" operator="containsText" dxfId="7" text="CARDIO">
      <formula>NOT(ISERROR(SEARCH(("CARDIO"),(AO55))))</formula>
    </cfRule>
    <cfRule type="containsText" priority="11297" operator="containsText" dxfId="7" text="ID">
      <formula>NOT(ISERROR(SEARCH(("ID"),(AO55))))</formula>
    </cfRule>
    <cfRule type="containsText" priority="11298" operator="containsText" dxfId="7" text="NEURO">
      <formula>NOT(ISERROR(SEARCH(("NEURO"),(AO55))))</formula>
    </cfRule>
    <cfRule type="containsText" priority="11299" operator="containsText" dxfId="6" text="NEURO">
      <formula>NOT(ISERROR(SEARCH(("NEURO"),(AO55))))</formula>
    </cfRule>
    <cfRule type="containsText" priority="11300" operator="containsText" dxfId="5" text="NEURO">
      <formula>NOT(ISERROR(SEARCH(("NEURO"),(AO55))))</formula>
    </cfRule>
    <cfRule type="containsText" priority="11301" operator="containsText" dxfId="0" text="ICU N">
      <formula>NOT(ISERROR(SEARCH(("ICU N"),(AO55))))</formula>
    </cfRule>
    <cfRule type="containsText" priority="11302" operator="containsText" dxfId="3" text="ICU">
      <formula>NOT(ISERROR(SEARCH(("ICU"),(AO55))))</formula>
    </cfRule>
    <cfRule type="containsText" priority="11303" operator="containsText" dxfId="0" text="SWING">
      <formula>NOT(ISERROR(SEARCH(("SWING"),(AO55))))</formula>
    </cfRule>
    <cfRule type="containsText" priority="11304" operator="containsText" dxfId="0" text="NF">
      <formula>NOT(ISERROR(SEARCH(("NF"),(AO55))))</formula>
    </cfRule>
    <cfRule type="containsText" priority="11305" operator="containsText" dxfId="0" text="ICU N">
      <formula>NOT(ISERROR(SEARCH(("ICU N"),(AO55))))</formula>
    </cfRule>
  </conditionalFormatting>
  <conditionalFormatting sqref="AN54">
    <cfRule type="containsText" priority="11235" operator="containsText" dxfId="16" text="ED">
      <formula>NOT(ISERROR(SEARCH(("ED"),(AN54))))</formula>
    </cfRule>
    <cfRule type="containsText" priority="11236" operator="containsText" dxfId="17" text="VACATION">
      <formula>NOT(ISERROR(SEARCH(("VACATION"),(AN54))))</formula>
    </cfRule>
    <cfRule type="containsText" priority="11237" operator="containsText" dxfId="0" text="ICU N">
      <formula>NOT(ISERROR(SEARCH(("ICU N"),(AN54))))</formula>
    </cfRule>
    <cfRule type="containsText" priority="11217" operator="containsText" dxfId="16" text="ED">
      <formula>NOT(ISERROR(SEARCH(("ED"),(AN54))))</formula>
    </cfRule>
    <cfRule type="containsText" priority="11218" operator="containsText" dxfId="15" text="GERIATRIC">
      <formula>NOT(ISERROR(SEARCH(("GERIATRIC"),(AN54))))</formula>
    </cfRule>
    <cfRule type="containsText" priority="11219" operator="containsText" dxfId="17" text="VACATION">
      <formula>NOT(ISERROR(SEARCH(("VACATION"),(AN54))))</formula>
    </cfRule>
    <cfRule type="containsText" priority="11220" operator="containsText" dxfId="7" text="PATH">
      <formula>NOT(ISERROR(SEARCH(("PATH"),(AN54))))</formula>
    </cfRule>
    <cfRule type="containsText" priority="11221" operator="containsText" dxfId="7" text="NEPHRO">
      <formula>NOT(ISERROR(SEARCH(("NEPHRO"),(AN54))))</formula>
    </cfRule>
    <cfRule type="containsText" priority="11222" operator="containsText" dxfId="7" text="PULM">
      <formula>NOT(ISERROR(SEARCH(("PULM"),(AN54))))</formula>
    </cfRule>
    <cfRule type="containsText" priority="11223" operator="containsText" dxfId="7" text="RADIOLOGY">
      <formula>NOT(ISERROR(SEARCH(("RADIOLOGY"),(AN54))))</formula>
    </cfRule>
    <cfRule type="containsText" priority="11224" operator="containsText" dxfId="7" text="HEM/ONC">
      <formula>NOT(ISERROR(SEARCH(("HEM/ONC"),(AN54))))</formula>
    </cfRule>
    <cfRule type="containsText" priority="11225" operator="containsText" dxfId="7" text="CARDIO">
      <formula>NOT(ISERROR(SEARCH(("CARDIO"),(AN54))))</formula>
    </cfRule>
    <cfRule type="containsText" priority="11226" operator="containsText" dxfId="7" text="ID">
      <formula>NOT(ISERROR(SEARCH(("ID"),(AN54))))</formula>
    </cfRule>
    <cfRule type="containsText" priority="11227" operator="containsText" dxfId="7" text="NEURO">
      <formula>NOT(ISERROR(SEARCH(("NEURO"),(AN54))))</formula>
    </cfRule>
    <cfRule type="containsText" priority="11228" operator="containsText" dxfId="6" text="NEURO">
      <formula>NOT(ISERROR(SEARCH(("NEURO"),(AN54))))</formula>
    </cfRule>
    <cfRule type="containsText" priority="11229" operator="containsText" dxfId="5" text="NEURO">
      <formula>NOT(ISERROR(SEARCH(("NEURO"),(AN54))))</formula>
    </cfRule>
    <cfRule type="containsText" priority="11230" operator="containsText" dxfId="0" text="ICU N">
      <formula>NOT(ISERROR(SEARCH(("ICU N"),(AN54))))</formula>
    </cfRule>
    <cfRule type="containsText" priority="11231" operator="containsText" dxfId="3" text="ICU">
      <formula>NOT(ISERROR(SEARCH(("ICU"),(AN54))))</formula>
    </cfRule>
    <cfRule type="containsText" priority="11232" operator="containsText" dxfId="0" text="SWING">
      <formula>NOT(ISERROR(SEARCH(("SWING"),(AN54))))</formula>
    </cfRule>
    <cfRule type="containsText" priority="11233" operator="containsText" dxfId="0" text="NF">
      <formula>NOT(ISERROR(SEARCH(("NF"),(AN54))))</formula>
    </cfRule>
    <cfRule type="containsText" priority="11234" operator="containsText" dxfId="0" text="ICU N">
      <formula>NOT(ISERROR(SEARCH(("ICU N"),(AN54))))</formula>
    </cfRule>
    <cfRule type="containsText" priority="11200" operator="containsText" dxfId="17" text="VACATION">
      <formula>NOT(ISERROR(SEARCH(("VACATION"),(AN54))))</formula>
    </cfRule>
    <cfRule type="containsText" priority="11201" operator="containsText" dxfId="16" text="ED">
      <formula>NOT(ISERROR(SEARCH(("ED"),(AN54))))</formula>
    </cfRule>
    <cfRule type="containsText" priority="11202" operator="containsText" dxfId="15" text="GERIATRIC">
      <formula>NOT(ISERROR(SEARCH(("GERIATRIC"),(AN54))))</formula>
    </cfRule>
    <cfRule type="containsText" priority="11203" operator="containsText" dxfId="7" text="PATH">
      <formula>NOT(ISERROR(SEARCH(("PATH"),(AN54))))</formula>
    </cfRule>
    <cfRule type="containsText" priority="11204" operator="containsText" dxfId="7" text="NEPHRO">
      <formula>NOT(ISERROR(SEARCH(("NEPHRO"),(AN54))))</formula>
    </cfRule>
    <cfRule type="containsText" priority="11205" operator="containsText" dxfId="7" text="PULM">
      <formula>NOT(ISERROR(SEARCH(("PULM"),(AN54))))</formula>
    </cfRule>
    <cfRule type="containsText" priority="11206" operator="containsText" dxfId="7" text="RADIOLOGY">
      <formula>NOT(ISERROR(SEARCH(("RADIOLOGY"),(AN54))))</formula>
    </cfRule>
    <cfRule type="containsText" priority="11207" operator="containsText" dxfId="7" text="HEM/ONC">
      <formula>NOT(ISERROR(SEARCH(("HEM/ONC"),(AN54))))</formula>
    </cfRule>
    <cfRule type="containsText" priority="11208" operator="containsText" dxfId="7" text="CARDIO">
      <formula>NOT(ISERROR(SEARCH(("CARDIO"),(AN54))))</formula>
    </cfRule>
    <cfRule type="containsText" priority="11209" operator="containsText" dxfId="7" text="ID">
      <formula>NOT(ISERROR(SEARCH(("ID"),(AN54))))</formula>
    </cfRule>
    <cfRule type="containsText" priority="11210" operator="containsText" dxfId="7" text="NEURO">
      <formula>NOT(ISERROR(SEARCH(("NEURO"),(AN54))))</formula>
    </cfRule>
    <cfRule type="containsText" priority="11211" operator="containsText" dxfId="6" text="NEURO">
      <formula>NOT(ISERROR(SEARCH(("NEURO"),(AN54))))</formula>
    </cfRule>
    <cfRule type="containsText" priority="11212" operator="containsText" dxfId="5" text="NEURO">
      <formula>NOT(ISERROR(SEARCH(("NEURO"),(AN54))))</formula>
    </cfRule>
    <cfRule type="containsText" priority="11213" operator="containsText" dxfId="0" text="ICU N">
      <formula>NOT(ISERROR(SEARCH(("ICU N"),(AN54))))</formula>
    </cfRule>
    <cfRule type="containsText" priority="11214" operator="containsText" dxfId="3" text="ICU">
      <formula>NOT(ISERROR(SEARCH(("ICU"),(AN54))))</formula>
    </cfRule>
    <cfRule type="containsText" priority="11215" operator="containsText" dxfId="0" text="SWING">
      <formula>NOT(ISERROR(SEARCH(("SWING"),(AN54))))</formula>
    </cfRule>
    <cfRule type="containsText" priority="11216" operator="containsText" dxfId="0" text="NF">
      <formula>NOT(ISERROR(SEARCH(("NF"),(AN54))))</formula>
    </cfRule>
    <cfRule type="containsText" priority="11185" operator="containsText" dxfId="7" text="PATH">
      <formula>NOT(ISERROR(SEARCH(("PATH"),(AN54))))</formula>
    </cfRule>
    <cfRule type="containsText" priority="11186" operator="containsText" dxfId="7" text="NEPHRO">
      <formula>NOT(ISERROR(SEARCH(("NEPHRO"),(AN54))))</formula>
    </cfRule>
    <cfRule type="containsText" priority="11187" operator="containsText" dxfId="7" text="PULM">
      <formula>NOT(ISERROR(SEARCH(("PULM"),(AN54))))</formula>
    </cfRule>
    <cfRule type="containsText" priority="11188" operator="containsText" dxfId="7" text="RADIOLOGY">
      <formula>NOT(ISERROR(SEARCH(("RADIOLOGY"),(AN54))))</formula>
    </cfRule>
    <cfRule type="containsText" priority="11189" operator="containsText" dxfId="7" text="HEM/ONC">
      <formula>NOT(ISERROR(SEARCH(("HEM/ONC"),(AN54))))</formula>
    </cfRule>
    <cfRule type="containsText" priority="11190" operator="containsText" dxfId="7" text="CARDIO">
      <formula>NOT(ISERROR(SEARCH(("CARDIO"),(AN54))))</formula>
    </cfRule>
    <cfRule type="containsText" priority="11191" operator="containsText" dxfId="7" text="ID">
      <formula>NOT(ISERROR(SEARCH(("ID"),(AN54))))</formula>
    </cfRule>
    <cfRule type="containsText" priority="11192" operator="containsText" dxfId="7" text="NEURO">
      <formula>NOT(ISERROR(SEARCH(("NEURO"),(AN54))))</formula>
    </cfRule>
    <cfRule type="containsText" priority="11193" operator="containsText" dxfId="6" text="NEURO">
      <formula>NOT(ISERROR(SEARCH(("NEURO"),(AN54))))</formula>
    </cfRule>
    <cfRule type="containsText" priority="11194" operator="containsText" dxfId="5" text="NEURO">
      <formula>NOT(ISERROR(SEARCH(("NEURO"),(AN54))))</formula>
    </cfRule>
    <cfRule type="containsText" priority="11195" operator="containsText" dxfId="0" text="ICU N">
      <formula>NOT(ISERROR(SEARCH(("ICU N"),(AN54))))</formula>
    </cfRule>
    <cfRule type="containsText" priority="11196" operator="containsText" dxfId="3" text="ICU">
      <formula>NOT(ISERROR(SEARCH(("ICU"),(AN54))))</formula>
    </cfRule>
    <cfRule type="containsText" priority="11197" operator="containsText" dxfId="0" text="SWING">
      <formula>NOT(ISERROR(SEARCH(("SWING"),(AN54))))</formula>
    </cfRule>
    <cfRule type="containsText" priority="11198" operator="containsText" dxfId="0" text="NF">
      <formula>NOT(ISERROR(SEARCH(("NF"),(AN54))))</formula>
    </cfRule>
    <cfRule type="containsText" priority="11199" operator="containsText" dxfId="0" text="ICU N">
      <formula>NOT(ISERROR(SEARCH(("ICU N"),(AN54))))</formula>
    </cfRule>
  </conditionalFormatting>
  <conditionalFormatting sqref="AO54">
    <cfRule type="containsText" priority="11182" operator="containsText" dxfId="16" text="ED">
      <formula>NOT(ISERROR(SEARCH(("ED"),(AO54))))</formula>
    </cfRule>
    <cfRule type="containsText" priority="11183" operator="containsText" dxfId="17" text="VACATION">
      <formula>NOT(ISERROR(SEARCH(("VACATION"),(AO54))))</formula>
    </cfRule>
    <cfRule type="containsText" priority="11184" operator="containsText" dxfId="0" text="ICU N">
      <formula>NOT(ISERROR(SEARCH(("ICU N"),(AO54))))</formula>
    </cfRule>
    <cfRule type="containsText" priority="11164" operator="containsText" dxfId="16" text="ED">
      <formula>NOT(ISERROR(SEARCH(("ED"),(AO54))))</formula>
    </cfRule>
    <cfRule type="containsText" priority="11165" operator="containsText" dxfId="15" text="GERIATRIC">
      <formula>NOT(ISERROR(SEARCH(("GERIATRIC"),(AO54))))</formula>
    </cfRule>
    <cfRule type="containsText" priority="11166" operator="containsText" dxfId="17" text="VACATION">
      <formula>NOT(ISERROR(SEARCH(("VACATION"),(AO54))))</formula>
    </cfRule>
    <cfRule type="containsText" priority="11167" operator="containsText" dxfId="7" text="PATH">
      <formula>NOT(ISERROR(SEARCH(("PATH"),(AO54))))</formula>
    </cfRule>
    <cfRule type="containsText" priority="11168" operator="containsText" dxfId="7" text="NEPHRO">
      <formula>NOT(ISERROR(SEARCH(("NEPHRO"),(AO54))))</formula>
    </cfRule>
    <cfRule type="containsText" priority="11169" operator="containsText" dxfId="7" text="PULM">
      <formula>NOT(ISERROR(SEARCH(("PULM"),(AO54))))</formula>
    </cfRule>
    <cfRule type="containsText" priority="11170" operator="containsText" dxfId="7" text="RADIOLOGY">
      <formula>NOT(ISERROR(SEARCH(("RADIOLOGY"),(AO54))))</formula>
    </cfRule>
    <cfRule type="containsText" priority="11171" operator="containsText" dxfId="7" text="HEM/ONC">
      <formula>NOT(ISERROR(SEARCH(("HEM/ONC"),(AO54))))</formula>
    </cfRule>
    <cfRule type="containsText" priority="11172" operator="containsText" dxfId="7" text="CARDIO">
      <formula>NOT(ISERROR(SEARCH(("CARDIO"),(AO54))))</formula>
    </cfRule>
    <cfRule type="containsText" priority="11173" operator="containsText" dxfId="7" text="ID">
      <formula>NOT(ISERROR(SEARCH(("ID"),(AO54))))</formula>
    </cfRule>
    <cfRule type="containsText" priority="11174" operator="containsText" dxfId="7" text="NEURO">
      <formula>NOT(ISERROR(SEARCH(("NEURO"),(AO54))))</formula>
    </cfRule>
    <cfRule type="containsText" priority="11175" operator="containsText" dxfId="6" text="NEURO">
      <formula>NOT(ISERROR(SEARCH(("NEURO"),(AO54))))</formula>
    </cfRule>
    <cfRule type="containsText" priority="11176" operator="containsText" dxfId="5" text="NEURO">
      <formula>NOT(ISERROR(SEARCH(("NEURO"),(AO54))))</formula>
    </cfRule>
    <cfRule type="containsText" priority="11177" operator="containsText" dxfId="0" text="ICU N">
      <formula>NOT(ISERROR(SEARCH(("ICU N"),(AO54))))</formula>
    </cfRule>
    <cfRule type="containsText" priority="11178" operator="containsText" dxfId="3" text="ICU">
      <formula>NOT(ISERROR(SEARCH(("ICU"),(AO54))))</formula>
    </cfRule>
    <cfRule type="containsText" priority="11179" operator="containsText" dxfId="0" text="SWING">
      <formula>NOT(ISERROR(SEARCH(("SWING"),(AO54))))</formula>
    </cfRule>
    <cfRule type="containsText" priority="11180" operator="containsText" dxfId="0" text="NF">
      <formula>NOT(ISERROR(SEARCH(("NF"),(AO54))))</formula>
    </cfRule>
    <cfRule type="containsText" priority="11181" operator="containsText" dxfId="0" text="ICU N">
      <formula>NOT(ISERROR(SEARCH(("ICU N"),(AO54))))</formula>
    </cfRule>
    <cfRule type="containsText" priority="11147" operator="containsText" dxfId="17" text="VACATION">
      <formula>NOT(ISERROR(SEARCH(("VACATION"),(AO54))))</formula>
    </cfRule>
    <cfRule type="containsText" priority="11148" operator="containsText" dxfId="16" text="ED">
      <formula>NOT(ISERROR(SEARCH(("ED"),(AO54))))</formula>
    </cfRule>
    <cfRule type="containsText" priority="11149" operator="containsText" dxfId="15" text="GERIATRIC">
      <formula>NOT(ISERROR(SEARCH(("GERIATRIC"),(AO54))))</formula>
    </cfRule>
    <cfRule type="containsText" priority="11150" operator="containsText" dxfId="7" text="PATH">
      <formula>NOT(ISERROR(SEARCH(("PATH"),(AO54))))</formula>
    </cfRule>
    <cfRule type="containsText" priority="11151" operator="containsText" dxfId="7" text="NEPHRO">
      <formula>NOT(ISERROR(SEARCH(("NEPHRO"),(AO54))))</formula>
    </cfRule>
    <cfRule type="containsText" priority="11152" operator="containsText" dxfId="7" text="PULM">
      <formula>NOT(ISERROR(SEARCH(("PULM"),(AO54))))</formula>
    </cfRule>
    <cfRule type="containsText" priority="11153" operator="containsText" dxfId="7" text="RADIOLOGY">
      <formula>NOT(ISERROR(SEARCH(("RADIOLOGY"),(AO54))))</formula>
    </cfRule>
    <cfRule type="containsText" priority="11154" operator="containsText" dxfId="7" text="HEM/ONC">
      <formula>NOT(ISERROR(SEARCH(("HEM/ONC"),(AO54))))</formula>
    </cfRule>
    <cfRule type="containsText" priority="11155" operator="containsText" dxfId="7" text="CARDIO">
      <formula>NOT(ISERROR(SEARCH(("CARDIO"),(AO54))))</formula>
    </cfRule>
    <cfRule type="containsText" priority="11156" operator="containsText" dxfId="7" text="ID">
      <formula>NOT(ISERROR(SEARCH(("ID"),(AO54))))</formula>
    </cfRule>
    <cfRule type="containsText" priority="11157" operator="containsText" dxfId="7" text="NEURO">
      <formula>NOT(ISERROR(SEARCH(("NEURO"),(AO54))))</formula>
    </cfRule>
    <cfRule type="containsText" priority="11158" operator="containsText" dxfId="6" text="NEURO">
      <formula>NOT(ISERROR(SEARCH(("NEURO"),(AO54))))</formula>
    </cfRule>
    <cfRule type="containsText" priority="11159" operator="containsText" dxfId="5" text="NEURO">
      <formula>NOT(ISERROR(SEARCH(("NEURO"),(AO54))))</formula>
    </cfRule>
    <cfRule type="containsText" priority="11160" operator="containsText" dxfId="0" text="ICU N">
      <formula>NOT(ISERROR(SEARCH(("ICU N"),(AO54))))</formula>
    </cfRule>
    <cfRule type="containsText" priority="11161" operator="containsText" dxfId="3" text="ICU">
      <formula>NOT(ISERROR(SEARCH(("ICU"),(AO54))))</formula>
    </cfRule>
    <cfRule type="containsText" priority="11162" operator="containsText" dxfId="0" text="SWING">
      <formula>NOT(ISERROR(SEARCH(("SWING"),(AO54))))</formula>
    </cfRule>
    <cfRule type="containsText" priority="11163" operator="containsText" dxfId="0" text="NF">
      <formula>NOT(ISERROR(SEARCH(("NF"),(AO54))))</formula>
    </cfRule>
    <cfRule type="containsText" priority="11132" operator="containsText" dxfId="7" text="PATH">
      <formula>NOT(ISERROR(SEARCH(("PATH"),(AO54))))</formula>
    </cfRule>
    <cfRule type="containsText" priority="11133" operator="containsText" dxfId="7" text="NEPHRO">
      <formula>NOT(ISERROR(SEARCH(("NEPHRO"),(AO54))))</formula>
    </cfRule>
    <cfRule type="containsText" priority="11134" operator="containsText" dxfId="7" text="PULM">
      <formula>NOT(ISERROR(SEARCH(("PULM"),(AO54))))</formula>
    </cfRule>
    <cfRule type="containsText" priority="11135" operator="containsText" dxfId="7" text="RADIOLOGY">
      <formula>NOT(ISERROR(SEARCH(("RADIOLOGY"),(AO54))))</formula>
    </cfRule>
    <cfRule type="containsText" priority="11136" operator="containsText" dxfId="7" text="HEM/ONC">
      <formula>NOT(ISERROR(SEARCH(("HEM/ONC"),(AO54))))</formula>
    </cfRule>
    <cfRule type="containsText" priority="11137" operator="containsText" dxfId="7" text="CARDIO">
      <formula>NOT(ISERROR(SEARCH(("CARDIO"),(AO54))))</formula>
    </cfRule>
    <cfRule type="containsText" priority="11138" operator="containsText" dxfId="7" text="ID">
      <formula>NOT(ISERROR(SEARCH(("ID"),(AO54))))</formula>
    </cfRule>
    <cfRule type="containsText" priority="11139" operator="containsText" dxfId="7" text="NEURO">
      <formula>NOT(ISERROR(SEARCH(("NEURO"),(AO54))))</formula>
    </cfRule>
    <cfRule type="containsText" priority="11140" operator="containsText" dxfId="6" text="NEURO">
      <formula>NOT(ISERROR(SEARCH(("NEURO"),(AO54))))</formula>
    </cfRule>
    <cfRule type="containsText" priority="11141" operator="containsText" dxfId="5" text="NEURO">
      <formula>NOT(ISERROR(SEARCH(("NEURO"),(AO54))))</formula>
    </cfRule>
    <cfRule type="containsText" priority="11142" operator="containsText" dxfId="0" text="ICU N">
      <formula>NOT(ISERROR(SEARCH(("ICU N"),(AO54))))</formula>
    </cfRule>
    <cfRule type="containsText" priority="11143" operator="containsText" dxfId="3" text="ICU">
      <formula>NOT(ISERROR(SEARCH(("ICU"),(AO54))))</formula>
    </cfRule>
    <cfRule type="containsText" priority="11144" operator="containsText" dxfId="0" text="SWING">
      <formula>NOT(ISERROR(SEARCH(("SWING"),(AO54))))</formula>
    </cfRule>
    <cfRule type="containsText" priority="11145" operator="containsText" dxfId="0" text="NF">
      <formula>NOT(ISERROR(SEARCH(("NF"),(AO54))))</formula>
    </cfRule>
    <cfRule type="containsText" priority="11146" operator="containsText" dxfId="0" text="ICU N">
      <formula>NOT(ISERROR(SEARCH(("ICU N"),(AO54))))</formula>
    </cfRule>
  </conditionalFormatting>
  <conditionalFormatting sqref="AL54">
    <cfRule type="containsText" priority="11129" operator="containsText" dxfId="16" text="ED">
      <formula>NOT(ISERROR(SEARCH(("ED"),(AL54))))</formula>
    </cfRule>
    <cfRule type="containsText" priority="11130" operator="containsText" dxfId="17" text="VACATION">
      <formula>NOT(ISERROR(SEARCH(("VACATION"),(AL54))))</formula>
    </cfRule>
    <cfRule type="containsText" priority="11131" operator="containsText" dxfId="0" text="ICU N">
      <formula>NOT(ISERROR(SEARCH(("ICU N"),(AL54))))</formula>
    </cfRule>
  </conditionalFormatting>
  <conditionalFormatting sqref="AM54">
    <cfRule type="containsText" priority="11126" operator="containsText" dxfId="16" text="ED">
      <formula>NOT(ISERROR(SEARCH(("ED"),(AM54))))</formula>
    </cfRule>
    <cfRule type="containsText" priority="11127" operator="containsText" dxfId="17" text="VACATION">
      <formula>NOT(ISERROR(SEARCH(("VACATION"),(AM54))))</formula>
    </cfRule>
    <cfRule type="containsText" priority="11128" operator="containsText" dxfId="0" text="ICU N">
      <formula>NOT(ISERROR(SEARCH(("ICU N"),(AM54))))</formula>
    </cfRule>
  </conditionalFormatting>
  <conditionalFormatting sqref="AJ55">
    <cfRule type="containsText" priority="11123" operator="containsText" dxfId="16" text="ED">
      <formula>NOT(ISERROR(SEARCH(("ED"),(AJ55))))</formula>
    </cfRule>
    <cfRule type="containsText" priority="11124" operator="containsText" dxfId="17" text="VACATION">
      <formula>NOT(ISERROR(SEARCH(("VACATION"),(AJ55))))</formula>
    </cfRule>
    <cfRule type="containsText" priority="11125" operator="containsText" dxfId="0" text="ICU N">
      <formula>NOT(ISERROR(SEARCH(("ICU N"),(AJ55))))</formula>
    </cfRule>
  </conditionalFormatting>
  <conditionalFormatting sqref="AI55">
    <cfRule type="containsText" priority="11120" operator="containsText" dxfId="16" text="ED">
      <formula>NOT(ISERROR(SEARCH(("ED"),(AI55))))</formula>
    </cfRule>
    <cfRule type="containsText" priority="11121" operator="containsText" dxfId="17" text="VACATION">
      <formula>NOT(ISERROR(SEARCH(("VACATION"),(AI55))))</formula>
    </cfRule>
    <cfRule type="containsText" priority="11122" operator="containsText" dxfId="0" text="ICU N">
      <formula>NOT(ISERROR(SEARCH(("ICU N"),(AI55))))</formula>
    </cfRule>
  </conditionalFormatting>
  <conditionalFormatting sqref="AU43">
    <cfRule type="containsText" priority="11085" operator="containsText" dxfId="17" text="VACATION">
      <formula>NOT(ISERROR(SEARCH(("VACATION"),(AU43))))</formula>
    </cfRule>
    <cfRule type="containsText" priority="11086" operator="containsText" dxfId="16" text="ED">
      <formula>NOT(ISERROR(SEARCH(("ED"),(AU43))))</formula>
    </cfRule>
    <cfRule type="containsText" priority="11087" operator="containsText" dxfId="15" text="GERIATRIC">
      <formula>NOT(ISERROR(SEARCH(("GERIATRIC"),(AU43))))</formula>
    </cfRule>
    <cfRule type="containsText" priority="11088" operator="containsText" dxfId="7" text="PATH">
      <formula>NOT(ISERROR(SEARCH(("PATH"),(AU43))))</formula>
    </cfRule>
    <cfRule type="containsText" priority="11089" operator="containsText" dxfId="7" text="NEPHRO">
      <formula>NOT(ISERROR(SEARCH(("NEPHRO"),(AU43))))</formula>
    </cfRule>
    <cfRule type="containsText" priority="11090" operator="containsText" dxfId="7" text="PULM">
      <formula>NOT(ISERROR(SEARCH(("PULM"),(AU43))))</formula>
    </cfRule>
    <cfRule type="containsText" priority="11091" operator="containsText" dxfId="7" text="RADIOLOGY">
      <formula>NOT(ISERROR(SEARCH(("RADIOLOGY"),(AU43))))</formula>
    </cfRule>
    <cfRule type="containsText" priority="11092" operator="containsText" dxfId="7" text="HEM/ONC">
      <formula>NOT(ISERROR(SEARCH(("HEM/ONC"),(AU43))))</formula>
    </cfRule>
    <cfRule type="containsText" priority="11093" operator="containsText" dxfId="7" text="CARDIO">
      <formula>NOT(ISERROR(SEARCH(("CARDIO"),(AU43))))</formula>
    </cfRule>
    <cfRule type="containsText" priority="11094" operator="containsText" dxfId="7" text="ID">
      <formula>NOT(ISERROR(SEARCH(("ID"),(AU43))))</formula>
    </cfRule>
    <cfRule type="containsText" priority="11095" operator="containsText" dxfId="7" text="NEURO">
      <formula>NOT(ISERROR(SEARCH(("NEURO"),(AU43))))</formula>
    </cfRule>
    <cfRule type="containsText" priority="11096" operator="containsText" dxfId="6" text="NEURO">
      <formula>NOT(ISERROR(SEARCH(("NEURO"),(AU43))))</formula>
    </cfRule>
    <cfRule type="containsText" priority="11097" operator="containsText" dxfId="5" text="NEURO">
      <formula>NOT(ISERROR(SEARCH(("NEURO"),(AU43))))</formula>
    </cfRule>
    <cfRule type="containsText" priority="11098" operator="containsText" dxfId="0" text="ICU N">
      <formula>NOT(ISERROR(SEARCH(("ICU N"),(AU43))))</formula>
    </cfRule>
    <cfRule type="containsText" priority="11099" operator="containsText" dxfId="3" text="ICU">
      <formula>NOT(ISERROR(SEARCH(("ICU"),(AU43))))</formula>
    </cfRule>
    <cfRule type="containsText" priority="11100" operator="containsText" dxfId="0" text="SWING">
      <formula>NOT(ISERROR(SEARCH(("SWING"),(AU43))))</formula>
    </cfRule>
    <cfRule type="containsText" priority="11101" operator="containsText" dxfId="0" text="NF">
      <formula>NOT(ISERROR(SEARCH(("NF"),(AU43))))</formula>
    </cfRule>
    <cfRule type="containsText" priority="11102" operator="containsText" dxfId="0" text="ICU N">
      <formula>NOT(ISERROR(SEARCH(("ICU N"),(AU43))))</formula>
    </cfRule>
    <cfRule type="containsText" priority="11070" operator="containsText" dxfId="7" text="PATH">
      <formula>NOT(ISERROR(SEARCH(("PATH"),(AU43))))</formula>
    </cfRule>
    <cfRule type="containsText" priority="11071" operator="containsText" dxfId="7" text="NEPHRO">
      <formula>NOT(ISERROR(SEARCH(("NEPHRO"),(AU43))))</formula>
    </cfRule>
    <cfRule type="containsText" priority="11072" operator="containsText" dxfId="7" text="PULM">
      <formula>NOT(ISERROR(SEARCH(("PULM"),(AU43))))</formula>
    </cfRule>
    <cfRule type="containsText" priority="11073" operator="containsText" dxfId="7" text="RADIOLOGY">
      <formula>NOT(ISERROR(SEARCH(("RADIOLOGY"),(AU43))))</formula>
    </cfRule>
    <cfRule type="containsText" priority="11074" operator="containsText" dxfId="7" text="HEM/ONC">
      <formula>NOT(ISERROR(SEARCH(("HEM/ONC"),(AU43))))</formula>
    </cfRule>
    <cfRule type="containsText" priority="11075" operator="containsText" dxfId="7" text="CARDIO">
      <formula>NOT(ISERROR(SEARCH(("CARDIO"),(AU43))))</formula>
    </cfRule>
    <cfRule type="containsText" priority="11076" operator="containsText" dxfId="7" text="ID">
      <formula>NOT(ISERROR(SEARCH(("ID"),(AU43))))</formula>
    </cfRule>
    <cfRule type="containsText" priority="11077" operator="containsText" dxfId="7" text="NEURO">
      <formula>NOT(ISERROR(SEARCH(("NEURO"),(AU43))))</formula>
    </cfRule>
    <cfRule type="containsText" priority="11078" operator="containsText" dxfId="6" text="NEURO">
      <formula>NOT(ISERROR(SEARCH(("NEURO"),(AU43))))</formula>
    </cfRule>
    <cfRule type="containsText" priority="11079" operator="containsText" dxfId="5" text="NEURO">
      <formula>NOT(ISERROR(SEARCH(("NEURO"),(AU43))))</formula>
    </cfRule>
    <cfRule type="containsText" priority="11080" operator="containsText" dxfId="0" text="ICU N">
      <formula>NOT(ISERROR(SEARCH(("ICU N"),(AU43))))</formula>
    </cfRule>
    <cfRule type="containsText" priority="11081" operator="containsText" dxfId="3" text="ICU">
      <formula>NOT(ISERROR(SEARCH(("ICU"),(AU43))))</formula>
    </cfRule>
    <cfRule type="containsText" priority="11082" operator="containsText" dxfId="0" text="SWING">
      <formula>NOT(ISERROR(SEARCH(("SWING"),(AU43))))</formula>
    </cfRule>
    <cfRule type="containsText" priority="11083" operator="containsText" dxfId="0" text="NF">
      <formula>NOT(ISERROR(SEARCH(("NF"),(AU43))))</formula>
    </cfRule>
    <cfRule type="containsText" priority="11084" operator="containsText" dxfId="0" text="ICU N">
      <formula>NOT(ISERROR(SEARCH(("ICU N"),(AU43))))</formula>
    </cfRule>
  </conditionalFormatting>
  <conditionalFormatting sqref="AU37">
    <cfRule type="containsText" priority="11052" operator="containsText" dxfId="17" text="VACATION">
      <formula>NOT(ISERROR(SEARCH(("VACATION"),(AU37))))</formula>
    </cfRule>
    <cfRule type="containsText" priority="11053" operator="containsText" dxfId="16" text="ED">
      <formula>NOT(ISERROR(SEARCH(("ED"),(AU37))))</formula>
    </cfRule>
    <cfRule type="containsText" priority="11054" operator="containsText" dxfId="15" text="GERIATRIC">
      <formula>NOT(ISERROR(SEARCH(("GERIATRIC"),(AU37))))</formula>
    </cfRule>
    <cfRule type="containsText" priority="11055" operator="containsText" dxfId="7" text="PATH">
      <formula>NOT(ISERROR(SEARCH(("PATH"),(AU37))))</formula>
    </cfRule>
    <cfRule type="containsText" priority="11056" operator="containsText" dxfId="7" text="NEPHRO">
      <formula>NOT(ISERROR(SEARCH(("NEPHRO"),(AU37))))</formula>
    </cfRule>
    <cfRule type="containsText" priority="11057" operator="containsText" dxfId="7" text="PULM">
      <formula>NOT(ISERROR(SEARCH(("PULM"),(AU37))))</formula>
    </cfRule>
    <cfRule type="containsText" priority="11058" operator="containsText" dxfId="7" text="RADIOLOGY">
      <formula>NOT(ISERROR(SEARCH(("RADIOLOGY"),(AU37))))</formula>
    </cfRule>
    <cfRule type="containsText" priority="11059" operator="containsText" dxfId="7" text="HEM/ONC">
      <formula>NOT(ISERROR(SEARCH(("HEM/ONC"),(AU37))))</formula>
    </cfRule>
    <cfRule type="containsText" priority="11060" operator="containsText" dxfId="7" text="CARDIO">
      <formula>NOT(ISERROR(SEARCH(("CARDIO"),(AU37))))</formula>
    </cfRule>
    <cfRule type="containsText" priority="11061" operator="containsText" dxfId="7" text="ID">
      <formula>NOT(ISERROR(SEARCH(("ID"),(AU37))))</formula>
    </cfRule>
    <cfRule type="containsText" priority="11062" operator="containsText" dxfId="7" text="NEURO">
      <formula>NOT(ISERROR(SEARCH(("NEURO"),(AU37))))</formula>
    </cfRule>
    <cfRule type="containsText" priority="11063" operator="containsText" dxfId="6" text="NEURO">
      <formula>NOT(ISERROR(SEARCH(("NEURO"),(AU37))))</formula>
    </cfRule>
    <cfRule type="containsText" priority="11064" operator="containsText" dxfId="5" text="NEURO">
      <formula>NOT(ISERROR(SEARCH(("NEURO"),(AU37))))</formula>
    </cfRule>
    <cfRule type="containsText" priority="11065" operator="containsText" dxfId="0" text="ICU N">
      <formula>NOT(ISERROR(SEARCH(("ICU N"),(AU37))))</formula>
    </cfRule>
    <cfRule type="containsText" priority="11066" operator="containsText" dxfId="3" text="ICU">
      <formula>NOT(ISERROR(SEARCH(("ICU"),(AU37))))</formula>
    </cfRule>
    <cfRule type="containsText" priority="11067" operator="containsText" dxfId="0" text="SWING">
      <formula>NOT(ISERROR(SEARCH(("SWING"),(AU37))))</formula>
    </cfRule>
    <cfRule type="containsText" priority="11068" operator="containsText" dxfId="0" text="NF">
      <formula>NOT(ISERROR(SEARCH(("NF"),(AU37))))</formula>
    </cfRule>
    <cfRule type="containsText" priority="11069" operator="containsText" dxfId="0" text="ICU N">
      <formula>NOT(ISERROR(SEARCH(("ICU N"),(AU37))))</formula>
    </cfRule>
    <cfRule type="containsText" priority="11037" operator="containsText" dxfId="7" text="PATH">
      <formula>NOT(ISERROR(SEARCH(("PATH"),(AU37))))</formula>
    </cfRule>
    <cfRule type="containsText" priority="11038" operator="containsText" dxfId="7" text="NEPHRO">
      <formula>NOT(ISERROR(SEARCH(("NEPHRO"),(AU37))))</formula>
    </cfRule>
    <cfRule type="containsText" priority="11039" operator="containsText" dxfId="7" text="PULM">
      <formula>NOT(ISERROR(SEARCH(("PULM"),(AU37))))</formula>
    </cfRule>
    <cfRule type="containsText" priority="11040" operator="containsText" dxfId="7" text="RADIOLOGY">
      <formula>NOT(ISERROR(SEARCH(("RADIOLOGY"),(AU37))))</formula>
    </cfRule>
    <cfRule type="containsText" priority="11041" operator="containsText" dxfId="7" text="HEM/ONC">
      <formula>NOT(ISERROR(SEARCH(("HEM/ONC"),(AU37))))</formula>
    </cfRule>
    <cfRule type="containsText" priority="11042" operator="containsText" dxfId="7" text="CARDIO">
      <formula>NOT(ISERROR(SEARCH(("CARDIO"),(AU37))))</formula>
    </cfRule>
    <cfRule type="containsText" priority="11043" operator="containsText" dxfId="7" text="ID">
      <formula>NOT(ISERROR(SEARCH(("ID"),(AU37))))</formula>
    </cfRule>
    <cfRule type="containsText" priority="11044" operator="containsText" dxfId="7" text="NEURO">
      <formula>NOT(ISERROR(SEARCH(("NEURO"),(AU37))))</formula>
    </cfRule>
    <cfRule type="containsText" priority="11045" operator="containsText" dxfId="6" text="NEURO">
      <formula>NOT(ISERROR(SEARCH(("NEURO"),(AU37))))</formula>
    </cfRule>
    <cfRule type="containsText" priority="11046" operator="containsText" dxfId="5" text="NEURO">
      <formula>NOT(ISERROR(SEARCH(("NEURO"),(AU37))))</formula>
    </cfRule>
    <cfRule type="containsText" priority="11047" operator="containsText" dxfId="0" text="ICU N">
      <formula>NOT(ISERROR(SEARCH(("ICU N"),(AU37))))</formula>
    </cfRule>
    <cfRule type="containsText" priority="11048" operator="containsText" dxfId="3" text="ICU">
      <formula>NOT(ISERROR(SEARCH(("ICU"),(AU37))))</formula>
    </cfRule>
    <cfRule type="containsText" priority="11049" operator="containsText" dxfId="0" text="SWING">
      <formula>NOT(ISERROR(SEARCH(("SWING"),(AU37))))</formula>
    </cfRule>
    <cfRule type="containsText" priority="11050" operator="containsText" dxfId="0" text="NF">
      <formula>NOT(ISERROR(SEARCH(("NF"),(AU37))))</formula>
    </cfRule>
    <cfRule type="containsText" priority="11051" operator="containsText" dxfId="0" text="ICU N">
      <formula>NOT(ISERROR(SEARCH(("ICU N"),(AU37))))</formula>
    </cfRule>
  </conditionalFormatting>
  <conditionalFormatting sqref="AU24">
    <cfRule type="containsText" priority="11036" operator="containsText" dxfId="0" text="ICU N">
      <formula>NOT(ISERROR(SEARCH(("ICU N"),(AU24))))</formula>
    </cfRule>
    <cfRule type="containsText" priority="11021" operator="containsText" dxfId="7" text="PATH">
      <formula>NOT(ISERROR(SEARCH(("PATH"),(AU24))))</formula>
    </cfRule>
    <cfRule type="containsText" priority="11022" operator="containsText" dxfId="7" text="NEPHRO">
      <formula>NOT(ISERROR(SEARCH(("NEPHRO"),(AU24))))</formula>
    </cfRule>
    <cfRule type="containsText" priority="11023" operator="containsText" dxfId="7" text="PULM">
      <formula>NOT(ISERROR(SEARCH(("PULM"),(AU24))))</formula>
    </cfRule>
    <cfRule type="containsText" priority="11024" operator="containsText" dxfId="7" text="RADIOLOGY">
      <formula>NOT(ISERROR(SEARCH(("RADIOLOGY"),(AU24))))</formula>
    </cfRule>
    <cfRule type="containsText" priority="11025" operator="containsText" dxfId="7" text="HEM/ONC">
      <formula>NOT(ISERROR(SEARCH(("HEM/ONC"),(AU24))))</formula>
    </cfRule>
    <cfRule type="containsText" priority="11026" operator="containsText" dxfId="7" text="CARDIO">
      <formula>NOT(ISERROR(SEARCH(("CARDIO"),(AU24))))</formula>
    </cfRule>
    <cfRule type="containsText" priority="11027" operator="containsText" dxfId="7" text="ID">
      <formula>NOT(ISERROR(SEARCH(("ID"),(AU24))))</formula>
    </cfRule>
    <cfRule type="containsText" priority="11028" operator="containsText" dxfId="7" text="NEURO">
      <formula>NOT(ISERROR(SEARCH(("NEURO"),(AU24))))</formula>
    </cfRule>
    <cfRule type="containsText" priority="11029" operator="containsText" dxfId="6" text="NEURO">
      <formula>NOT(ISERROR(SEARCH(("NEURO"),(AU24))))</formula>
    </cfRule>
    <cfRule type="containsText" priority="11030" operator="containsText" dxfId="5" text="NEURO">
      <formula>NOT(ISERROR(SEARCH(("NEURO"),(AU24))))</formula>
    </cfRule>
    <cfRule type="containsText" priority="11031" operator="containsText" dxfId="0" text="ICU N">
      <formula>NOT(ISERROR(SEARCH(("ICU N"),(AU24))))</formula>
    </cfRule>
    <cfRule type="containsText" priority="11032" operator="containsText" dxfId="3" text="ICU">
      <formula>NOT(ISERROR(SEARCH(("ICU"),(AU24))))</formula>
    </cfRule>
    <cfRule type="containsText" priority="11033" operator="containsText" dxfId="0" text="SWING">
      <formula>NOT(ISERROR(SEARCH(("SWING"),(AU24))))</formula>
    </cfRule>
    <cfRule type="containsText" priority="11034" operator="containsText" dxfId="0" text="NF">
      <formula>NOT(ISERROR(SEARCH(("NF"),(AU24))))</formula>
    </cfRule>
    <cfRule type="containsText" priority="11035" operator="containsText" dxfId="0" text="ICU N">
      <formula>NOT(ISERROR(SEARCH(("ICU N"),(AU24))))</formula>
    </cfRule>
  </conditionalFormatting>
  <conditionalFormatting sqref="AY39">
    <cfRule type="containsText" priority="10967" operator="containsText" dxfId="17" text="VACATION">
      <formula>NOT(ISERROR(SEARCH(("VACATION"),(AY39))))</formula>
    </cfRule>
    <cfRule type="containsText" priority="10968" operator="containsText" dxfId="0" text="ICU N">
      <formula>NOT(ISERROR(SEARCH(("ICU N"),(AY39))))</formula>
    </cfRule>
  </conditionalFormatting>
  <conditionalFormatting sqref="AZ39">
    <cfRule type="containsText" priority="10965" operator="containsText" dxfId="17" text="VACATION">
      <formula>NOT(ISERROR(SEARCH(("VACATION"),(AZ39))))</formula>
    </cfRule>
    <cfRule type="containsText" priority="10966" operator="containsText" dxfId="0" text="ICU N">
      <formula>NOT(ISERROR(SEARCH(("ICU N"),(AZ39))))</formula>
    </cfRule>
  </conditionalFormatting>
  <conditionalFormatting sqref="AV42">
    <cfRule type="containsText" priority="10930" operator="containsText" dxfId="17" text="VACATION">
      <formula>NOT(ISERROR(SEARCH(("VACATION"),(AV42))))</formula>
    </cfRule>
    <cfRule type="containsText" priority="10931" operator="containsText" dxfId="16" text="ED">
      <formula>NOT(ISERROR(SEARCH(("ED"),(AV42))))</formula>
    </cfRule>
    <cfRule type="containsText" priority="10932" operator="containsText" dxfId="15" text="GERIATRIC">
      <formula>NOT(ISERROR(SEARCH(("GERIATRIC"),(AV42))))</formula>
    </cfRule>
    <cfRule type="containsText" priority="10933" operator="containsText" dxfId="7" text="PATH">
      <formula>NOT(ISERROR(SEARCH(("PATH"),(AV42))))</formula>
    </cfRule>
    <cfRule type="containsText" priority="10934" operator="containsText" dxfId="7" text="NEPHRO">
      <formula>NOT(ISERROR(SEARCH(("NEPHRO"),(AV42))))</formula>
    </cfRule>
    <cfRule type="containsText" priority="10935" operator="containsText" dxfId="7" text="PULM">
      <formula>NOT(ISERROR(SEARCH(("PULM"),(AV42))))</formula>
    </cfRule>
    <cfRule type="containsText" priority="10936" operator="containsText" dxfId="7" text="RADIOLOGY">
      <formula>NOT(ISERROR(SEARCH(("RADIOLOGY"),(AV42))))</formula>
    </cfRule>
    <cfRule type="containsText" priority="10937" operator="containsText" dxfId="7" text="HEM/ONC">
      <formula>NOT(ISERROR(SEARCH(("HEM/ONC"),(AV42))))</formula>
    </cfRule>
    <cfRule type="containsText" priority="10938" operator="containsText" dxfId="7" text="CARDIO">
      <formula>NOT(ISERROR(SEARCH(("CARDIO"),(AV42))))</formula>
    </cfRule>
    <cfRule type="containsText" priority="10939" operator="containsText" dxfId="7" text="ID">
      <formula>NOT(ISERROR(SEARCH(("ID"),(AV42))))</formula>
    </cfRule>
    <cfRule type="containsText" priority="10940" operator="containsText" dxfId="7" text="NEURO">
      <formula>NOT(ISERROR(SEARCH(("NEURO"),(AV42))))</formula>
    </cfRule>
    <cfRule type="containsText" priority="10941" operator="containsText" dxfId="6" text="NEURO">
      <formula>NOT(ISERROR(SEARCH(("NEURO"),(AV42))))</formula>
    </cfRule>
    <cfRule type="containsText" priority="10942" operator="containsText" dxfId="5" text="NEURO">
      <formula>NOT(ISERROR(SEARCH(("NEURO"),(AV42))))</formula>
    </cfRule>
    <cfRule type="containsText" priority="10943" operator="containsText" dxfId="0" text="ICU N">
      <formula>NOT(ISERROR(SEARCH(("ICU N"),(AV42))))</formula>
    </cfRule>
    <cfRule type="containsText" priority="10944" operator="containsText" dxfId="3" text="ICU">
      <formula>NOT(ISERROR(SEARCH(("ICU"),(AV42))))</formula>
    </cfRule>
    <cfRule type="containsText" priority="10945" operator="containsText" dxfId="0" text="SWING">
      <formula>NOT(ISERROR(SEARCH(("SWING"),(AV42))))</formula>
    </cfRule>
    <cfRule type="containsText" priority="10946" operator="containsText" dxfId="0" text="NF">
      <formula>NOT(ISERROR(SEARCH(("NF"),(AV42))))</formula>
    </cfRule>
    <cfRule type="containsText" priority="10947" operator="containsText" dxfId="0" text="ICU N">
      <formula>NOT(ISERROR(SEARCH(("ICU N"),(AV42))))</formula>
    </cfRule>
    <cfRule type="containsText" priority="10915" operator="containsText" dxfId="7" text="PATH">
      <formula>NOT(ISERROR(SEARCH(("PATH"),(AV42))))</formula>
    </cfRule>
    <cfRule type="containsText" priority="10916" operator="containsText" dxfId="7" text="NEPHRO">
      <formula>NOT(ISERROR(SEARCH(("NEPHRO"),(AV42))))</formula>
    </cfRule>
    <cfRule type="containsText" priority="10917" operator="containsText" dxfId="7" text="PULM">
      <formula>NOT(ISERROR(SEARCH(("PULM"),(AV42))))</formula>
    </cfRule>
    <cfRule type="containsText" priority="10918" operator="containsText" dxfId="7" text="RADIOLOGY">
      <formula>NOT(ISERROR(SEARCH(("RADIOLOGY"),(AV42))))</formula>
    </cfRule>
    <cfRule type="containsText" priority="10919" operator="containsText" dxfId="7" text="HEM/ONC">
      <formula>NOT(ISERROR(SEARCH(("HEM/ONC"),(AV42))))</formula>
    </cfRule>
    <cfRule type="containsText" priority="10920" operator="containsText" dxfId="7" text="CARDIO">
      <formula>NOT(ISERROR(SEARCH(("CARDIO"),(AV42))))</formula>
    </cfRule>
    <cfRule type="containsText" priority="10921" operator="containsText" dxfId="7" text="ID">
      <formula>NOT(ISERROR(SEARCH(("ID"),(AV42))))</formula>
    </cfRule>
    <cfRule type="containsText" priority="10922" operator="containsText" dxfId="7" text="NEURO">
      <formula>NOT(ISERROR(SEARCH(("NEURO"),(AV42))))</formula>
    </cfRule>
    <cfRule type="containsText" priority="10923" operator="containsText" dxfId="6" text="NEURO">
      <formula>NOT(ISERROR(SEARCH(("NEURO"),(AV42))))</formula>
    </cfRule>
    <cfRule type="containsText" priority="10924" operator="containsText" dxfId="5" text="NEURO">
      <formula>NOT(ISERROR(SEARCH(("NEURO"),(AV42))))</formula>
    </cfRule>
    <cfRule type="containsText" priority="10925" operator="containsText" dxfId="0" text="ICU N">
      <formula>NOT(ISERROR(SEARCH(("ICU N"),(AV42))))</formula>
    </cfRule>
    <cfRule type="containsText" priority="10926" operator="containsText" dxfId="3" text="ICU">
      <formula>NOT(ISERROR(SEARCH(("ICU"),(AV42))))</formula>
    </cfRule>
    <cfRule type="containsText" priority="10927" operator="containsText" dxfId="0" text="SWING">
      <formula>NOT(ISERROR(SEARCH(("SWING"),(AV42))))</formula>
    </cfRule>
    <cfRule type="containsText" priority="10928" operator="containsText" dxfId="0" text="NF">
      <formula>NOT(ISERROR(SEARCH(("NF"),(AV42))))</formula>
    </cfRule>
    <cfRule type="containsText" priority="10929" operator="containsText" dxfId="0" text="ICU N">
      <formula>NOT(ISERROR(SEARCH(("ICU N"),(AV42))))</formula>
    </cfRule>
  </conditionalFormatting>
  <conditionalFormatting sqref="AV7">
    <cfRule type="containsText" priority="10897" operator="containsText" dxfId="17" text="VACATION">
      <formula>NOT(ISERROR(SEARCH(("VACATION"),(AV7))))</formula>
    </cfRule>
    <cfRule type="containsText" priority="10898" operator="containsText" dxfId="16" text="ED">
      <formula>NOT(ISERROR(SEARCH(("ED"),(AV7))))</formula>
    </cfRule>
    <cfRule type="containsText" priority="10899" operator="containsText" dxfId="15" text="GERIATRIC">
      <formula>NOT(ISERROR(SEARCH(("GERIATRIC"),(AV7))))</formula>
    </cfRule>
    <cfRule type="containsText" priority="10900" operator="containsText" dxfId="7" text="PATH">
      <formula>NOT(ISERROR(SEARCH(("PATH"),(AV7))))</formula>
    </cfRule>
    <cfRule type="containsText" priority="10901" operator="containsText" dxfId="7" text="NEPHRO">
      <formula>NOT(ISERROR(SEARCH(("NEPHRO"),(AV7))))</formula>
    </cfRule>
    <cfRule type="containsText" priority="10902" operator="containsText" dxfId="7" text="PULM">
      <formula>NOT(ISERROR(SEARCH(("PULM"),(AV7))))</formula>
    </cfRule>
    <cfRule type="containsText" priority="10903" operator="containsText" dxfId="7" text="RADIOLOGY">
      <formula>NOT(ISERROR(SEARCH(("RADIOLOGY"),(AV7))))</formula>
    </cfRule>
    <cfRule type="containsText" priority="10904" operator="containsText" dxfId="7" text="HEM/ONC">
      <formula>NOT(ISERROR(SEARCH(("HEM/ONC"),(AV7))))</formula>
    </cfRule>
    <cfRule type="containsText" priority="10905" operator="containsText" dxfId="7" text="CARDIO">
      <formula>NOT(ISERROR(SEARCH(("CARDIO"),(AV7))))</formula>
    </cfRule>
    <cfRule type="containsText" priority="10906" operator="containsText" dxfId="7" text="ID">
      <formula>NOT(ISERROR(SEARCH(("ID"),(AV7))))</formula>
    </cfRule>
    <cfRule type="containsText" priority="10907" operator="containsText" dxfId="7" text="NEURO">
      <formula>NOT(ISERROR(SEARCH(("NEURO"),(AV7))))</formula>
    </cfRule>
    <cfRule type="containsText" priority="10908" operator="containsText" dxfId="6" text="NEURO">
      <formula>NOT(ISERROR(SEARCH(("NEURO"),(AV7))))</formula>
    </cfRule>
    <cfRule type="containsText" priority="10909" operator="containsText" dxfId="5" text="NEURO">
      <formula>NOT(ISERROR(SEARCH(("NEURO"),(AV7))))</formula>
    </cfRule>
    <cfRule type="containsText" priority="10910" operator="containsText" dxfId="0" text="ICU N">
      <formula>NOT(ISERROR(SEARCH(("ICU N"),(AV7))))</formula>
    </cfRule>
    <cfRule type="containsText" priority="10911" operator="containsText" dxfId="3" text="ICU">
      <formula>NOT(ISERROR(SEARCH(("ICU"),(AV7))))</formula>
    </cfRule>
    <cfRule type="containsText" priority="10912" operator="containsText" dxfId="0" text="SWING">
      <formula>NOT(ISERROR(SEARCH(("SWING"),(AV7))))</formula>
    </cfRule>
    <cfRule type="containsText" priority="10913" operator="containsText" dxfId="0" text="NF">
      <formula>NOT(ISERROR(SEARCH(("NF"),(AV7))))</formula>
    </cfRule>
    <cfRule type="containsText" priority="10914" operator="containsText" dxfId="0" text="ICU N">
      <formula>NOT(ISERROR(SEARCH(("ICU N"),(AV7))))</formula>
    </cfRule>
    <cfRule type="containsText" priority="10882" operator="containsText" dxfId="7" text="PATH">
      <formula>NOT(ISERROR(SEARCH(("PATH"),(AV7))))</formula>
    </cfRule>
    <cfRule type="containsText" priority="10883" operator="containsText" dxfId="7" text="NEPHRO">
      <formula>NOT(ISERROR(SEARCH(("NEPHRO"),(AV7))))</formula>
    </cfRule>
    <cfRule type="containsText" priority="10884" operator="containsText" dxfId="7" text="PULM">
      <formula>NOT(ISERROR(SEARCH(("PULM"),(AV7))))</formula>
    </cfRule>
    <cfRule type="containsText" priority="10885" operator="containsText" dxfId="7" text="RADIOLOGY">
      <formula>NOT(ISERROR(SEARCH(("RADIOLOGY"),(AV7))))</formula>
    </cfRule>
    <cfRule type="containsText" priority="10886" operator="containsText" dxfId="7" text="HEM/ONC">
      <formula>NOT(ISERROR(SEARCH(("HEM/ONC"),(AV7))))</formula>
    </cfRule>
    <cfRule type="containsText" priority="10887" operator="containsText" dxfId="7" text="CARDIO">
      <formula>NOT(ISERROR(SEARCH(("CARDIO"),(AV7))))</formula>
    </cfRule>
    <cfRule type="containsText" priority="10888" operator="containsText" dxfId="7" text="ID">
      <formula>NOT(ISERROR(SEARCH(("ID"),(AV7))))</formula>
    </cfRule>
    <cfRule type="containsText" priority="10889" operator="containsText" dxfId="7" text="NEURO">
      <formula>NOT(ISERROR(SEARCH(("NEURO"),(AV7))))</formula>
    </cfRule>
    <cfRule type="containsText" priority="10890" operator="containsText" dxfId="6" text="NEURO">
      <formula>NOT(ISERROR(SEARCH(("NEURO"),(AV7))))</formula>
    </cfRule>
    <cfRule type="containsText" priority="10891" operator="containsText" dxfId="5" text="NEURO">
      <formula>NOT(ISERROR(SEARCH(("NEURO"),(AV7))))</formula>
    </cfRule>
    <cfRule type="containsText" priority="10892" operator="containsText" dxfId="0" text="ICU N">
      <formula>NOT(ISERROR(SEARCH(("ICU N"),(AV7))))</formula>
    </cfRule>
    <cfRule type="containsText" priority="10893" operator="containsText" dxfId="3" text="ICU">
      <formula>NOT(ISERROR(SEARCH(("ICU"),(AV7))))</formula>
    </cfRule>
    <cfRule type="containsText" priority="10894" operator="containsText" dxfId="0" text="SWING">
      <formula>NOT(ISERROR(SEARCH(("SWING"),(AV7))))</formula>
    </cfRule>
    <cfRule type="containsText" priority="10895" operator="containsText" dxfId="0" text="NF">
      <formula>NOT(ISERROR(SEARCH(("NF"),(AV7))))</formula>
    </cfRule>
    <cfRule type="containsText" priority="10896" operator="containsText" dxfId="0" text="ICU N">
      <formula>NOT(ISERROR(SEARCH(("ICU N"),(AV7))))</formula>
    </cfRule>
  </conditionalFormatting>
  <conditionalFormatting sqref="AV44">
    <cfRule type="containsText" priority="10832" operator="containsText" dxfId="17" text="VACATION">
      <formula>NOT(ISERROR(SEARCH(("VACATION"),(AV44))))</formula>
    </cfRule>
    <cfRule type="containsText" priority="10833" operator="containsText" dxfId="16" text="ED">
      <formula>NOT(ISERROR(SEARCH(("ED"),(AV44))))</formula>
    </cfRule>
    <cfRule type="containsText" priority="10834" operator="containsText" dxfId="15" text="GERIATRIC">
      <formula>NOT(ISERROR(SEARCH(("GERIATRIC"),(AV44))))</formula>
    </cfRule>
    <cfRule type="containsText" priority="10835" operator="containsText" dxfId="7" text="PATH">
      <formula>NOT(ISERROR(SEARCH(("PATH"),(AV44))))</formula>
    </cfRule>
    <cfRule type="containsText" priority="10836" operator="containsText" dxfId="7" text="NEPHRO">
      <formula>NOT(ISERROR(SEARCH(("NEPHRO"),(AV44))))</formula>
    </cfRule>
    <cfRule type="containsText" priority="10837" operator="containsText" dxfId="7" text="PULM">
      <formula>NOT(ISERROR(SEARCH(("PULM"),(AV44))))</formula>
    </cfRule>
    <cfRule type="containsText" priority="10838" operator="containsText" dxfId="7" text="RADIOLOGY">
      <formula>NOT(ISERROR(SEARCH(("RADIOLOGY"),(AV44))))</formula>
    </cfRule>
    <cfRule type="containsText" priority="10839" operator="containsText" dxfId="7" text="HEM/ONC">
      <formula>NOT(ISERROR(SEARCH(("HEM/ONC"),(AV44))))</formula>
    </cfRule>
    <cfRule type="containsText" priority="10840" operator="containsText" dxfId="7" text="CARDIO">
      <formula>NOT(ISERROR(SEARCH(("CARDIO"),(AV44))))</formula>
    </cfRule>
    <cfRule type="containsText" priority="10841" operator="containsText" dxfId="7" text="ID">
      <formula>NOT(ISERROR(SEARCH(("ID"),(AV44))))</formula>
    </cfRule>
    <cfRule type="containsText" priority="10842" operator="containsText" dxfId="7" text="NEURO">
      <formula>NOT(ISERROR(SEARCH(("NEURO"),(AV44))))</formula>
    </cfRule>
    <cfRule type="containsText" priority="10843" operator="containsText" dxfId="6" text="NEURO">
      <formula>NOT(ISERROR(SEARCH(("NEURO"),(AV44))))</formula>
    </cfRule>
    <cfRule type="containsText" priority="10844" operator="containsText" dxfId="5" text="NEURO">
      <formula>NOT(ISERROR(SEARCH(("NEURO"),(AV44))))</formula>
    </cfRule>
    <cfRule type="containsText" priority="10845" operator="containsText" dxfId="0" text="ICU N">
      <formula>NOT(ISERROR(SEARCH(("ICU N"),(AV44))))</formula>
    </cfRule>
    <cfRule type="containsText" priority="10846" operator="containsText" dxfId="3" text="ICU">
      <formula>NOT(ISERROR(SEARCH(("ICU"),(AV44))))</formula>
    </cfRule>
    <cfRule type="containsText" priority="10847" operator="containsText" dxfId="0" text="SWING">
      <formula>NOT(ISERROR(SEARCH(("SWING"),(AV44))))</formula>
    </cfRule>
    <cfRule type="containsText" priority="10848" operator="containsText" dxfId="0" text="NF">
      <formula>NOT(ISERROR(SEARCH(("NF"),(AV44))))</formula>
    </cfRule>
  </conditionalFormatting>
  <conditionalFormatting sqref="I24">
    <cfRule type="containsText" priority="10746" operator="containsText" dxfId="17" text="VACATION">
      <formula>NOT(ISERROR(SEARCH(("VACATION"),(I24))))</formula>
    </cfRule>
    <cfRule type="containsText" priority="10747" operator="containsText" dxfId="16" text="ED">
      <formula>NOT(ISERROR(SEARCH(("ED"),(I24))))</formula>
    </cfRule>
    <cfRule type="containsText" priority="10748" operator="containsText" dxfId="15" text="GERIATRIC">
      <formula>NOT(ISERROR(SEARCH(("GERIATRIC"),(I24))))</formula>
    </cfRule>
    <cfRule type="containsText" priority="10749" operator="containsText" dxfId="7" text="PATH">
      <formula>NOT(ISERROR(SEARCH(("PATH"),(I24))))</formula>
    </cfRule>
    <cfRule type="containsText" priority="10750" operator="containsText" dxfId="7" text="NEPHRO">
      <formula>NOT(ISERROR(SEARCH(("NEPHRO"),(I24))))</formula>
    </cfRule>
    <cfRule type="containsText" priority="10751" operator="containsText" dxfId="7" text="PULM">
      <formula>NOT(ISERROR(SEARCH(("PULM"),(I24))))</formula>
    </cfRule>
    <cfRule type="containsText" priority="10752" operator="containsText" dxfId="7" text="RADIOLOGY">
      <formula>NOT(ISERROR(SEARCH(("RADIOLOGY"),(I24))))</formula>
    </cfRule>
    <cfRule type="containsText" priority="10753" operator="containsText" dxfId="7" text="HEM/ONC">
      <formula>NOT(ISERROR(SEARCH(("HEM/ONC"),(I24))))</formula>
    </cfRule>
    <cfRule type="containsText" priority="10754" operator="containsText" dxfId="7" text="CARDIO">
      <formula>NOT(ISERROR(SEARCH(("CARDIO"),(I24))))</formula>
    </cfRule>
    <cfRule type="containsText" priority="10755" operator="containsText" dxfId="7" text="ID">
      <formula>NOT(ISERROR(SEARCH(("ID"),(I24))))</formula>
    </cfRule>
    <cfRule type="containsText" priority="10756" operator="containsText" dxfId="7" text="NEURO">
      <formula>NOT(ISERROR(SEARCH(("NEURO"),(I24))))</formula>
    </cfRule>
    <cfRule type="containsText" priority="10757" operator="containsText" dxfId="6" text="NEURO">
      <formula>NOT(ISERROR(SEARCH(("NEURO"),(I24))))</formula>
    </cfRule>
    <cfRule type="containsText" priority="10758" operator="containsText" dxfId="5" text="NEURO">
      <formula>NOT(ISERROR(SEARCH(("NEURO"),(I24))))</formula>
    </cfRule>
    <cfRule type="containsText" priority="10759" operator="containsText" dxfId="3" text="ICU">
      <formula>NOT(ISERROR(SEARCH(("ICU"),(I24))))</formula>
    </cfRule>
    <cfRule type="containsText" priority="10760" operator="containsText" dxfId="0" text="SWING">
      <formula>NOT(ISERROR(SEARCH(("SWING"),(I24))))</formula>
    </cfRule>
    <cfRule type="containsText" priority="10761" operator="containsText" dxfId="0" text="NF">
      <formula>NOT(ISERROR(SEARCH(("NF"),(I24))))</formula>
    </cfRule>
  </conditionalFormatting>
  <conditionalFormatting sqref="J24">
    <cfRule type="containsText" priority="10745" operator="containsText" dxfId="0" text="ICU N">
      <formula>NOT(ISERROR(SEARCH(("ICU N"),(J24))))</formula>
    </cfRule>
  </conditionalFormatting>
  <conditionalFormatting sqref="N23">
    <cfRule type="containsText" priority="10727" operator="containsText" dxfId="16" text="ED">
      <formula>NOT(ISERROR(SEARCH(("ED"),(N23))))</formula>
    </cfRule>
    <cfRule type="containsText" priority="10728" operator="containsText" dxfId="15" text="GERIATRIC">
      <formula>NOT(ISERROR(SEARCH(("GERIATRIC"),(N23))))</formula>
    </cfRule>
    <cfRule type="containsText" priority="10729" operator="containsText" dxfId="17" text="VACATION">
      <formula>NOT(ISERROR(SEARCH(("VACATION"),(N23))))</formula>
    </cfRule>
    <cfRule type="containsText" priority="10730" operator="containsText" dxfId="7" text="PATH">
      <formula>NOT(ISERROR(SEARCH(("PATH"),(N23))))</formula>
    </cfRule>
    <cfRule type="containsText" priority="10731" operator="containsText" dxfId="7" text="NEPHRO">
      <formula>NOT(ISERROR(SEARCH(("NEPHRO"),(N23))))</formula>
    </cfRule>
    <cfRule type="containsText" priority="10732" operator="containsText" dxfId="7" text="PULM">
      <formula>NOT(ISERROR(SEARCH(("PULM"),(N23))))</formula>
    </cfRule>
    <cfRule type="containsText" priority="10733" operator="containsText" dxfId="7" text="RADIOLOGY">
      <formula>NOT(ISERROR(SEARCH(("RADIOLOGY"),(N23))))</formula>
    </cfRule>
    <cfRule type="containsText" priority="10734" operator="containsText" dxfId="7" text="HEM/ONC">
      <formula>NOT(ISERROR(SEARCH(("HEM/ONC"),(N23))))</formula>
    </cfRule>
    <cfRule type="containsText" priority="10735" operator="containsText" dxfId="7" text="CARDIO">
      <formula>NOT(ISERROR(SEARCH(("CARDIO"),(N23))))</formula>
    </cfRule>
    <cfRule type="containsText" priority="10736" operator="containsText" dxfId="7" text="ID">
      <formula>NOT(ISERROR(SEARCH(("ID"),(N23))))</formula>
    </cfRule>
    <cfRule type="containsText" priority="10737" operator="containsText" dxfId="7" text="NEURO">
      <formula>NOT(ISERROR(SEARCH(("NEURO"),(N23))))</formula>
    </cfRule>
    <cfRule type="containsText" priority="10738" operator="containsText" dxfId="6" text="NEURO">
      <formula>NOT(ISERROR(SEARCH(("NEURO"),(N23))))</formula>
    </cfRule>
    <cfRule type="containsText" priority="10739" operator="containsText" dxfId="5" text="NEURO">
      <formula>NOT(ISERROR(SEARCH(("NEURO"),(N23))))</formula>
    </cfRule>
    <cfRule type="containsText" priority="10740" operator="containsText" dxfId="0" text="ICU N">
      <formula>NOT(ISERROR(SEARCH(("ICU N"),(N23))))</formula>
    </cfRule>
    <cfRule type="containsText" priority="10741" operator="containsText" dxfId="3" text="ICU">
      <formula>NOT(ISERROR(SEARCH(("ICU"),(N23))))</formula>
    </cfRule>
    <cfRule type="containsText" priority="10742" operator="containsText" dxfId="0" text="SWING">
      <formula>NOT(ISERROR(SEARCH(("SWING"),(N23))))</formula>
    </cfRule>
    <cfRule type="containsText" priority="10743" operator="containsText" dxfId="0" text="NF">
      <formula>NOT(ISERROR(SEARCH(("NF"),(N23))))</formula>
    </cfRule>
    <cfRule type="containsText" priority="10744" operator="containsText" dxfId="0" text="ICU N">
      <formula>NOT(ISERROR(SEARCH(("ICU N"),(N23))))</formula>
    </cfRule>
    <cfRule type="containsText" priority="10709" operator="containsText" dxfId="16" text="ED">
      <formula>NOT(ISERROR(SEARCH(("ED"),(N23))))</formula>
    </cfRule>
    <cfRule type="containsText" priority="10710" operator="containsText" dxfId="15" text="GERIATRIC">
      <formula>NOT(ISERROR(SEARCH(("GERIATRIC"),(N23))))</formula>
    </cfRule>
    <cfRule type="containsText" priority="10711" operator="containsText" dxfId="17" text="VACATION">
      <formula>NOT(ISERROR(SEARCH(("VACATION"),(N23))))</formula>
    </cfRule>
    <cfRule type="containsText" priority="10712" operator="containsText" dxfId="7" text="PATH">
      <formula>NOT(ISERROR(SEARCH(("PATH"),(N23))))</formula>
    </cfRule>
    <cfRule type="containsText" priority="10713" operator="containsText" dxfId="7" text="NEPHRO">
      <formula>NOT(ISERROR(SEARCH(("NEPHRO"),(N23))))</formula>
    </cfRule>
    <cfRule type="containsText" priority="10714" operator="containsText" dxfId="7" text="PULM">
      <formula>NOT(ISERROR(SEARCH(("PULM"),(N23))))</formula>
    </cfRule>
    <cfRule type="containsText" priority="10715" operator="containsText" dxfId="7" text="RADIOLOGY">
      <formula>NOT(ISERROR(SEARCH(("RADIOLOGY"),(N23))))</formula>
    </cfRule>
    <cfRule type="containsText" priority="10716" operator="containsText" dxfId="7" text="HEM/ONC">
      <formula>NOT(ISERROR(SEARCH(("HEM/ONC"),(N23))))</formula>
    </cfRule>
    <cfRule type="containsText" priority="10717" operator="containsText" dxfId="7" text="CARDIO">
      <formula>NOT(ISERROR(SEARCH(("CARDIO"),(N23))))</formula>
    </cfRule>
    <cfRule type="containsText" priority="10718" operator="containsText" dxfId="7" text="ID">
      <formula>NOT(ISERROR(SEARCH(("ID"),(N23))))</formula>
    </cfRule>
    <cfRule type="containsText" priority="10719" operator="containsText" dxfId="7" text="NEURO">
      <formula>NOT(ISERROR(SEARCH(("NEURO"),(N23))))</formula>
    </cfRule>
    <cfRule type="containsText" priority="10720" operator="containsText" dxfId="6" text="NEURO">
      <formula>NOT(ISERROR(SEARCH(("NEURO"),(N23))))</formula>
    </cfRule>
    <cfRule type="containsText" priority="10721" operator="containsText" dxfId="5" text="NEURO">
      <formula>NOT(ISERROR(SEARCH(("NEURO"),(N23))))</formula>
    </cfRule>
    <cfRule type="containsText" priority="10722" operator="containsText" dxfId="0" text="ICU N">
      <formula>NOT(ISERROR(SEARCH(("ICU N"),(N23))))</formula>
    </cfRule>
    <cfRule type="containsText" priority="10723" operator="containsText" dxfId="3" text="ICU">
      <formula>NOT(ISERROR(SEARCH(("ICU"),(N23))))</formula>
    </cfRule>
    <cfRule type="containsText" priority="10724" operator="containsText" dxfId="0" text="SWING">
      <formula>NOT(ISERROR(SEARCH(("SWING"),(N23))))</formula>
    </cfRule>
    <cfRule type="containsText" priority="10725" operator="containsText" dxfId="0" text="NF">
      <formula>NOT(ISERROR(SEARCH(("NF"),(N23))))</formula>
    </cfRule>
    <cfRule type="containsText" priority="10726" operator="containsText" dxfId="0" text="ICU N">
      <formula>NOT(ISERROR(SEARCH(("ICU N"),(N23))))</formula>
    </cfRule>
  </conditionalFormatting>
  <conditionalFormatting sqref="O8">
    <cfRule type="containsText" priority="10691" operator="containsText" dxfId="16" text="ED">
      <formula>NOT(ISERROR(SEARCH(("ED"),(O8))))</formula>
    </cfRule>
    <cfRule type="containsText" priority="10692" operator="containsText" dxfId="15" text="GERIATRIC">
      <formula>NOT(ISERROR(SEARCH(("GERIATRIC"),(O8))))</formula>
    </cfRule>
    <cfRule type="containsText" priority="10693" operator="containsText" dxfId="17" text="VACATION">
      <formula>NOT(ISERROR(SEARCH(("VACATION"),(O8))))</formula>
    </cfRule>
    <cfRule type="containsText" priority="10694" operator="containsText" dxfId="7" text="PATH">
      <formula>NOT(ISERROR(SEARCH(("PATH"),(O8))))</formula>
    </cfRule>
    <cfRule type="containsText" priority="10695" operator="containsText" dxfId="7" text="NEPHRO">
      <formula>NOT(ISERROR(SEARCH(("NEPHRO"),(O8))))</formula>
    </cfRule>
    <cfRule type="containsText" priority="10696" operator="containsText" dxfId="7" text="PULM">
      <formula>NOT(ISERROR(SEARCH(("PULM"),(O8))))</formula>
    </cfRule>
    <cfRule type="containsText" priority="10697" operator="containsText" dxfId="7" text="RADIOLOGY">
      <formula>NOT(ISERROR(SEARCH(("RADIOLOGY"),(O8))))</formula>
    </cfRule>
    <cfRule type="containsText" priority="10698" operator="containsText" dxfId="7" text="HEM/ONC">
      <formula>NOT(ISERROR(SEARCH(("HEM/ONC"),(O8))))</formula>
    </cfRule>
    <cfRule type="containsText" priority="10699" operator="containsText" dxfId="7" text="CARDIO">
      <formula>NOT(ISERROR(SEARCH(("CARDIO"),(O8))))</formula>
    </cfRule>
    <cfRule type="containsText" priority="10700" operator="containsText" dxfId="7" text="ID">
      <formula>NOT(ISERROR(SEARCH(("ID"),(O8))))</formula>
    </cfRule>
    <cfRule type="containsText" priority="10701" operator="containsText" dxfId="7" text="NEURO">
      <formula>NOT(ISERROR(SEARCH(("NEURO"),(O8))))</formula>
    </cfRule>
    <cfRule type="containsText" priority="10702" operator="containsText" dxfId="6" text="NEURO">
      <formula>NOT(ISERROR(SEARCH(("NEURO"),(O8))))</formula>
    </cfRule>
    <cfRule type="containsText" priority="10703" operator="containsText" dxfId="5" text="NEURO">
      <formula>NOT(ISERROR(SEARCH(("NEURO"),(O8))))</formula>
    </cfRule>
    <cfRule type="containsText" priority="10704" operator="containsText" dxfId="0" text="ICU N">
      <formula>NOT(ISERROR(SEARCH(("ICU N"),(O8))))</formula>
    </cfRule>
    <cfRule type="containsText" priority="10705" operator="containsText" dxfId="3" text="ICU">
      <formula>NOT(ISERROR(SEARCH(("ICU"),(O8))))</formula>
    </cfRule>
    <cfRule type="containsText" priority="10706" operator="containsText" dxfId="0" text="SWING">
      <formula>NOT(ISERROR(SEARCH(("SWING"),(O8))))</formula>
    </cfRule>
    <cfRule type="containsText" priority="10707" operator="containsText" dxfId="0" text="NF">
      <formula>NOT(ISERROR(SEARCH(("NF"),(O8))))</formula>
    </cfRule>
    <cfRule type="containsText" priority="10708" operator="containsText" dxfId="0" text="ICU N">
      <formula>NOT(ISERROR(SEARCH(("ICU N"),(O8))))</formula>
    </cfRule>
    <cfRule type="containsText" priority="10673" operator="containsText" dxfId="16" text="ED">
      <formula>NOT(ISERROR(SEARCH(("ED"),(O8))))</formula>
    </cfRule>
    <cfRule type="containsText" priority="10674" operator="containsText" dxfId="15" text="GERIATRIC">
      <formula>NOT(ISERROR(SEARCH(("GERIATRIC"),(O8))))</formula>
    </cfRule>
    <cfRule type="containsText" priority="10675" operator="containsText" dxfId="17" text="VACATION">
      <formula>NOT(ISERROR(SEARCH(("VACATION"),(O8))))</formula>
    </cfRule>
    <cfRule type="containsText" priority="10676" operator="containsText" dxfId="7" text="PATH">
      <formula>NOT(ISERROR(SEARCH(("PATH"),(O8))))</formula>
    </cfRule>
    <cfRule type="containsText" priority="10677" operator="containsText" dxfId="7" text="NEPHRO">
      <formula>NOT(ISERROR(SEARCH(("NEPHRO"),(O8))))</formula>
    </cfRule>
    <cfRule type="containsText" priority="10678" operator="containsText" dxfId="7" text="PULM">
      <formula>NOT(ISERROR(SEARCH(("PULM"),(O8))))</formula>
    </cfRule>
    <cfRule type="containsText" priority="10679" operator="containsText" dxfId="7" text="RADIOLOGY">
      <formula>NOT(ISERROR(SEARCH(("RADIOLOGY"),(O8))))</formula>
    </cfRule>
    <cfRule type="containsText" priority="10680" operator="containsText" dxfId="7" text="HEM/ONC">
      <formula>NOT(ISERROR(SEARCH(("HEM/ONC"),(O8))))</formula>
    </cfRule>
    <cfRule type="containsText" priority="10681" operator="containsText" dxfId="7" text="CARDIO">
      <formula>NOT(ISERROR(SEARCH(("CARDIO"),(O8))))</formula>
    </cfRule>
    <cfRule type="containsText" priority="10682" operator="containsText" dxfId="7" text="ID">
      <formula>NOT(ISERROR(SEARCH(("ID"),(O8))))</formula>
    </cfRule>
    <cfRule type="containsText" priority="10683" operator="containsText" dxfId="7" text="NEURO">
      <formula>NOT(ISERROR(SEARCH(("NEURO"),(O8))))</formula>
    </cfRule>
    <cfRule type="containsText" priority="10684" operator="containsText" dxfId="6" text="NEURO">
      <formula>NOT(ISERROR(SEARCH(("NEURO"),(O8))))</formula>
    </cfRule>
    <cfRule type="containsText" priority="10685" operator="containsText" dxfId="5" text="NEURO">
      <formula>NOT(ISERROR(SEARCH(("NEURO"),(O8))))</formula>
    </cfRule>
    <cfRule type="containsText" priority="10686" operator="containsText" dxfId="0" text="ICU N">
      <formula>NOT(ISERROR(SEARCH(("ICU N"),(O8))))</formula>
    </cfRule>
    <cfRule type="containsText" priority="10687" operator="containsText" dxfId="3" text="ICU">
      <formula>NOT(ISERROR(SEARCH(("ICU"),(O8))))</formula>
    </cfRule>
    <cfRule type="containsText" priority="10688" operator="containsText" dxfId="0" text="SWING">
      <formula>NOT(ISERROR(SEARCH(("SWING"),(O8))))</formula>
    </cfRule>
    <cfRule type="containsText" priority="10689" operator="containsText" dxfId="0" text="NF">
      <formula>NOT(ISERROR(SEARCH(("NF"),(O8))))</formula>
    </cfRule>
    <cfRule type="containsText" priority="10690" operator="containsText" dxfId="0" text="ICU N">
      <formula>NOT(ISERROR(SEARCH(("ICU N"),(O8))))</formula>
    </cfRule>
  </conditionalFormatting>
  <conditionalFormatting sqref="P18">
    <cfRule type="containsText" priority="10655" operator="containsText" dxfId="16" text="ED">
      <formula>NOT(ISERROR(SEARCH(("ED"),(P18))))</formula>
    </cfRule>
    <cfRule type="containsText" priority="10656" operator="containsText" dxfId="15" text="GERIATRIC">
      <formula>NOT(ISERROR(SEARCH(("GERIATRIC"),(P18))))</formula>
    </cfRule>
    <cfRule type="containsText" priority="10657" operator="containsText" dxfId="17" text="VACATION">
      <formula>NOT(ISERROR(SEARCH(("VACATION"),(P18))))</formula>
    </cfRule>
    <cfRule type="containsText" priority="10658" operator="containsText" dxfId="7" text="PATH">
      <formula>NOT(ISERROR(SEARCH(("PATH"),(P18))))</formula>
    </cfRule>
    <cfRule type="containsText" priority="10659" operator="containsText" dxfId="7" text="NEPHRO">
      <formula>NOT(ISERROR(SEARCH(("NEPHRO"),(P18))))</formula>
    </cfRule>
    <cfRule type="containsText" priority="10660" operator="containsText" dxfId="7" text="PULM">
      <formula>NOT(ISERROR(SEARCH(("PULM"),(P18))))</formula>
    </cfRule>
    <cfRule type="containsText" priority="10661" operator="containsText" dxfId="7" text="RADIOLOGY">
      <formula>NOT(ISERROR(SEARCH(("RADIOLOGY"),(P18))))</formula>
    </cfRule>
    <cfRule type="containsText" priority="10662" operator="containsText" dxfId="7" text="HEM/ONC">
      <formula>NOT(ISERROR(SEARCH(("HEM/ONC"),(P18))))</formula>
    </cfRule>
    <cfRule type="containsText" priority="10663" operator="containsText" dxfId="7" text="CARDIO">
      <formula>NOT(ISERROR(SEARCH(("CARDIO"),(P18))))</formula>
    </cfRule>
    <cfRule type="containsText" priority="10664" operator="containsText" dxfId="7" text="ID">
      <formula>NOT(ISERROR(SEARCH(("ID"),(P18))))</formula>
    </cfRule>
    <cfRule type="containsText" priority="10665" operator="containsText" dxfId="7" text="NEURO">
      <formula>NOT(ISERROR(SEARCH(("NEURO"),(P18))))</formula>
    </cfRule>
    <cfRule type="containsText" priority="10666" operator="containsText" dxfId="6" text="NEURO">
      <formula>NOT(ISERROR(SEARCH(("NEURO"),(P18))))</formula>
    </cfRule>
    <cfRule type="containsText" priority="10667" operator="containsText" dxfId="5" text="NEURO">
      <formula>NOT(ISERROR(SEARCH(("NEURO"),(P18))))</formula>
    </cfRule>
    <cfRule type="containsText" priority="10668" operator="containsText" dxfId="0" text="ICU N">
      <formula>NOT(ISERROR(SEARCH(("ICU N"),(P18))))</formula>
    </cfRule>
    <cfRule type="containsText" priority="10669" operator="containsText" dxfId="3" text="ICU">
      <formula>NOT(ISERROR(SEARCH(("ICU"),(P18))))</formula>
    </cfRule>
    <cfRule type="containsText" priority="10670" operator="containsText" dxfId="0" text="SWING">
      <formula>NOT(ISERROR(SEARCH(("SWING"),(P18))))</formula>
    </cfRule>
    <cfRule type="containsText" priority="10671" operator="containsText" dxfId="0" text="NF">
      <formula>NOT(ISERROR(SEARCH(("NF"),(P18))))</formula>
    </cfRule>
    <cfRule type="containsText" priority="10672" operator="containsText" dxfId="0" text="ICU N">
      <formula>NOT(ISERROR(SEARCH(("ICU N"),(P18))))</formula>
    </cfRule>
    <cfRule type="containsText" priority="10637" operator="containsText" dxfId="16" text="ED">
      <formula>NOT(ISERROR(SEARCH(("ED"),(P18))))</formula>
    </cfRule>
    <cfRule type="containsText" priority="10638" operator="containsText" dxfId="15" text="GERIATRIC">
      <formula>NOT(ISERROR(SEARCH(("GERIATRIC"),(P18))))</formula>
    </cfRule>
    <cfRule type="containsText" priority="10639" operator="containsText" dxfId="17" text="VACATION">
      <formula>NOT(ISERROR(SEARCH(("VACATION"),(P18))))</formula>
    </cfRule>
    <cfRule type="containsText" priority="10640" operator="containsText" dxfId="7" text="PATH">
      <formula>NOT(ISERROR(SEARCH(("PATH"),(P18))))</formula>
    </cfRule>
    <cfRule type="containsText" priority="10641" operator="containsText" dxfId="7" text="NEPHRO">
      <formula>NOT(ISERROR(SEARCH(("NEPHRO"),(P18))))</formula>
    </cfRule>
    <cfRule type="containsText" priority="10642" operator="containsText" dxfId="7" text="PULM">
      <formula>NOT(ISERROR(SEARCH(("PULM"),(P18))))</formula>
    </cfRule>
    <cfRule type="containsText" priority="10643" operator="containsText" dxfId="7" text="RADIOLOGY">
      <formula>NOT(ISERROR(SEARCH(("RADIOLOGY"),(P18))))</formula>
    </cfRule>
    <cfRule type="containsText" priority="10644" operator="containsText" dxfId="7" text="HEM/ONC">
      <formula>NOT(ISERROR(SEARCH(("HEM/ONC"),(P18))))</formula>
    </cfRule>
    <cfRule type="containsText" priority="10645" operator="containsText" dxfId="7" text="CARDIO">
      <formula>NOT(ISERROR(SEARCH(("CARDIO"),(P18))))</formula>
    </cfRule>
    <cfRule type="containsText" priority="10646" operator="containsText" dxfId="7" text="ID">
      <formula>NOT(ISERROR(SEARCH(("ID"),(P18))))</formula>
    </cfRule>
    <cfRule type="containsText" priority="10647" operator="containsText" dxfId="7" text="NEURO">
      <formula>NOT(ISERROR(SEARCH(("NEURO"),(P18))))</formula>
    </cfRule>
    <cfRule type="containsText" priority="10648" operator="containsText" dxfId="6" text="NEURO">
      <formula>NOT(ISERROR(SEARCH(("NEURO"),(P18))))</formula>
    </cfRule>
    <cfRule type="containsText" priority="10649" operator="containsText" dxfId="5" text="NEURO">
      <formula>NOT(ISERROR(SEARCH(("NEURO"),(P18))))</formula>
    </cfRule>
    <cfRule type="containsText" priority="10650" operator="containsText" dxfId="0" text="ICU N">
      <formula>NOT(ISERROR(SEARCH(("ICU N"),(P18))))</formula>
    </cfRule>
    <cfRule type="containsText" priority="10651" operator="containsText" dxfId="3" text="ICU">
      <formula>NOT(ISERROR(SEARCH(("ICU"),(P18))))</formula>
    </cfRule>
    <cfRule type="containsText" priority="10652" operator="containsText" dxfId="0" text="SWING">
      <formula>NOT(ISERROR(SEARCH(("SWING"),(P18))))</formula>
    </cfRule>
    <cfRule type="containsText" priority="10653" operator="containsText" dxfId="0" text="NF">
      <formula>NOT(ISERROR(SEARCH(("NF"),(P18))))</formula>
    </cfRule>
    <cfRule type="containsText" priority="10654" operator="containsText" dxfId="0" text="ICU N">
      <formula>NOT(ISERROR(SEARCH(("ICU N"),(P18))))</formula>
    </cfRule>
  </conditionalFormatting>
  <conditionalFormatting sqref="R23">
    <cfRule type="containsText" priority="10619" operator="containsText" dxfId="16" text="ED">
      <formula>NOT(ISERROR(SEARCH(("ED"),(R23))))</formula>
    </cfRule>
    <cfRule type="containsText" priority="10620" operator="containsText" dxfId="15" text="GERIATRIC">
      <formula>NOT(ISERROR(SEARCH(("GERIATRIC"),(R23))))</formula>
    </cfRule>
    <cfRule type="containsText" priority="10621" operator="containsText" dxfId="17" text="VACATION">
      <formula>NOT(ISERROR(SEARCH(("VACATION"),(R23))))</formula>
    </cfRule>
    <cfRule type="containsText" priority="10622" operator="containsText" dxfId="7" text="PATH">
      <formula>NOT(ISERROR(SEARCH(("PATH"),(R23))))</formula>
    </cfRule>
    <cfRule type="containsText" priority="10623" operator="containsText" dxfId="7" text="NEPHRO">
      <formula>NOT(ISERROR(SEARCH(("NEPHRO"),(R23))))</formula>
    </cfRule>
    <cfRule type="containsText" priority="10624" operator="containsText" dxfId="7" text="PULM">
      <formula>NOT(ISERROR(SEARCH(("PULM"),(R23))))</formula>
    </cfRule>
    <cfRule type="containsText" priority="10625" operator="containsText" dxfId="7" text="RADIOLOGY">
      <formula>NOT(ISERROR(SEARCH(("RADIOLOGY"),(R23))))</formula>
    </cfRule>
    <cfRule type="containsText" priority="10626" operator="containsText" dxfId="7" text="HEM/ONC">
      <formula>NOT(ISERROR(SEARCH(("HEM/ONC"),(R23))))</formula>
    </cfRule>
    <cfRule type="containsText" priority="10627" operator="containsText" dxfId="7" text="CARDIO">
      <formula>NOT(ISERROR(SEARCH(("CARDIO"),(R23))))</formula>
    </cfRule>
    <cfRule type="containsText" priority="10628" operator="containsText" dxfId="7" text="ID">
      <formula>NOT(ISERROR(SEARCH(("ID"),(R23))))</formula>
    </cfRule>
    <cfRule type="containsText" priority="10629" operator="containsText" dxfId="7" text="NEURO">
      <formula>NOT(ISERROR(SEARCH(("NEURO"),(R23))))</formula>
    </cfRule>
    <cfRule type="containsText" priority="10630" operator="containsText" dxfId="6" text="NEURO">
      <formula>NOT(ISERROR(SEARCH(("NEURO"),(R23))))</formula>
    </cfRule>
    <cfRule type="containsText" priority="10631" operator="containsText" dxfId="5" text="NEURO">
      <formula>NOT(ISERROR(SEARCH(("NEURO"),(R23))))</formula>
    </cfRule>
    <cfRule type="containsText" priority="10632" operator="containsText" dxfId="0" text="ICU N">
      <formula>NOT(ISERROR(SEARCH(("ICU N"),(R23))))</formula>
    </cfRule>
    <cfRule type="containsText" priority="10633" operator="containsText" dxfId="3" text="ICU">
      <formula>NOT(ISERROR(SEARCH(("ICU"),(R23))))</formula>
    </cfRule>
    <cfRule type="containsText" priority="10634" operator="containsText" dxfId="0" text="SWING">
      <formula>NOT(ISERROR(SEARCH(("SWING"),(R23))))</formula>
    </cfRule>
    <cfRule type="containsText" priority="10635" operator="containsText" dxfId="0" text="NF">
      <formula>NOT(ISERROR(SEARCH(("NF"),(R23))))</formula>
    </cfRule>
    <cfRule type="containsText" priority="10636" operator="containsText" dxfId="0" text="ICU N">
      <formula>NOT(ISERROR(SEARCH(("ICU N"),(R23))))</formula>
    </cfRule>
    <cfRule type="containsText" priority="10601" operator="containsText" dxfId="16" text="ED">
      <formula>NOT(ISERROR(SEARCH(("ED"),(R23))))</formula>
    </cfRule>
    <cfRule type="containsText" priority="10602" operator="containsText" dxfId="15" text="GERIATRIC">
      <formula>NOT(ISERROR(SEARCH(("GERIATRIC"),(R23))))</formula>
    </cfRule>
    <cfRule type="containsText" priority="10603" operator="containsText" dxfId="17" text="VACATION">
      <formula>NOT(ISERROR(SEARCH(("VACATION"),(R23))))</formula>
    </cfRule>
    <cfRule type="containsText" priority="10604" operator="containsText" dxfId="7" text="PATH">
      <formula>NOT(ISERROR(SEARCH(("PATH"),(R23))))</formula>
    </cfRule>
    <cfRule type="containsText" priority="10605" operator="containsText" dxfId="7" text="NEPHRO">
      <formula>NOT(ISERROR(SEARCH(("NEPHRO"),(R23))))</formula>
    </cfRule>
    <cfRule type="containsText" priority="10606" operator="containsText" dxfId="7" text="PULM">
      <formula>NOT(ISERROR(SEARCH(("PULM"),(R23))))</formula>
    </cfRule>
    <cfRule type="containsText" priority="10607" operator="containsText" dxfId="7" text="RADIOLOGY">
      <formula>NOT(ISERROR(SEARCH(("RADIOLOGY"),(R23))))</formula>
    </cfRule>
    <cfRule type="containsText" priority="10608" operator="containsText" dxfId="7" text="HEM/ONC">
      <formula>NOT(ISERROR(SEARCH(("HEM/ONC"),(R23))))</formula>
    </cfRule>
    <cfRule type="containsText" priority="10609" operator="containsText" dxfId="7" text="CARDIO">
      <formula>NOT(ISERROR(SEARCH(("CARDIO"),(R23))))</formula>
    </cfRule>
    <cfRule type="containsText" priority="10610" operator="containsText" dxfId="7" text="ID">
      <formula>NOT(ISERROR(SEARCH(("ID"),(R23))))</formula>
    </cfRule>
    <cfRule type="containsText" priority="10611" operator="containsText" dxfId="7" text="NEURO">
      <formula>NOT(ISERROR(SEARCH(("NEURO"),(R23))))</formula>
    </cfRule>
    <cfRule type="containsText" priority="10612" operator="containsText" dxfId="6" text="NEURO">
      <formula>NOT(ISERROR(SEARCH(("NEURO"),(R23))))</formula>
    </cfRule>
    <cfRule type="containsText" priority="10613" operator="containsText" dxfId="5" text="NEURO">
      <formula>NOT(ISERROR(SEARCH(("NEURO"),(R23))))</formula>
    </cfRule>
    <cfRule type="containsText" priority="10614" operator="containsText" dxfId="0" text="ICU N">
      <formula>NOT(ISERROR(SEARCH(("ICU N"),(R23))))</formula>
    </cfRule>
    <cfRule type="containsText" priority="10615" operator="containsText" dxfId="3" text="ICU">
      <formula>NOT(ISERROR(SEARCH(("ICU"),(R23))))</formula>
    </cfRule>
    <cfRule type="containsText" priority="10616" operator="containsText" dxfId="0" text="SWING">
      <formula>NOT(ISERROR(SEARCH(("SWING"),(R23))))</formula>
    </cfRule>
    <cfRule type="containsText" priority="10617" operator="containsText" dxfId="0" text="NF">
      <formula>NOT(ISERROR(SEARCH(("NF"),(R23))))</formula>
    </cfRule>
    <cfRule type="containsText" priority="10618" operator="containsText" dxfId="0" text="ICU N">
      <formula>NOT(ISERROR(SEARCH(("ICU N"),(R23))))</formula>
    </cfRule>
  </conditionalFormatting>
  <conditionalFormatting sqref="S41">
    <cfRule type="containsText" priority="10547" operator="containsText" dxfId="16" text="ED">
      <formula>NOT(ISERROR(SEARCH(("ED"),(S41))))</formula>
    </cfRule>
    <cfRule type="containsText" priority="10548" operator="containsText" dxfId="15" text="GERIATRIC">
      <formula>NOT(ISERROR(SEARCH(("GERIATRIC"),(S41))))</formula>
    </cfRule>
    <cfRule type="containsText" priority="10549" operator="containsText" dxfId="17" text="VACATION">
      <formula>NOT(ISERROR(SEARCH(("VACATION"),(S41))))</formula>
    </cfRule>
    <cfRule type="containsText" priority="10550" operator="containsText" dxfId="7" text="PATH">
      <formula>NOT(ISERROR(SEARCH(("PATH"),(S41))))</formula>
    </cfRule>
    <cfRule type="containsText" priority="10551" operator="containsText" dxfId="7" text="NEPHRO">
      <formula>NOT(ISERROR(SEARCH(("NEPHRO"),(S41))))</formula>
    </cfRule>
    <cfRule type="containsText" priority="10552" operator="containsText" dxfId="7" text="PULM">
      <formula>NOT(ISERROR(SEARCH(("PULM"),(S41))))</formula>
    </cfRule>
    <cfRule type="containsText" priority="10553" operator="containsText" dxfId="7" text="RADIOLOGY">
      <formula>NOT(ISERROR(SEARCH(("RADIOLOGY"),(S41))))</formula>
    </cfRule>
    <cfRule type="containsText" priority="10554" operator="containsText" dxfId="7" text="HEM/ONC">
      <formula>NOT(ISERROR(SEARCH(("HEM/ONC"),(S41))))</formula>
    </cfRule>
    <cfRule type="containsText" priority="10555" operator="containsText" dxfId="7" text="CARDIO">
      <formula>NOT(ISERROR(SEARCH(("CARDIO"),(S41))))</formula>
    </cfRule>
    <cfRule type="containsText" priority="10556" operator="containsText" dxfId="7" text="ID">
      <formula>NOT(ISERROR(SEARCH(("ID"),(S41))))</formula>
    </cfRule>
    <cfRule type="containsText" priority="10557" operator="containsText" dxfId="7" text="NEURO">
      <formula>NOT(ISERROR(SEARCH(("NEURO"),(S41))))</formula>
    </cfRule>
    <cfRule type="containsText" priority="10558" operator="containsText" dxfId="6" text="NEURO">
      <formula>NOT(ISERROR(SEARCH(("NEURO"),(S41))))</formula>
    </cfRule>
    <cfRule type="containsText" priority="10559" operator="containsText" dxfId="5" text="NEURO">
      <formula>NOT(ISERROR(SEARCH(("NEURO"),(S41))))</formula>
    </cfRule>
    <cfRule type="containsText" priority="10560" operator="containsText" dxfId="0" text="ICU N">
      <formula>NOT(ISERROR(SEARCH(("ICU N"),(S41))))</formula>
    </cfRule>
    <cfRule type="containsText" priority="10561" operator="containsText" dxfId="3" text="ICU">
      <formula>NOT(ISERROR(SEARCH(("ICU"),(S41))))</formula>
    </cfRule>
    <cfRule type="containsText" priority="10562" operator="containsText" dxfId="0" text="SWING">
      <formula>NOT(ISERROR(SEARCH(("SWING"),(S41))))</formula>
    </cfRule>
    <cfRule type="containsText" priority="10563" operator="containsText" dxfId="0" text="NF">
      <formula>NOT(ISERROR(SEARCH(("NF"),(S41))))</formula>
    </cfRule>
    <cfRule type="containsText" priority="10564" operator="containsText" dxfId="0" text="ICU N">
      <formula>NOT(ISERROR(SEARCH(("ICU N"),(S41))))</formula>
    </cfRule>
    <cfRule type="containsText" priority="10529" operator="containsText" dxfId="16" text="ED">
      <formula>NOT(ISERROR(SEARCH(("ED"),(S41))))</formula>
    </cfRule>
    <cfRule type="containsText" priority="10530" operator="containsText" dxfId="15" text="GERIATRIC">
      <formula>NOT(ISERROR(SEARCH(("GERIATRIC"),(S41))))</formula>
    </cfRule>
    <cfRule type="containsText" priority="10531" operator="containsText" dxfId="17" text="VACATION">
      <formula>NOT(ISERROR(SEARCH(("VACATION"),(S41))))</formula>
    </cfRule>
    <cfRule type="containsText" priority="10532" operator="containsText" dxfId="7" text="PATH">
      <formula>NOT(ISERROR(SEARCH(("PATH"),(S41))))</formula>
    </cfRule>
    <cfRule type="containsText" priority="10533" operator="containsText" dxfId="7" text="NEPHRO">
      <formula>NOT(ISERROR(SEARCH(("NEPHRO"),(S41))))</formula>
    </cfRule>
    <cfRule type="containsText" priority="10534" operator="containsText" dxfId="7" text="PULM">
      <formula>NOT(ISERROR(SEARCH(("PULM"),(S41))))</formula>
    </cfRule>
    <cfRule type="containsText" priority="10535" operator="containsText" dxfId="7" text="RADIOLOGY">
      <formula>NOT(ISERROR(SEARCH(("RADIOLOGY"),(S41))))</formula>
    </cfRule>
    <cfRule type="containsText" priority="10536" operator="containsText" dxfId="7" text="HEM/ONC">
      <formula>NOT(ISERROR(SEARCH(("HEM/ONC"),(S41))))</formula>
    </cfRule>
    <cfRule type="containsText" priority="10537" operator="containsText" dxfId="7" text="CARDIO">
      <formula>NOT(ISERROR(SEARCH(("CARDIO"),(S41))))</formula>
    </cfRule>
    <cfRule type="containsText" priority="10538" operator="containsText" dxfId="7" text="ID">
      <formula>NOT(ISERROR(SEARCH(("ID"),(S41))))</formula>
    </cfRule>
    <cfRule type="containsText" priority="10539" operator="containsText" dxfId="7" text="NEURO">
      <formula>NOT(ISERROR(SEARCH(("NEURO"),(S41))))</formula>
    </cfRule>
    <cfRule type="containsText" priority="10540" operator="containsText" dxfId="6" text="NEURO">
      <formula>NOT(ISERROR(SEARCH(("NEURO"),(S41))))</formula>
    </cfRule>
    <cfRule type="containsText" priority="10541" operator="containsText" dxfId="5" text="NEURO">
      <formula>NOT(ISERROR(SEARCH(("NEURO"),(S41))))</formula>
    </cfRule>
    <cfRule type="containsText" priority="10542" operator="containsText" dxfId="0" text="ICU N">
      <formula>NOT(ISERROR(SEARCH(("ICU N"),(S41))))</formula>
    </cfRule>
    <cfRule type="containsText" priority="10543" operator="containsText" dxfId="3" text="ICU">
      <formula>NOT(ISERROR(SEARCH(("ICU"),(S41))))</formula>
    </cfRule>
    <cfRule type="containsText" priority="10544" operator="containsText" dxfId="0" text="SWING">
      <formula>NOT(ISERROR(SEARCH(("SWING"),(S41))))</formula>
    </cfRule>
    <cfRule type="containsText" priority="10545" operator="containsText" dxfId="0" text="NF">
      <formula>NOT(ISERROR(SEARCH(("NF"),(S41))))</formula>
    </cfRule>
    <cfRule type="containsText" priority="10546" operator="containsText" dxfId="0" text="ICU N">
      <formula>NOT(ISERROR(SEARCH(("ICU N"),(S41))))</formula>
    </cfRule>
  </conditionalFormatting>
  <conditionalFormatting sqref="AF10">
    <cfRule type="containsText" priority="10403" operator="containsText" dxfId="16" text="ED">
      <formula>NOT(ISERROR(SEARCH(("ED"),(AF10))))</formula>
    </cfRule>
    <cfRule type="containsText" priority="10404" operator="containsText" dxfId="15" text="GERIATRIC">
      <formula>NOT(ISERROR(SEARCH(("GERIATRIC"),(AF10))))</formula>
    </cfRule>
    <cfRule type="containsText" priority="10405" operator="containsText" dxfId="17" text="VACATION">
      <formula>NOT(ISERROR(SEARCH(("VACATION"),(AF10))))</formula>
    </cfRule>
    <cfRule type="containsText" priority="10406" operator="containsText" dxfId="7" text="PATH">
      <formula>NOT(ISERROR(SEARCH(("PATH"),(AF10))))</formula>
    </cfRule>
    <cfRule type="containsText" priority="10407" operator="containsText" dxfId="7" text="NEPHRO">
      <formula>NOT(ISERROR(SEARCH(("NEPHRO"),(AF10))))</formula>
    </cfRule>
    <cfRule type="containsText" priority="10408" operator="containsText" dxfId="7" text="PULM">
      <formula>NOT(ISERROR(SEARCH(("PULM"),(AF10))))</formula>
    </cfRule>
    <cfRule type="containsText" priority="10409" operator="containsText" dxfId="7" text="RADIOLOGY">
      <formula>NOT(ISERROR(SEARCH(("RADIOLOGY"),(AF10))))</formula>
    </cfRule>
    <cfRule type="containsText" priority="10410" operator="containsText" dxfId="7" text="HEM/ONC">
      <formula>NOT(ISERROR(SEARCH(("HEM/ONC"),(AF10))))</formula>
    </cfRule>
    <cfRule type="containsText" priority="10411" operator="containsText" dxfId="7" text="CARDIO">
      <formula>NOT(ISERROR(SEARCH(("CARDIO"),(AF10))))</formula>
    </cfRule>
    <cfRule type="containsText" priority="10412" operator="containsText" dxfId="7" text="ID">
      <formula>NOT(ISERROR(SEARCH(("ID"),(AF10))))</formula>
    </cfRule>
    <cfRule type="containsText" priority="10413" operator="containsText" dxfId="7" text="NEURO">
      <formula>NOT(ISERROR(SEARCH(("NEURO"),(AF10))))</formula>
    </cfRule>
    <cfRule type="containsText" priority="10414" operator="containsText" dxfId="6" text="NEURO">
      <formula>NOT(ISERROR(SEARCH(("NEURO"),(AF10))))</formula>
    </cfRule>
    <cfRule type="containsText" priority="10415" operator="containsText" dxfId="5" text="NEURO">
      <formula>NOT(ISERROR(SEARCH(("NEURO"),(AF10))))</formula>
    </cfRule>
    <cfRule type="containsText" priority="10416" operator="containsText" dxfId="0" text="ICU N">
      <formula>NOT(ISERROR(SEARCH(("ICU N"),(AF10))))</formula>
    </cfRule>
    <cfRule type="containsText" priority="10417" operator="containsText" dxfId="3" text="ICU">
      <formula>NOT(ISERROR(SEARCH(("ICU"),(AF10))))</formula>
    </cfRule>
    <cfRule type="containsText" priority="10418" operator="containsText" dxfId="0" text="SWING">
      <formula>NOT(ISERROR(SEARCH(("SWING"),(AF10))))</formula>
    </cfRule>
    <cfRule type="containsText" priority="10419" operator="containsText" dxfId="0" text="NF">
      <formula>NOT(ISERROR(SEARCH(("NF"),(AF10))))</formula>
    </cfRule>
    <cfRule type="containsText" priority="10420" operator="containsText" dxfId="0" text="ICU N">
      <formula>NOT(ISERROR(SEARCH(("ICU N"),(AF10))))</formula>
    </cfRule>
    <cfRule type="containsText" priority="10385" operator="containsText" dxfId="16" text="ED">
      <formula>NOT(ISERROR(SEARCH(("ED"),(AF10))))</formula>
    </cfRule>
    <cfRule type="containsText" priority="10386" operator="containsText" dxfId="15" text="GERIATRIC">
      <formula>NOT(ISERROR(SEARCH(("GERIATRIC"),(AF10))))</formula>
    </cfRule>
    <cfRule type="containsText" priority="10387" operator="containsText" dxfId="17" text="VACATION">
      <formula>NOT(ISERROR(SEARCH(("VACATION"),(AF10))))</formula>
    </cfRule>
    <cfRule type="containsText" priority="10388" operator="containsText" dxfId="7" text="PATH">
      <formula>NOT(ISERROR(SEARCH(("PATH"),(AF10))))</formula>
    </cfRule>
    <cfRule type="containsText" priority="10389" operator="containsText" dxfId="7" text="NEPHRO">
      <formula>NOT(ISERROR(SEARCH(("NEPHRO"),(AF10))))</formula>
    </cfRule>
    <cfRule type="containsText" priority="10390" operator="containsText" dxfId="7" text="PULM">
      <formula>NOT(ISERROR(SEARCH(("PULM"),(AF10))))</formula>
    </cfRule>
    <cfRule type="containsText" priority="10391" operator="containsText" dxfId="7" text="RADIOLOGY">
      <formula>NOT(ISERROR(SEARCH(("RADIOLOGY"),(AF10))))</formula>
    </cfRule>
    <cfRule type="containsText" priority="10392" operator="containsText" dxfId="7" text="HEM/ONC">
      <formula>NOT(ISERROR(SEARCH(("HEM/ONC"),(AF10))))</formula>
    </cfRule>
    <cfRule type="containsText" priority="10393" operator="containsText" dxfId="7" text="CARDIO">
      <formula>NOT(ISERROR(SEARCH(("CARDIO"),(AF10))))</formula>
    </cfRule>
    <cfRule type="containsText" priority="10394" operator="containsText" dxfId="7" text="ID">
      <formula>NOT(ISERROR(SEARCH(("ID"),(AF10))))</formula>
    </cfRule>
    <cfRule type="containsText" priority="10395" operator="containsText" dxfId="7" text="NEURO">
      <formula>NOT(ISERROR(SEARCH(("NEURO"),(AF10))))</formula>
    </cfRule>
    <cfRule type="containsText" priority="10396" operator="containsText" dxfId="6" text="NEURO">
      <formula>NOT(ISERROR(SEARCH(("NEURO"),(AF10))))</formula>
    </cfRule>
    <cfRule type="containsText" priority="10397" operator="containsText" dxfId="5" text="NEURO">
      <formula>NOT(ISERROR(SEARCH(("NEURO"),(AF10))))</formula>
    </cfRule>
    <cfRule type="containsText" priority="10398" operator="containsText" dxfId="0" text="ICU N">
      <formula>NOT(ISERROR(SEARCH(("ICU N"),(AF10))))</formula>
    </cfRule>
    <cfRule type="containsText" priority="10399" operator="containsText" dxfId="3" text="ICU">
      <formula>NOT(ISERROR(SEARCH(("ICU"),(AF10))))</formula>
    </cfRule>
    <cfRule type="containsText" priority="10400" operator="containsText" dxfId="0" text="SWING">
      <formula>NOT(ISERROR(SEARCH(("SWING"),(AF10))))</formula>
    </cfRule>
    <cfRule type="containsText" priority="10401" operator="containsText" dxfId="0" text="NF">
      <formula>NOT(ISERROR(SEARCH(("NF"),(AF10))))</formula>
    </cfRule>
    <cfRule type="containsText" priority="10402" operator="containsText" dxfId="0" text="ICU N">
      <formula>NOT(ISERROR(SEARCH(("ICU N"),(AF10))))</formula>
    </cfRule>
  </conditionalFormatting>
  <conditionalFormatting sqref="AV11">
    <cfRule type="containsText" priority="9894" operator="containsText" dxfId="17" text="VACATION">
      <formula>NOT(ISERROR(SEARCH(("VACATION"),(AV11))))</formula>
    </cfRule>
    <cfRule type="containsText" priority="9895" operator="containsText" dxfId="16" text="ED">
      <formula>NOT(ISERROR(SEARCH(("ED"),(AV11))))</formula>
    </cfRule>
    <cfRule type="containsText" priority="9896" operator="containsText" dxfId="15" text="GERIATRIC">
      <formula>NOT(ISERROR(SEARCH(("GERIATRIC"),(AV11))))</formula>
    </cfRule>
    <cfRule type="containsText" priority="9897" operator="containsText" dxfId="7" text="PATH">
      <formula>NOT(ISERROR(SEARCH(("PATH"),(AV11))))</formula>
    </cfRule>
    <cfRule type="containsText" priority="9898" operator="containsText" dxfId="7" text="NEPHRO">
      <formula>NOT(ISERROR(SEARCH(("NEPHRO"),(AV11))))</formula>
    </cfRule>
    <cfRule type="containsText" priority="9899" operator="containsText" dxfId="7" text="PULM">
      <formula>NOT(ISERROR(SEARCH(("PULM"),(AV11))))</formula>
    </cfRule>
    <cfRule type="containsText" priority="9900" operator="containsText" dxfId="7" text="RADIOLOGY">
      <formula>NOT(ISERROR(SEARCH(("RADIOLOGY"),(AV11))))</formula>
    </cfRule>
    <cfRule type="containsText" priority="9901" operator="containsText" dxfId="7" text="HEM/ONC">
      <formula>NOT(ISERROR(SEARCH(("HEM/ONC"),(AV11))))</formula>
    </cfRule>
    <cfRule type="containsText" priority="9902" operator="containsText" dxfId="7" text="CARDIO">
      <formula>NOT(ISERROR(SEARCH(("CARDIO"),(AV11))))</formula>
    </cfRule>
    <cfRule type="containsText" priority="9903" operator="containsText" dxfId="7" text="ID">
      <formula>NOT(ISERROR(SEARCH(("ID"),(AV11))))</formula>
    </cfRule>
    <cfRule type="containsText" priority="9904" operator="containsText" dxfId="7" text="NEURO">
      <formula>NOT(ISERROR(SEARCH(("NEURO"),(AV11))))</formula>
    </cfRule>
    <cfRule type="containsText" priority="9905" operator="containsText" dxfId="6" text="NEURO">
      <formula>NOT(ISERROR(SEARCH(("NEURO"),(AV11))))</formula>
    </cfRule>
    <cfRule type="containsText" priority="9906" operator="containsText" dxfId="5" text="NEURO">
      <formula>NOT(ISERROR(SEARCH(("NEURO"),(AV11))))</formula>
    </cfRule>
    <cfRule type="containsText" priority="9907" operator="containsText" dxfId="0" text="ICU N">
      <formula>NOT(ISERROR(SEARCH(("ICU N"),(AV11))))</formula>
    </cfRule>
    <cfRule type="containsText" priority="9908" operator="containsText" dxfId="3" text="ICU">
      <formula>NOT(ISERROR(SEARCH(("ICU"),(AV11))))</formula>
    </cfRule>
    <cfRule type="containsText" priority="9909" operator="containsText" dxfId="0" text="SWING">
      <formula>NOT(ISERROR(SEARCH(("SWING"),(AV11))))</formula>
    </cfRule>
    <cfRule type="containsText" priority="9910" operator="containsText" dxfId="0" text="NF">
      <formula>NOT(ISERROR(SEARCH(("NF"),(AV11))))</formula>
    </cfRule>
  </conditionalFormatting>
  <conditionalFormatting sqref="AW10">
    <cfRule type="containsText" priority="9877" operator="containsText" dxfId="17" text="VACATION">
      <formula>NOT(ISERROR(SEARCH(("VACATION"),(AW10))))</formula>
    </cfRule>
    <cfRule type="containsText" priority="9878" operator="containsText" dxfId="16" text="ED">
      <formula>NOT(ISERROR(SEARCH(("ED"),(AW10))))</formula>
    </cfRule>
    <cfRule type="containsText" priority="9879" operator="containsText" dxfId="15" text="GERIATRIC">
      <formula>NOT(ISERROR(SEARCH(("GERIATRIC"),(AW10))))</formula>
    </cfRule>
    <cfRule type="containsText" priority="9880" operator="containsText" dxfId="7" text="PATH">
      <formula>NOT(ISERROR(SEARCH(("PATH"),(AW10))))</formula>
    </cfRule>
    <cfRule type="containsText" priority="9881" operator="containsText" dxfId="7" text="NEPHRO">
      <formula>NOT(ISERROR(SEARCH(("NEPHRO"),(AW10))))</formula>
    </cfRule>
    <cfRule type="containsText" priority="9882" operator="containsText" dxfId="7" text="PULM">
      <formula>NOT(ISERROR(SEARCH(("PULM"),(AW10))))</formula>
    </cfRule>
    <cfRule type="containsText" priority="9883" operator="containsText" dxfId="7" text="RADIOLOGY">
      <formula>NOT(ISERROR(SEARCH(("RADIOLOGY"),(AW10))))</formula>
    </cfRule>
    <cfRule type="containsText" priority="9884" operator="containsText" dxfId="7" text="HEM/ONC">
      <formula>NOT(ISERROR(SEARCH(("HEM/ONC"),(AW10))))</formula>
    </cfRule>
    <cfRule type="containsText" priority="9885" operator="containsText" dxfId="7" text="CARDIO">
      <formula>NOT(ISERROR(SEARCH(("CARDIO"),(AW10))))</formula>
    </cfRule>
    <cfRule type="containsText" priority="9886" operator="containsText" dxfId="7" text="ID">
      <formula>NOT(ISERROR(SEARCH(("ID"),(AW10))))</formula>
    </cfRule>
    <cfRule type="containsText" priority="9887" operator="containsText" dxfId="7" text="NEURO">
      <formula>NOT(ISERROR(SEARCH(("NEURO"),(AW10))))</formula>
    </cfRule>
    <cfRule type="containsText" priority="9888" operator="containsText" dxfId="6" text="NEURO">
      <formula>NOT(ISERROR(SEARCH(("NEURO"),(AW10))))</formula>
    </cfRule>
    <cfRule type="containsText" priority="9889" operator="containsText" dxfId="5" text="NEURO">
      <formula>NOT(ISERROR(SEARCH(("NEURO"),(AW10))))</formula>
    </cfRule>
    <cfRule type="containsText" priority="9890" operator="containsText" dxfId="0" text="ICU N">
      <formula>NOT(ISERROR(SEARCH(("ICU N"),(AW10))))</formula>
    </cfRule>
    <cfRule type="containsText" priority="9891" operator="containsText" dxfId="3" text="ICU">
      <formula>NOT(ISERROR(SEARCH(("ICU"),(AW10))))</formula>
    </cfRule>
    <cfRule type="containsText" priority="9892" operator="containsText" dxfId="0" text="SWING">
      <formula>NOT(ISERROR(SEARCH(("SWING"),(AW10))))</formula>
    </cfRule>
    <cfRule type="containsText" priority="9893" operator="containsText" dxfId="0" text="NF">
      <formula>NOT(ISERROR(SEARCH(("NF"),(AW10))))</formula>
    </cfRule>
  </conditionalFormatting>
  <conditionalFormatting sqref="AW12">
    <cfRule type="containsText" priority="9860" operator="containsText" dxfId="17" text="VACATION">
      <formula>NOT(ISERROR(SEARCH(("VACATION"),(AW12))))</formula>
    </cfRule>
    <cfRule type="containsText" priority="9861" operator="containsText" dxfId="16" text="ED">
      <formula>NOT(ISERROR(SEARCH(("ED"),(AW12))))</formula>
    </cfRule>
    <cfRule type="containsText" priority="9862" operator="containsText" dxfId="15" text="GERIATRIC">
      <formula>NOT(ISERROR(SEARCH(("GERIATRIC"),(AW12))))</formula>
    </cfRule>
    <cfRule type="containsText" priority="9863" operator="containsText" dxfId="7" text="PATH">
      <formula>NOT(ISERROR(SEARCH(("PATH"),(AW12))))</formula>
    </cfRule>
    <cfRule type="containsText" priority="9864" operator="containsText" dxfId="7" text="NEPHRO">
      <formula>NOT(ISERROR(SEARCH(("NEPHRO"),(AW12))))</formula>
    </cfRule>
    <cfRule type="containsText" priority="9865" operator="containsText" dxfId="7" text="PULM">
      <formula>NOT(ISERROR(SEARCH(("PULM"),(AW12))))</formula>
    </cfRule>
    <cfRule type="containsText" priority="9866" operator="containsText" dxfId="7" text="RADIOLOGY">
      <formula>NOT(ISERROR(SEARCH(("RADIOLOGY"),(AW12))))</formula>
    </cfRule>
    <cfRule type="containsText" priority="9867" operator="containsText" dxfId="7" text="HEM/ONC">
      <formula>NOT(ISERROR(SEARCH(("HEM/ONC"),(AW12))))</formula>
    </cfRule>
    <cfRule type="containsText" priority="9868" operator="containsText" dxfId="7" text="CARDIO">
      <formula>NOT(ISERROR(SEARCH(("CARDIO"),(AW12))))</formula>
    </cfRule>
    <cfRule type="containsText" priority="9869" operator="containsText" dxfId="7" text="ID">
      <formula>NOT(ISERROR(SEARCH(("ID"),(AW12))))</formula>
    </cfRule>
    <cfRule type="containsText" priority="9870" operator="containsText" dxfId="7" text="NEURO">
      <formula>NOT(ISERROR(SEARCH(("NEURO"),(AW12))))</formula>
    </cfRule>
    <cfRule type="containsText" priority="9871" operator="containsText" dxfId="6" text="NEURO">
      <formula>NOT(ISERROR(SEARCH(("NEURO"),(AW12))))</formula>
    </cfRule>
    <cfRule type="containsText" priority="9872" operator="containsText" dxfId="5" text="NEURO">
      <formula>NOT(ISERROR(SEARCH(("NEURO"),(AW12))))</formula>
    </cfRule>
    <cfRule type="containsText" priority="9873" operator="containsText" dxfId="0" text="ICU N">
      <formula>NOT(ISERROR(SEARCH(("ICU N"),(AW12))))</formula>
    </cfRule>
    <cfRule type="containsText" priority="9874" operator="containsText" dxfId="3" text="ICU">
      <formula>NOT(ISERROR(SEARCH(("ICU"),(AW12))))</formula>
    </cfRule>
    <cfRule type="containsText" priority="9875" operator="containsText" dxfId="0" text="SWING">
      <formula>NOT(ISERROR(SEARCH(("SWING"),(AW12))))</formula>
    </cfRule>
    <cfRule type="containsText" priority="9876" operator="containsText" dxfId="0" text="NF">
      <formula>NOT(ISERROR(SEARCH(("NF"),(AW12))))</formula>
    </cfRule>
  </conditionalFormatting>
  <conditionalFormatting sqref="AW14">
    <cfRule type="containsText" priority="9843" operator="containsText" dxfId="17" text="VACATION">
      <formula>NOT(ISERROR(SEARCH(("VACATION"),(AW14))))</formula>
    </cfRule>
    <cfRule type="containsText" priority="9844" operator="containsText" dxfId="16" text="ED">
      <formula>NOT(ISERROR(SEARCH(("ED"),(AW14))))</formula>
    </cfRule>
    <cfRule type="containsText" priority="9845" operator="containsText" dxfId="15" text="GERIATRIC">
      <formula>NOT(ISERROR(SEARCH(("GERIATRIC"),(AW14))))</formula>
    </cfRule>
    <cfRule type="containsText" priority="9846" operator="containsText" dxfId="7" text="PATH">
      <formula>NOT(ISERROR(SEARCH(("PATH"),(AW14))))</formula>
    </cfRule>
    <cfRule type="containsText" priority="9847" operator="containsText" dxfId="7" text="NEPHRO">
      <formula>NOT(ISERROR(SEARCH(("NEPHRO"),(AW14))))</formula>
    </cfRule>
    <cfRule type="containsText" priority="9848" operator="containsText" dxfId="7" text="PULM">
      <formula>NOT(ISERROR(SEARCH(("PULM"),(AW14))))</formula>
    </cfRule>
    <cfRule type="containsText" priority="9849" operator="containsText" dxfId="7" text="RADIOLOGY">
      <formula>NOT(ISERROR(SEARCH(("RADIOLOGY"),(AW14))))</formula>
    </cfRule>
    <cfRule type="containsText" priority="9850" operator="containsText" dxfId="7" text="HEM/ONC">
      <formula>NOT(ISERROR(SEARCH(("HEM/ONC"),(AW14))))</formula>
    </cfRule>
    <cfRule type="containsText" priority="9851" operator="containsText" dxfId="7" text="CARDIO">
      <formula>NOT(ISERROR(SEARCH(("CARDIO"),(AW14))))</formula>
    </cfRule>
    <cfRule type="containsText" priority="9852" operator="containsText" dxfId="7" text="ID">
      <formula>NOT(ISERROR(SEARCH(("ID"),(AW14))))</formula>
    </cfRule>
    <cfRule type="containsText" priority="9853" operator="containsText" dxfId="7" text="NEURO">
      <formula>NOT(ISERROR(SEARCH(("NEURO"),(AW14))))</formula>
    </cfRule>
    <cfRule type="containsText" priority="9854" operator="containsText" dxfId="6" text="NEURO">
      <formula>NOT(ISERROR(SEARCH(("NEURO"),(AW14))))</formula>
    </cfRule>
    <cfRule type="containsText" priority="9855" operator="containsText" dxfId="5" text="NEURO">
      <formula>NOT(ISERROR(SEARCH(("NEURO"),(AW14))))</formula>
    </cfRule>
    <cfRule type="containsText" priority="9856" operator="containsText" dxfId="0" text="ICU N">
      <formula>NOT(ISERROR(SEARCH(("ICU N"),(AW14))))</formula>
    </cfRule>
    <cfRule type="containsText" priority="9857" operator="containsText" dxfId="3" text="ICU">
      <formula>NOT(ISERROR(SEARCH(("ICU"),(AW14))))</formula>
    </cfRule>
    <cfRule type="containsText" priority="9858" operator="containsText" dxfId="0" text="SWING">
      <formula>NOT(ISERROR(SEARCH(("SWING"),(AW14))))</formula>
    </cfRule>
    <cfRule type="containsText" priority="9859" operator="containsText" dxfId="0" text="NF">
      <formula>NOT(ISERROR(SEARCH(("NF"),(AW14))))</formula>
    </cfRule>
  </conditionalFormatting>
  <conditionalFormatting sqref="AX12">
    <cfRule type="containsText" priority="9826" operator="containsText" dxfId="17" text="VACATION">
      <formula>NOT(ISERROR(SEARCH(("VACATION"),(AX12))))</formula>
    </cfRule>
    <cfRule type="containsText" priority="9827" operator="containsText" dxfId="16" text="ED">
      <formula>NOT(ISERROR(SEARCH(("ED"),(AX12))))</formula>
    </cfRule>
    <cfRule type="containsText" priority="9828" operator="containsText" dxfId="15" text="GERIATRIC">
      <formula>NOT(ISERROR(SEARCH(("GERIATRIC"),(AX12))))</formula>
    </cfRule>
    <cfRule type="containsText" priority="9829" operator="containsText" dxfId="7" text="PATH">
      <formula>NOT(ISERROR(SEARCH(("PATH"),(AX12))))</formula>
    </cfRule>
    <cfRule type="containsText" priority="9830" operator="containsText" dxfId="7" text="NEPHRO">
      <formula>NOT(ISERROR(SEARCH(("NEPHRO"),(AX12))))</formula>
    </cfRule>
    <cfRule type="containsText" priority="9831" operator="containsText" dxfId="7" text="PULM">
      <formula>NOT(ISERROR(SEARCH(("PULM"),(AX12))))</formula>
    </cfRule>
    <cfRule type="containsText" priority="9832" operator="containsText" dxfId="7" text="RADIOLOGY">
      <formula>NOT(ISERROR(SEARCH(("RADIOLOGY"),(AX12))))</formula>
    </cfRule>
    <cfRule type="containsText" priority="9833" operator="containsText" dxfId="7" text="HEM/ONC">
      <formula>NOT(ISERROR(SEARCH(("HEM/ONC"),(AX12))))</formula>
    </cfRule>
    <cfRule type="containsText" priority="9834" operator="containsText" dxfId="7" text="CARDIO">
      <formula>NOT(ISERROR(SEARCH(("CARDIO"),(AX12))))</formula>
    </cfRule>
    <cfRule type="containsText" priority="9835" operator="containsText" dxfId="7" text="ID">
      <formula>NOT(ISERROR(SEARCH(("ID"),(AX12))))</formula>
    </cfRule>
    <cfRule type="containsText" priority="9836" operator="containsText" dxfId="7" text="NEURO">
      <formula>NOT(ISERROR(SEARCH(("NEURO"),(AX12))))</formula>
    </cfRule>
    <cfRule type="containsText" priority="9837" operator="containsText" dxfId="6" text="NEURO">
      <formula>NOT(ISERROR(SEARCH(("NEURO"),(AX12))))</formula>
    </cfRule>
    <cfRule type="containsText" priority="9838" operator="containsText" dxfId="5" text="NEURO">
      <formula>NOT(ISERROR(SEARCH(("NEURO"),(AX12))))</formula>
    </cfRule>
    <cfRule type="containsText" priority="9839" operator="containsText" dxfId="0" text="ICU N">
      <formula>NOT(ISERROR(SEARCH(("ICU N"),(AX12))))</formula>
    </cfRule>
    <cfRule type="containsText" priority="9840" operator="containsText" dxfId="3" text="ICU">
      <formula>NOT(ISERROR(SEARCH(("ICU"),(AX12))))</formula>
    </cfRule>
    <cfRule type="containsText" priority="9841" operator="containsText" dxfId="0" text="SWING">
      <formula>NOT(ISERROR(SEARCH(("SWING"),(AX12))))</formula>
    </cfRule>
    <cfRule type="containsText" priority="9842" operator="containsText" dxfId="0" text="NF">
      <formula>NOT(ISERROR(SEARCH(("NF"),(AX12))))</formula>
    </cfRule>
  </conditionalFormatting>
  <conditionalFormatting sqref="AV14">
    <cfRule type="containsText" priority="9792" operator="containsText" dxfId="17" text="VACATION">
      <formula>NOT(ISERROR(SEARCH(("VACATION"),(AV14))))</formula>
    </cfRule>
    <cfRule type="containsText" priority="9793" operator="containsText" dxfId="16" text="ED">
      <formula>NOT(ISERROR(SEARCH(("ED"),(AV14))))</formula>
    </cfRule>
    <cfRule type="containsText" priority="9794" operator="containsText" dxfId="15" text="GERIATRIC">
      <formula>NOT(ISERROR(SEARCH(("GERIATRIC"),(AV14))))</formula>
    </cfRule>
    <cfRule type="containsText" priority="9795" operator="containsText" dxfId="7" text="PATH">
      <formula>NOT(ISERROR(SEARCH(("PATH"),(AV14))))</formula>
    </cfRule>
    <cfRule type="containsText" priority="9796" operator="containsText" dxfId="7" text="NEPHRO">
      <formula>NOT(ISERROR(SEARCH(("NEPHRO"),(AV14))))</formula>
    </cfRule>
    <cfRule type="containsText" priority="9797" operator="containsText" dxfId="7" text="PULM">
      <formula>NOT(ISERROR(SEARCH(("PULM"),(AV14))))</formula>
    </cfRule>
    <cfRule type="containsText" priority="9798" operator="containsText" dxfId="7" text="RADIOLOGY">
      <formula>NOT(ISERROR(SEARCH(("RADIOLOGY"),(AV14))))</formula>
    </cfRule>
    <cfRule type="containsText" priority="9799" operator="containsText" dxfId="7" text="HEM/ONC">
      <formula>NOT(ISERROR(SEARCH(("HEM/ONC"),(AV14))))</formula>
    </cfRule>
    <cfRule type="containsText" priority="9800" operator="containsText" dxfId="7" text="CARDIO">
      <formula>NOT(ISERROR(SEARCH(("CARDIO"),(AV14))))</formula>
    </cfRule>
    <cfRule type="containsText" priority="9801" operator="containsText" dxfId="7" text="ID">
      <formula>NOT(ISERROR(SEARCH(("ID"),(AV14))))</formula>
    </cfRule>
    <cfRule type="containsText" priority="9802" operator="containsText" dxfId="7" text="NEURO">
      <formula>NOT(ISERROR(SEARCH(("NEURO"),(AV14))))</formula>
    </cfRule>
    <cfRule type="containsText" priority="9803" operator="containsText" dxfId="6" text="NEURO">
      <formula>NOT(ISERROR(SEARCH(("NEURO"),(AV14))))</formula>
    </cfRule>
    <cfRule type="containsText" priority="9804" operator="containsText" dxfId="5" text="NEURO">
      <formula>NOT(ISERROR(SEARCH(("NEURO"),(AV14))))</formula>
    </cfRule>
    <cfRule type="containsText" priority="9805" operator="containsText" dxfId="0" text="ICU N">
      <formula>NOT(ISERROR(SEARCH(("ICU N"),(AV14))))</formula>
    </cfRule>
    <cfRule type="containsText" priority="9806" operator="containsText" dxfId="3" text="ICU">
      <formula>NOT(ISERROR(SEARCH(("ICU"),(AV14))))</formula>
    </cfRule>
    <cfRule type="containsText" priority="9807" operator="containsText" dxfId="0" text="SWING">
      <formula>NOT(ISERROR(SEARCH(("SWING"),(AV14))))</formula>
    </cfRule>
    <cfRule type="containsText" priority="9808" operator="containsText" dxfId="0" text="NF">
      <formula>NOT(ISERROR(SEARCH(("NF"),(AV14))))</formula>
    </cfRule>
  </conditionalFormatting>
  <conditionalFormatting sqref="K54">
    <cfRule type="containsText" priority="9724" operator="containsText" dxfId="16" text="ED">
      <formula>NOT(ISERROR(SEARCH(("ED"),(K54))))</formula>
    </cfRule>
    <cfRule type="containsText" priority="9725" operator="containsText" dxfId="15" text="GERIATRIC">
      <formula>NOT(ISERROR(SEARCH(("GERIATRIC"),(K54))))</formula>
    </cfRule>
    <cfRule type="containsText" priority="9726" operator="containsText" dxfId="17" text="VACATION">
      <formula>NOT(ISERROR(SEARCH(("VACATION"),(K54))))</formula>
    </cfRule>
    <cfRule type="containsText" priority="9727" operator="containsText" dxfId="7" text="PATH">
      <formula>NOT(ISERROR(SEARCH(("PATH"),(K54))))</formula>
    </cfRule>
    <cfRule type="containsText" priority="9728" operator="containsText" dxfId="7" text="NEPHRO">
      <formula>NOT(ISERROR(SEARCH(("NEPHRO"),(K54))))</formula>
    </cfRule>
    <cfRule type="containsText" priority="9729" operator="containsText" dxfId="7" text="PULM">
      <formula>NOT(ISERROR(SEARCH(("PULM"),(K54))))</formula>
    </cfRule>
    <cfRule type="containsText" priority="9730" operator="containsText" dxfId="7" text="RADIOLOGY">
      <formula>NOT(ISERROR(SEARCH(("RADIOLOGY"),(K54))))</formula>
    </cfRule>
    <cfRule type="containsText" priority="9731" operator="containsText" dxfId="7" text="HEM/ONC">
      <formula>NOT(ISERROR(SEARCH(("HEM/ONC"),(K54))))</formula>
    </cfRule>
    <cfRule type="containsText" priority="9732" operator="containsText" dxfId="7" text="CARDIO">
      <formula>NOT(ISERROR(SEARCH(("CARDIO"),(K54))))</formula>
    </cfRule>
    <cfRule type="containsText" priority="9733" operator="containsText" dxfId="7" text="ID">
      <formula>NOT(ISERROR(SEARCH(("ID"),(K54))))</formula>
    </cfRule>
    <cfRule type="containsText" priority="9734" operator="containsText" dxfId="7" text="NEURO">
      <formula>NOT(ISERROR(SEARCH(("NEURO"),(K54))))</formula>
    </cfRule>
    <cfRule type="containsText" priority="9735" operator="containsText" dxfId="6" text="NEURO">
      <formula>NOT(ISERROR(SEARCH(("NEURO"),(K54))))</formula>
    </cfRule>
    <cfRule type="containsText" priority="9736" operator="containsText" dxfId="5" text="NEURO">
      <formula>NOT(ISERROR(SEARCH(("NEURO"),(K54))))</formula>
    </cfRule>
    <cfRule type="containsText" priority="9737" operator="containsText" dxfId="0" text="ICU N">
      <formula>NOT(ISERROR(SEARCH(("ICU N"),(K54))))</formula>
    </cfRule>
    <cfRule type="containsText" priority="9738" operator="containsText" dxfId="3" text="ICU">
      <formula>NOT(ISERROR(SEARCH(("ICU"),(K54))))</formula>
    </cfRule>
    <cfRule type="containsText" priority="9739" operator="containsText" dxfId="0" text="SWING">
      <formula>NOT(ISERROR(SEARCH(("SWING"),(K54))))</formula>
    </cfRule>
    <cfRule type="containsText" priority="9740" operator="containsText" dxfId="0" text="NF">
      <formula>NOT(ISERROR(SEARCH(("NF"),(K54))))</formula>
    </cfRule>
    <cfRule type="containsText" priority="9741" operator="containsText" dxfId="0" text="ICU N">
      <formula>NOT(ISERROR(SEARCH(("ICU N"),(K54))))</formula>
    </cfRule>
  </conditionalFormatting>
  <conditionalFormatting sqref="J55">
    <cfRule type="containsText" priority="9688" operator="containsText" dxfId="16" text="ED">
      <formula>NOT(ISERROR(SEARCH(("ED"),(J55))))</formula>
    </cfRule>
    <cfRule type="containsText" priority="9689" operator="containsText" dxfId="15" text="GERIATRIC">
      <formula>NOT(ISERROR(SEARCH(("GERIATRIC"),(J55))))</formula>
    </cfRule>
    <cfRule type="containsText" priority="9690" operator="containsText" dxfId="17" text="VACATION">
      <formula>NOT(ISERROR(SEARCH(("VACATION"),(J55))))</formula>
    </cfRule>
    <cfRule type="containsText" priority="9691" operator="containsText" dxfId="7" text="PATH">
      <formula>NOT(ISERROR(SEARCH(("PATH"),(J55))))</formula>
    </cfRule>
    <cfRule type="containsText" priority="9692" operator="containsText" dxfId="7" text="NEPHRO">
      <formula>NOT(ISERROR(SEARCH(("NEPHRO"),(J55))))</formula>
    </cfRule>
    <cfRule type="containsText" priority="9693" operator="containsText" dxfId="7" text="PULM">
      <formula>NOT(ISERROR(SEARCH(("PULM"),(J55))))</formula>
    </cfRule>
    <cfRule type="containsText" priority="9694" operator="containsText" dxfId="7" text="RADIOLOGY">
      <formula>NOT(ISERROR(SEARCH(("RADIOLOGY"),(J55))))</formula>
    </cfRule>
    <cfRule type="containsText" priority="9695" operator="containsText" dxfId="7" text="HEM/ONC">
      <formula>NOT(ISERROR(SEARCH(("HEM/ONC"),(J55))))</formula>
    </cfRule>
    <cfRule type="containsText" priority="9696" operator="containsText" dxfId="7" text="CARDIO">
      <formula>NOT(ISERROR(SEARCH(("CARDIO"),(J55))))</formula>
    </cfRule>
    <cfRule type="containsText" priority="9697" operator="containsText" dxfId="7" text="ID">
      <formula>NOT(ISERROR(SEARCH(("ID"),(J55))))</formula>
    </cfRule>
    <cfRule type="containsText" priority="9698" operator="containsText" dxfId="7" text="NEURO">
      <formula>NOT(ISERROR(SEARCH(("NEURO"),(J55))))</formula>
    </cfRule>
    <cfRule type="containsText" priority="9699" operator="containsText" dxfId="6" text="NEURO">
      <formula>NOT(ISERROR(SEARCH(("NEURO"),(J55))))</formula>
    </cfRule>
    <cfRule type="containsText" priority="9700" operator="containsText" dxfId="5" text="NEURO">
      <formula>NOT(ISERROR(SEARCH(("NEURO"),(J55))))</formula>
    </cfRule>
    <cfRule type="containsText" priority="9701" operator="containsText" dxfId="0" text="ICU N">
      <formula>NOT(ISERROR(SEARCH(("ICU N"),(J55))))</formula>
    </cfRule>
    <cfRule type="containsText" priority="9702" operator="containsText" dxfId="3" text="ICU">
      <formula>NOT(ISERROR(SEARCH(("ICU"),(J55))))</formula>
    </cfRule>
    <cfRule type="containsText" priority="9703" operator="containsText" dxfId="0" text="SWING">
      <formula>NOT(ISERROR(SEARCH(("SWING"),(J55))))</formula>
    </cfRule>
    <cfRule type="containsText" priority="9704" operator="containsText" dxfId="0" text="NF">
      <formula>NOT(ISERROR(SEARCH(("NF"),(J55))))</formula>
    </cfRule>
    <cfRule type="containsText" priority="9705" operator="containsText" dxfId="0" text="ICU N">
      <formula>NOT(ISERROR(SEARCH(("ICU N"),(J55))))</formula>
    </cfRule>
  </conditionalFormatting>
  <conditionalFormatting sqref="AP53">
    <cfRule type="containsText" priority="9667" operator="containsText" dxfId="16" text="ED">
      <formula>NOT(ISERROR(SEARCH(("ED"),(AP53))))</formula>
    </cfRule>
    <cfRule type="containsText" priority="9668" operator="containsText" dxfId="17" text="VACATION">
      <formula>NOT(ISERROR(SEARCH(("VACATION"),(AP53))))</formula>
    </cfRule>
    <cfRule type="containsText" priority="9669" operator="containsText" dxfId="0" text="ICU N">
      <formula>NOT(ISERROR(SEARCH(("ICU N"),(AP53))))</formula>
    </cfRule>
  </conditionalFormatting>
  <conditionalFormatting sqref="AQ53">
    <cfRule type="containsText" priority="9664" operator="containsText" dxfId="16" text="ED">
      <formula>NOT(ISERROR(SEARCH(("ED"),(AQ53))))</formula>
    </cfRule>
    <cfRule type="containsText" priority="9665" operator="containsText" dxfId="17" text="VACATION">
      <formula>NOT(ISERROR(SEARCH(("VACATION"),(AQ53))))</formula>
    </cfRule>
    <cfRule type="containsText" priority="9666" operator="containsText" dxfId="0" text="ICU N">
      <formula>NOT(ISERROR(SEARCH(("ICU N"),(AQ53))))</formula>
    </cfRule>
  </conditionalFormatting>
  <conditionalFormatting sqref="AY38">
    <cfRule type="containsText" priority="9648" operator="containsText" dxfId="0" text="ICU N">
      <formula>NOT(ISERROR(SEARCH(("ICU N"),(AY38))))</formula>
    </cfRule>
    <cfRule type="containsText" priority="9649" operator="containsText" dxfId="7" text="PATH">
      <formula>NOT(ISERROR(SEARCH(("PATH"),(AY38))))</formula>
    </cfRule>
    <cfRule type="containsText" priority="9650" operator="containsText" dxfId="7" text="NEPHRO">
      <formula>NOT(ISERROR(SEARCH(("NEPHRO"),(AY38))))</formula>
    </cfRule>
    <cfRule type="containsText" priority="9651" operator="containsText" dxfId="7" text="PULM">
      <formula>NOT(ISERROR(SEARCH(("PULM"),(AY38))))</formula>
    </cfRule>
    <cfRule type="containsText" priority="9652" operator="containsText" dxfId="7" text="RADIOLOGY">
      <formula>NOT(ISERROR(SEARCH(("RADIOLOGY"),(AY38))))</formula>
    </cfRule>
    <cfRule type="containsText" priority="9653" operator="containsText" dxfId="7" text="HEM/ONC">
      <formula>NOT(ISERROR(SEARCH(("HEM/ONC"),(AY38))))</formula>
    </cfRule>
    <cfRule type="containsText" priority="9654" operator="containsText" dxfId="7" text="CARDIO">
      <formula>NOT(ISERROR(SEARCH(("CARDIO"),(AY38))))</formula>
    </cfRule>
    <cfRule type="containsText" priority="9655" operator="containsText" dxfId="7" text="ID">
      <formula>NOT(ISERROR(SEARCH(("ID"),(AY38))))</formula>
    </cfRule>
    <cfRule type="containsText" priority="9656" operator="containsText" dxfId="7" text="NEURO">
      <formula>NOT(ISERROR(SEARCH(("NEURO"),(AY38))))</formula>
    </cfRule>
    <cfRule type="containsText" priority="9657" operator="containsText" dxfId="6" text="NEURO">
      <formula>NOT(ISERROR(SEARCH(("NEURO"),(AY38))))</formula>
    </cfRule>
    <cfRule type="containsText" priority="9658" operator="containsText" dxfId="5" text="NEURO">
      <formula>NOT(ISERROR(SEARCH(("NEURO"),(AY38))))</formula>
    </cfRule>
    <cfRule type="containsText" priority="9659" operator="containsText" dxfId="0" text="ICU N">
      <formula>NOT(ISERROR(SEARCH(("ICU N"),(AY38))))</formula>
    </cfRule>
    <cfRule type="containsText" priority="9660" operator="containsText" dxfId="3" text="ICU">
      <formula>NOT(ISERROR(SEARCH(("ICU"),(AY38))))</formula>
    </cfRule>
    <cfRule type="containsText" priority="9661" operator="containsText" dxfId="0" text="SWING">
      <formula>NOT(ISERROR(SEARCH(("SWING"),(AY38))))</formula>
    </cfRule>
    <cfRule type="containsText" priority="9662" operator="containsText" dxfId="0" text="NF">
      <formula>NOT(ISERROR(SEARCH(("NF"),(AY38))))</formula>
    </cfRule>
    <cfRule type="containsText" priority="9663" operator="containsText" dxfId="0" text="ICU N">
      <formula>NOT(ISERROR(SEARCH(("ICU N"),(AY38))))</formula>
    </cfRule>
    <cfRule type="containsText" priority="9633" operator="containsText" dxfId="7" text="PATH">
      <formula>NOT(ISERROR(SEARCH(("PATH"),(AY38))))</formula>
    </cfRule>
    <cfRule type="containsText" priority="9634" operator="containsText" dxfId="7" text="NEPHRO">
      <formula>NOT(ISERROR(SEARCH(("NEPHRO"),(AY38))))</formula>
    </cfRule>
    <cfRule type="containsText" priority="9635" operator="containsText" dxfId="7" text="PULM">
      <formula>NOT(ISERROR(SEARCH(("PULM"),(AY38))))</formula>
    </cfRule>
    <cfRule type="containsText" priority="9636" operator="containsText" dxfId="7" text="RADIOLOGY">
      <formula>NOT(ISERROR(SEARCH(("RADIOLOGY"),(AY38))))</formula>
    </cfRule>
    <cfRule type="containsText" priority="9637" operator="containsText" dxfId="7" text="HEM/ONC">
      <formula>NOT(ISERROR(SEARCH(("HEM/ONC"),(AY38))))</formula>
    </cfRule>
    <cfRule type="containsText" priority="9638" operator="containsText" dxfId="7" text="CARDIO">
      <formula>NOT(ISERROR(SEARCH(("CARDIO"),(AY38))))</formula>
    </cfRule>
    <cfRule type="containsText" priority="9639" operator="containsText" dxfId="7" text="ID">
      <formula>NOT(ISERROR(SEARCH(("ID"),(AY38))))</formula>
    </cfRule>
    <cfRule type="containsText" priority="9640" operator="containsText" dxfId="7" text="NEURO">
      <formula>NOT(ISERROR(SEARCH(("NEURO"),(AY38))))</formula>
    </cfRule>
    <cfRule type="containsText" priority="9641" operator="containsText" dxfId="6" text="NEURO">
      <formula>NOT(ISERROR(SEARCH(("NEURO"),(AY38))))</formula>
    </cfRule>
    <cfRule type="containsText" priority="9642" operator="containsText" dxfId="5" text="NEURO">
      <formula>NOT(ISERROR(SEARCH(("NEURO"),(AY38))))</formula>
    </cfRule>
    <cfRule type="containsText" priority="9643" operator="containsText" dxfId="0" text="ICU N">
      <formula>NOT(ISERROR(SEARCH(("ICU N"),(AY38))))</formula>
    </cfRule>
    <cfRule type="containsText" priority="9644" operator="containsText" dxfId="3" text="ICU">
      <formula>NOT(ISERROR(SEARCH(("ICU"),(AY38))))</formula>
    </cfRule>
    <cfRule type="containsText" priority="9645" operator="containsText" dxfId="0" text="SWING">
      <formula>NOT(ISERROR(SEARCH(("SWING"),(AY38))))</formula>
    </cfRule>
    <cfRule type="containsText" priority="9646" operator="containsText" dxfId="0" text="NF">
      <formula>NOT(ISERROR(SEARCH(("NF"),(AY38))))</formula>
    </cfRule>
    <cfRule type="containsText" priority="9647" operator="containsText" dxfId="0" text="ICU N">
      <formula>NOT(ISERROR(SEARCH(("ICU N"),(AY38))))</formula>
    </cfRule>
    <cfRule type="containsText" priority="319" operator="containsText" dxfId="17" text="VACATION">
      <formula>NOT(ISERROR(SEARCH(("VACATION"),(AY38))))</formula>
    </cfRule>
    <cfRule type="containsText" priority="320" operator="containsText" dxfId="16" text="ED">
      <formula>NOT(ISERROR(SEARCH(("ED"),(AY38))))</formula>
    </cfRule>
    <cfRule type="containsText" priority="321" operator="containsText" dxfId="15" text="GERIATRIC">
      <formula>NOT(ISERROR(SEARCH(("GERIATRIC"),(AY38))))</formula>
    </cfRule>
    <cfRule type="containsText" priority="322" operator="containsText" dxfId="0" text="ICU N">
      <formula>NOT(ISERROR(SEARCH(("ICU N"),(AY38))))</formula>
    </cfRule>
    <cfRule type="containsText" priority="304" operator="containsText" dxfId="7" text="PATH">
      <formula>NOT(ISERROR(SEARCH(("PATH"),(AY38))))</formula>
    </cfRule>
    <cfRule type="containsText" priority="305" operator="containsText" dxfId="7" text="NEPHRO">
      <formula>NOT(ISERROR(SEARCH(("NEPHRO"),(AY38))))</formula>
    </cfRule>
    <cfRule type="containsText" priority="306" operator="containsText" dxfId="7" text="PULM">
      <formula>NOT(ISERROR(SEARCH(("PULM"),(AY38))))</formula>
    </cfRule>
    <cfRule type="containsText" priority="307" operator="containsText" dxfId="7" text="RADIOLOGY">
      <formula>NOT(ISERROR(SEARCH(("RADIOLOGY"),(AY38))))</formula>
    </cfRule>
    <cfRule type="containsText" priority="308" operator="containsText" dxfId="7" text="HEM/ONC">
      <formula>NOT(ISERROR(SEARCH(("HEM/ONC"),(AY38))))</formula>
    </cfRule>
    <cfRule type="containsText" priority="309" operator="containsText" dxfId="7" text="CARDIO">
      <formula>NOT(ISERROR(SEARCH(("CARDIO"),(AY38))))</formula>
    </cfRule>
    <cfRule type="containsText" priority="310" operator="containsText" dxfId="7" text="ID">
      <formula>NOT(ISERROR(SEARCH(("ID"),(AY38))))</formula>
    </cfRule>
    <cfRule type="containsText" priority="311" operator="containsText" dxfId="7" text="NEURO">
      <formula>NOT(ISERROR(SEARCH(("NEURO"),(AY38))))</formula>
    </cfRule>
    <cfRule type="containsText" priority="312" operator="containsText" dxfId="6" text="NEURO">
      <formula>NOT(ISERROR(SEARCH(("NEURO"),(AY38))))</formula>
    </cfRule>
    <cfRule type="containsText" priority="313" operator="containsText" dxfId="5" text="NEURO">
      <formula>NOT(ISERROR(SEARCH(("NEURO"),(AY38))))</formula>
    </cfRule>
    <cfRule type="containsText" priority="314" operator="containsText" dxfId="0" text="ICU N">
      <formula>NOT(ISERROR(SEARCH(("ICU N"),(AY38))))</formula>
    </cfRule>
    <cfRule type="containsText" priority="315" operator="containsText" dxfId="3" text="ICU">
      <formula>NOT(ISERROR(SEARCH(("ICU"),(AY38))))</formula>
    </cfRule>
    <cfRule type="containsText" priority="316" operator="containsText" dxfId="0" text="SWING">
      <formula>NOT(ISERROR(SEARCH(("SWING"),(AY38))))</formula>
    </cfRule>
    <cfRule type="containsText" priority="317" operator="containsText" dxfId="0" text="NF">
      <formula>NOT(ISERROR(SEARCH(("NF"),(AY38))))</formula>
    </cfRule>
    <cfRule type="containsText" priority="318" operator="containsText" dxfId="0" text="ICU N">
      <formula>NOT(ISERROR(SEARCH(("ICU N"),(AY38))))</formula>
    </cfRule>
  </conditionalFormatting>
  <conditionalFormatting sqref="AF54">
    <cfRule type="containsText" priority="9615" operator="containsText" dxfId="16" text="ED">
      <formula>NOT(ISERROR(SEARCH(("ED"),(AF54))))</formula>
    </cfRule>
    <cfRule type="containsText" priority="9616" operator="containsText" dxfId="15" text="GERIATRIC">
      <formula>NOT(ISERROR(SEARCH(("GERIATRIC"),(AF54))))</formula>
    </cfRule>
    <cfRule type="containsText" priority="9617" operator="containsText" dxfId="17" text="VACATION">
      <formula>NOT(ISERROR(SEARCH(("VACATION"),(AF54))))</formula>
    </cfRule>
    <cfRule type="containsText" priority="9618" operator="containsText" dxfId="7" text="PATH">
      <formula>NOT(ISERROR(SEARCH(("PATH"),(AF54))))</formula>
    </cfRule>
    <cfRule type="containsText" priority="9619" operator="containsText" dxfId="7" text="NEPHRO">
      <formula>NOT(ISERROR(SEARCH(("NEPHRO"),(AF54))))</formula>
    </cfRule>
    <cfRule type="containsText" priority="9620" operator="containsText" dxfId="7" text="PULM">
      <formula>NOT(ISERROR(SEARCH(("PULM"),(AF54))))</formula>
    </cfRule>
    <cfRule type="containsText" priority="9621" operator="containsText" dxfId="7" text="RADIOLOGY">
      <formula>NOT(ISERROR(SEARCH(("RADIOLOGY"),(AF54))))</formula>
    </cfRule>
    <cfRule type="containsText" priority="9622" operator="containsText" dxfId="7" text="HEM/ONC">
      <formula>NOT(ISERROR(SEARCH(("HEM/ONC"),(AF54))))</formula>
    </cfRule>
    <cfRule type="containsText" priority="9623" operator="containsText" dxfId="7" text="CARDIO">
      <formula>NOT(ISERROR(SEARCH(("CARDIO"),(AF54))))</formula>
    </cfRule>
    <cfRule type="containsText" priority="9624" operator="containsText" dxfId="7" text="ID">
      <formula>NOT(ISERROR(SEARCH(("ID"),(AF54))))</formula>
    </cfRule>
    <cfRule type="containsText" priority="9625" operator="containsText" dxfId="7" text="NEURO">
      <formula>NOT(ISERROR(SEARCH(("NEURO"),(AF54))))</formula>
    </cfRule>
    <cfRule type="containsText" priority="9626" operator="containsText" dxfId="6" text="NEURO">
      <formula>NOT(ISERROR(SEARCH(("NEURO"),(AF54))))</formula>
    </cfRule>
    <cfRule type="containsText" priority="9627" operator="containsText" dxfId="5" text="NEURO">
      <formula>NOT(ISERROR(SEARCH(("NEURO"),(AF54))))</formula>
    </cfRule>
    <cfRule type="containsText" priority="9628" operator="containsText" dxfId="0" text="ICU N">
      <formula>NOT(ISERROR(SEARCH(("ICU N"),(AF54))))</formula>
    </cfRule>
    <cfRule type="containsText" priority="9629" operator="containsText" dxfId="3" text="ICU">
      <formula>NOT(ISERROR(SEARCH(("ICU"),(AF54))))</formula>
    </cfRule>
    <cfRule type="containsText" priority="9630" operator="containsText" dxfId="0" text="SWING">
      <formula>NOT(ISERROR(SEARCH(("SWING"),(AF54))))</formula>
    </cfRule>
    <cfRule type="containsText" priority="9631" operator="containsText" dxfId="0" text="NF">
      <formula>NOT(ISERROR(SEARCH(("NF"),(AF54))))</formula>
    </cfRule>
    <cfRule type="containsText" priority="9632" operator="containsText" dxfId="0" text="ICU N">
      <formula>NOT(ISERROR(SEARCH(("ICU N"),(AF54))))</formula>
    </cfRule>
    <cfRule type="containsText" priority="9598" operator="containsText" dxfId="17" text="VACATION">
      <formula>NOT(ISERROR(SEARCH(("VACATION"),(AF54))))</formula>
    </cfRule>
    <cfRule type="containsText" priority="9599" operator="containsText" dxfId="16" text="ED">
      <formula>NOT(ISERROR(SEARCH(("ED"),(AF54))))</formula>
    </cfRule>
    <cfRule type="containsText" priority="9600" operator="containsText" dxfId="15" text="GERIATRIC">
      <formula>NOT(ISERROR(SEARCH(("GERIATRIC"),(AF54))))</formula>
    </cfRule>
    <cfRule type="containsText" priority="9601" operator="containsText" dxfId="7" text="PATH">
      <formula>NOT(ISERROR(SEARCH(("PATH"),(AF54))))</formula>
    </cfRule>
    <cfRule type="containsText" priority="9602" operator="containsText" dxfId="7" text="NEPHRO">
      <formula>NOT(ISERROR(SEARCH(("NEPHRO"),(AF54))))</formula>
    </cfRule>
    <cfRule type="containsText" priority="9603" operator="containsText" dxfId="7" text="PULM">
      <formula>NOT(ISERROR(SEARCH(("PULM"),(AF54))))</formula>
    </cfRule>
    <cfRule type="containsText" priority="9604" operator="containsText" dxfId="7" text="RADIOLOGY">
      <formula>NOT(ISERROR(SEARCH(("RADIOLOGY"),(AF54))))</formula>
    </cfRule>
    <cfRule type="containsText" priority="9605" operator="containsText" dxfId="7" text="HEM/ONC">
      <formula>NOT(ISERROR(SEARCH(("HEM/ONC"),(AF54))))</formula>
    </cfRule>
    <cfRule type="containsText" priority="9606" operator="containsText" dxfId="7" text="CARDIO">
      <formula>NOT(ISERROR(SEARCH(("CARDIO"),(AF54))))</formula>
    </cfRule>
    <cfRule type="containsText" priority="9607" operator="containsText" dxfId="7" text="ID">
      <formula>NOT(ISERROR(SEARCH(("ID"),(AF54))))</formula>
    </cfRule>
    <cfRule type="containsText" priority="9608" operator="containsText" dxfId="7" text="NEURO">
      <formula>NOT(ISERROR(SEARCH(("NEURO"),(AF54))))</formula>
    </cfRule>
    <cfRule type="containsText" priority="9609" operator="containsText" dxfId="6" text="NEURO">
      <formula>NOT(ISERROR(SEARCH(("NEURO"),(AF54))))</formula>
    </cfRule>
    <cfRule type="containsText" priority="9610" operator="containsText" dxfId="5" text="NEURO">
      <formula>NOT(ISERROR(SEARCH(("NEURO"),(AF54))))</formula>
    </cfRule>
    <cfRule type="containsText" priority="9611" operator="containsText" dxfId="0" text="ICU N">
      <formula>NOT(ISERROR(SEARCH(("ICU N"),(AF54))))</formula>
    </cfRule>
    <cfRule type="containsText" priority="9612" operator="containsText" dxfId="3" text="ICU">
      <formula>NOT(ISERROR(SEARCH(("ICU"),(AF54))))</formula>
    </cfRule>
    <cfRule type="containsText" priority="9613" operator="containsText" dxfId="0" text="SWING">
      <formula>NOT(ISERROR(SEARCH(("SWING"),(AF54))))</formula>
    </cfRule>
    <cfRule type="containsText" priority="9614" operator="containsText" dxfId="0" text="NF">
      <formula>NOT(ISERROR(SEARCH(("NF"),(AF54))))</formula>
    </cfRule>
    <cfRule type="containsText" priority="9583" operator="containsText" dxfId="7" text="PATH">
      <formula>NOT(ISERROR(SEARCH(("PATH"),(AF54))))</formula>
    </cfRule>
    <cfRule type="containsText" priority="9584" operator="containsText" dxfId="7" text="NEPHRO">
      <formula>NOT(ISERROR(SEARCH(("NEPHRO"),(AF54))))</formula>
    </cfRule>
    <cfRule type="containsText" priority="9585" operator="containsText" dxfId="7" text="PULM">
      <formula>NOT(ISERROR(SEARCH(("PULM"),(AF54))))</formula>
    </cfRule>
    <cfRule type="containsText" priority="9586" operator="containsText" dxfId="7" text="RADIOLOGY">
      <formula>NOT(ISERROR(SEARCH(("RADIOLOGY"),(AF54))))</formula>
    </cfRule>
    <cfRule type="containsText" priority="9587" operator="containsText" dxfId="7" text="HEM/ONC">
      <formula>NOT(ISERROR(SEARCH(("HEM/ONC"),(AF54))))</formula>
    </cfRule>
    <cfRule type="containsText" priority="9588" operator="containsText" dxfId="7" text="CARDIO">
      <formula>NOT(ISERROR(SEARCH(("CARDIO"),(AF54))))</formula>
    </cfRule>
    <cfRule type="containsText" priority="9589" operator="containsText" dxfId="7" text="ID">
      <formula>NOT(ISERROR(SEARCH(("ID"),(AF54))))</formula>
    </cfRule>
    <cfRule type="containsText" priority="9590" operator="containsText" dxfId="7" text="NEURO">
      <formula>NOT(ISERROR(SEARCH(("NEURO"),(AF54))))</formula>
    </cfRule>
    <cfRule type="containsText" priority="9591" operator="containsText" dxfId="6" text="NEURO">
      <formula>NOT(ISERROR(SEARCH(("NEURO"),(AF54))))</formula>
    </cfRule>
    <cfRule type="containsText" priority="9592" operator="containsText" dxfId="5" text="NEURO">
      <formula>NOT(ISERROR(SEARCH(("NEURO"),(AF54))))</formula>
    </cfRule>
    <cfRule type="containsText" priority="9593" operator="containsText" dxfId="0" text="ICU N">
      <formula>NOT(ISERROR(SEARCH(("ICU N"),(AF54))))</formula>
    </cfRule>
    <cfRule type="containsText" priority="9594" operator="containsText" dxfId="3" text="ICU">
      <formula>NOT(ISERROR(SEARCH(("ICU"),(AF54))))</formula>
    </cfRule>
    <cfRule type="containsText" priority="9595" operator="containsText" dxfId="0" text="SWING">
      <formula>NOT(ISERROR(SEARCH(("SWING"),(AF54))))</formula>
    </cfRule>
    <cfRule type="containsText" priority="9596" operator="containsText" dxfId="0" text="NF">
      <formula>NOT(ISERROR(SEARCH(("NF"),(AF54))))</formula>
    </cfRule>
    <cfRule type="containsText" priority="9597" operator="containsText" dxfId="0" text="ICU N">
      <formula>NOT(ISERROR(SEARCH(("ICU N"),(AF54))))</formula>
    </cfRule>
  </conditionalFormatting>
  <conditionalFormatting sqref="AZ12:AZ13">
    <cfRule type="containsText" priority="9582" operator="containsText" dxfId="0" text="ICU N">
      <formula>NOT(ISERROR(SEARCH(("ICU N"),(AZ12))))</formula>
    </cfRule>
  </conditionalFormatting>
  <conditionalFormatting sqref="AZ12">
    <cfRule type="containsText" priority="9581" operator="containsText" dxfId="0" text="ICU N">
      <formula>NOT(ISERROR(SEARCH(("ICU N"),(AZ12))))</formula>
    </cfRule>
  </conditionalFormatting>
  <conditionalFormatting sqref="AR39">
    <cfRule type="containsText" priority="9579" operator="containsText" dxfId="17" text="VACATION">
      <formula>NOT(ISERROR(SEARCH(("VACATION"),(AR39))))</formula>
    </cfRule>
    <cfRule type="containsText" priority="9580" operator="containsText" dxfId="0" text="ICU N">
      <formula>NOT(ISERROR(SEARCH(("ICU N"),(AR39))))</formula>
    </cfRule>
  </conditionalFormatting>
  <conditionalFormatting sqref="AS39">
    <cfRule type="containsText" priority="9577" operator="containsText" dxfId="17" text="VACATION">
      <formula>NOT(ISERROR(SEARCH(("VACATION"),(AS39))))</formula>
    </cfRule>
    <cfRule type="containsText" priority="9578" operator="containsText" dxfId="0" text="ICU N">
      <formula>NOT(ISERROR(SEARCH(("ICU N"),(AS39))))</formula>
    </cfRule>
  </conditionalFormatting>
  <conditionalFormatting sqref="AS37">
    <cfRule type="containsText" priority="9573" operator="containsText" dxfId="17" text="VACATION">
      <formula>NOT(ISERROR(SEARCH(("VACATION"),(AS37))))</formula>
    </cfRule>
    <cfRule type="containsText" priority="9574" operator="containsText" dxfId="16" text="ED">
      <formula>NOT(ISERROR(SEARCH(("ED"),(AS37))))</formula>
    </cfRule>
    <cfRule type="containsText" priority="9575" operator="containsText" dxfId="15" text="GERIATRIC">
      <formula>NOT(ISERROR(SEARCH(("GERIATRIC"),(AS37))))</formula>
    </cfRule>
    <cfRule type="containsText" priority="9576" operator="containsText" dxfId="0" text="ICU N">
      <formula>NOT(ISERROR(SEARCH(("ICU N"),(AS37))))</formula>
    </cfRule>
    <cfRule type="containsText" priority="9558" operator="containsText" dxfId="7" text="PATH">
      <formula>NOT(ISERROR(SEARCH(("PATH"),(AS37))))</formula>
    </cfRule>
    <cfRule type="containsText" priority="9559" operator="containsText" dxfId="7" text="NEPHRO">
      <formula>NOT(ISERROR(SEARCH(("NEPHRO"),(AS37))))</formula>
    </cfRule>
    <cfRule type="containsText" priority="9560" operator="containsText" dxfId="7" text="PULM">
      <formula>NOT(ISERROR(SEARCH(("PULM"),(AS37))))</formula>
    </cfRule>
    <cfRule type="containsText" priority="9561" operator="containsText" dxfId="7" text="RADIOLOGY">
      <formula>NOT(ISERROR(SEARCH(("RADIOLOGY"),(AS37))))</formula>
    </cfRule>
    <cfRule type="containsText" priority="9562" operator="containsText" dxfId="7" text="HEM/ONC">
      <formula>NOT(ISERROR(SEARCH(("HEM/ONC"),(AS37))))</formula>
    </cfRule>
    <cfRule type="containsText" priority="9563" operator="containsText" dxfId="7" text="CARDIO">
      <formula>NOT(ISERROR(SEARCH(("CARDIO"),(AS37))))</formula>
    </cfRule>
    <cfRule type="containsText" priority="9564" operator="containsText" dxfId="7" text="ID">
      <formula>NOT(ISERROR(SEARCH(("ID"),(AS37))))</formula>
    </cfRule>
    <cfRule type="containsText" priority="9565" operator="containsText" dxfId="7" text="NEURO">
      <formula>NOT(ISERROR(SEARCH(("NEURO"),(AS37))))</formula>
    </cfRule>
    <cfRule type="containsText" priority="9566" operator="containsText" dxfId="6" text="NEURO">
      <formula>NOT(ISERROR(SEARCH(("NEURO"),(AS37))))</formula>
    </cfRule>
    <cfRule type="containsText" priority="9567" operator="containsText" dxfId="5" text="NEURO">
      <formula>NOT(ISERROR(SEARCH(("NEURO"),(AS37))))</formula>
    </cfRule>
    <cfRule type="containsText" priority="9568" operator="containsText" dxfId="0" text="ICU N">
      <formula>NOT(ISERROR(SEARCH(("ICU N"),(AS37))))</formula>
    </cfRule>
    <cfRule type="containsText" priority="9569" operator="containsText" dxfId="3" text="ICU">
      <formula>NOT(ISERROR(SEARCH(("ICU"),(AS37))))</formula>
    </cfRule>
    <cfRule type="containsText" priority="9570" operator="containsText" dxfId="0" text="SWING">
      <formula>NOT(ISERROR(SEARCH(("SWING"),(AS37))))</formula>
    </cfRule>
    <cfRule type="containsText" priority="9571" operator="containsText" dxfId="0" text="NF">
      <formula>NOT(ISERROR(SEARCH(("NF"),(AS37))))</formula>
    </cfRule>
    <cfRule type="containsText" priority="9572" operator="containsText" dxfId="0" text="ICU N">
      <formula>NOT(ISERROR(SEARCH(("ICU N"),(AS37))))</formula>
    </cfRule>
  </conditionalFormatting>
  <conditionalFormatting sqref="AS10">
    <cfRule type="containsText" priority="9541" operator="containsText" dxfId="17" text="VACATION">
      <formula>NOT(ISERROR(SEARCH(("VACATION"),(AS10))))</formula>
    </cfRule>
    <cfRule type="containsText" priority="9542" operator="containsText" dxfId="16" text="ED">
      <formula>NOT(ISERROR(SEARCH(("ED"),(AS10))))</formula>
    </cfRule>
    <cfRule type="containsText" priority="9543" operator="containsText" dxfId="15" text="GERIATRIC">
      <formula>NOT(ISERROR(SEARCH(("GERIATRIC"),(AS10))))</formula>
    </cfRule>
    <cfRule type="containsText" priority="9544" operator="containsText" dxfId="7" text="PATH">
      <formula>NOT(ISERROR(SEARCH(("PATH"),(AS10))))</formula>
    </cfRule>
    <cfRule type="containsText" priority="9545" operator="containsText" dxfId="7" text="NEPHRO">
      <formula>NOT(ISERROR(SEARCH(("NEPHRO"),(AS10))))</formula>
    </cfRule>
    <cfRule type="containsText" priority="9546" operator="containsText" dxfId="7" text="PULM">
      <formula>NOT(ISERROR(SEARCH(("PULM"),(AS10))))</formula>
    </cfRule>
    <cfRule type="containsText" priority="9547" operator="containsText" dxfId="7" text="RADIOLOGY">
      <formula>NOT(ISERROR(SEARCH(("RADIOLOGY"),(AS10))))</formula>
    </cfRule>
    <cfRule type="containsText" priority="9548" operator="containsText" dxfId="7" text="HEM/ONC">
      <formula>NOT(ISERROR(SEARCH(("HEM/ONC"),(AS10))))</formula>
    </cfRule>
    <cfRule type="containsText" priority="9549" operator="containsText" dxfId="7" text="CARDIO">
      <formula>NOT(ISERROR(SEARCH(("CARDIO"),(AS10))))</formula>
    </cfRule>
    <cfRule type="containsText" priority="9550" operator="containsText" dxfId="7" text="ID">
      <formula>NOT(ISERROR(SEARCH(("ID"),(AS10))))</formula>
    </cfRule>
    <cfRule type="containsText" priority="9551" operator="containsText" dxfId="7" text="NEURO">
      <formula>NOT(ISERROR(SEARCH(("NEURO"),(AS10))))</formula>
    </cfRule>
    <cfRule type="containsText" priority="9552" operator="containsText" dxfId="6" text="NEURO">
      <formula>NOT(ISERROR(SEARCH(("NEURO"),(AS10))))</formula>
    </cfRule>
    <cfRule type="containsText" priority="9553" operator="containsText" dxfId="5" text="NEURO">
      <formula>NOT(ISERROR(SEARCH(("NEURO"),(AS10))))</formula>
    </cfRule>
    <cfRule type="containsText" priority="9554" operator="containsText" dxfId="0" text="ICU N">
      <formula>NOT(ISERROR(SEARCH(("ICU N"),(AS10))))</formula>
    </cfRule>
    <cfRule type="containsText" priority="9555" operator="containsText" dxfId="3" text="ICU">
      <formula>NOT(ISERROR(SEARCH(("ICU"),(AS10))))</formula>
    </cfRule>
    <cfRule type="containsText" priority="9556" operator="containsText" dxfId="0" text="SWING">
      <formula>NOT(ISERROR(SEARCH(("SWING"),(AS10))))</formula>
    </cfRule>
    <cfRule type="containsText" priority="9557" operator="containsText" dxfId="0" text="NF">
      <formula>NOT(ISERROR(SEARCH(("NF"),(AS10))))</formula>
    </cfRule>
    <cfRule type="containsText" priority="9526" operator="containsText" dxfId="7" text="PATH">
      <formula>NOT(ISERROR(SEARCH(("PATH"),(AS10))))</formula>
    </cfRule>
    <cfRule type="containsText" priority="9527" operator="containsText" dxfId="7" text="NEPHRO">
      <formula>NOT(ISERROR(SEARCH(("NEPHRO"),(AS10))))</formula>
    </cfRule>
    <cfRule type="containsText" priority="9528" operator="containsText" dxfId="7" text="PULM">
      <formula>NOT(ISERROR(SEARCH(("PULM"),(AS10))))</formula>
    </cfRule>
    <cfRule type="containsText" priority="9529" operator="containsText" dxfId="7" text="RADIOLOGY">
      <formula>NOT(ISERROR(SEARCH(("RADIOLOGY"),(AS10))))</formula>
    </cfRule>
    <cfRule type="containsText" priority="9530" operator="containsText" dxfId="7" text="HEM/ONC">
      <formula>NOT(ISERROR(SEARCH(("HEM/ONC"),(AS10))))</formula>
    </cfRule>
    <cfRule type="containsText" priority="9531" operator="containsText" dxfId="7" text="CARDIO">
      <formula>NOT(ISERROR(SEARCH(("CARDIO"),(AS10))))</formula>
    </cfRule>
    <cfRule type="containsText" priority="9532" operator="containsText" dxfId="7" text="ID">
      <formula>NOT(ISERROR(SEARCH(("ID"),(AS10))))</formula>
    </cfRule>
    <cfRule type="containsText" priority="9533" operator="containsText" dxfId="7" text="NEURO">
      <formula>NOT(ISERROR(SEARCH(("NEURO"),(AS10))))</formula>
    </cfRule>
    <cfRule type="containsText" priority="9534" operator="containsText" dxfId="6" text="NEURO">
      <formula>NOT(ISERROR(SEARCH(("NEURO"),(AS10))))</formula>
    </cfRule>
    <cfRule type="containsText" priority="9535" operator="containsText" dxfId="5" text="NEURO">
      <formula>NOT(ISERROR(SEARCH(("NEURO"),(AS10))))</formula>
    </cfRule>
    <cfRule type="containsText" priority="9536" operator="containsText" dxfId="0" text="ICU N">
      <formula>NOT(ISERROR(SEARCH(("ICU N"),(AS10))))</formula>
    </cfRule>
    <cfRule type="containsText" priority="9537" operator="containsText" dxfId="3" text="ICU">
      <formula>NOT(ISERROR(SEARCH(("ICU"),(AS10))))</formula>
    </cfRule>
    <cfRule type="containsText" priority="9538" operator="containsText" dxfId="0" text="SWING">
      <formula>NOT(ISERROR(SEARCH(("SWING"),(AS10))))</formula>
    </cfRule>
    <cfRule type="containsText" priority="9539" operator="containsText" dxfId="0" text="NF">
      <formula>NOT(ISERROR(SEARCH(("NF"),(AS10))))</formula>
    </cfRule>
    <cfRule type="containsText" priority="9540" operator="containsText" dxfId="0" text="ICU N">
      <formula>NOT(ISERROR(SEARCH(("ICU N"),(AS10))))</formula>
    </cfRule>
  </conditionalFormatting>
  <conditionalFormatting sqref="AW19">
    <cfRule type="containsText" priority="9509" operator="containsText" dxfId="17" text="VACATION">
      <formula>NOT(ISERROR(SEARCH(("VACATION"),(AW19))))</formula>
    </cfRule>
    <cfRule type="containsText" priority="9510" operator="containsText" dxfId="16" text="ED">
      <formula>NOT(ISERROR(SEARCH(("ED"),(AW19))))</formula>
    </cfRule>
    <cfRule type="containsText" priority="9511" operator="containsText" dxfId="15" text="GERIATRIC">
      <formula>NOT(ISERROR(SEARCH(("GERIATRIC"),(AW19))))</formula>
    </cfRule>
    <cfRule type="containsText" priority="9512" operator="containsText" dxfId="7" text="PATH">
      <formula>NOT(ISERROR(SEARCH(("PATH"),(AW19))))</formula>
    </cfRule>
    <cfRule type="containsText" priority="9513" operator="containsText" dxfId="7" text="NEPHRO">
      <formula>NOT(ISERROR(SEARCH(("NEPHRO"),(AW19))))</formula>
    </cfRule>
    <cfRule type="containsText" priority="9514" operator="containsText" dxfId="7" text="PULM">
      <formula>NOT(ISERROR(SEARCH(("PULM"),(AW19))))</formula>
    </cfRule>
    <cfRule type="containsText" priority="9515" operator="containsText" dxfId="7" text="RADIOLOGY">
      <formula>NOT(ISERROR(SEARCH(("RADIOLOGY"),(AW19))))</formula>
    </cfRule>
    <cfRule type="containsText" priority="9516" operator="containsText" dxfId="7" text="HEM/ONC">
      <formula>NOT(ISERROR(SEARCH(("HEM/ONC"),(AW19))))</formula>
    </cfRule>
    <cfRule type="containsText" priority="9517" operator="containsText" dxfId="7" text="CARDIO">
      <formula>NOT(ISERROR(SEARCH(("CARDIO"),(AW19))))</formula>
    </cfRule>
    <cfRule type="containsText" priority="9518" operator="containsText" dxfId="7" text="ID">
      <formula>NOT(ISERROR(SEARCH(("ID"),(AW19))))</formula>
    </cfRule>
    <cfRule type="containsText" priority="9519" operator="containsText" dxfId="7" text="NEURO">
      <formula>NOT(ISERROR(SEARCH(("NEURO"),(AW19))))</formula>
    </cfRule>
    <cfRule type="containsText" priority="9520" operator="containsText" dxfId="6" text="NEURO">
      <formula>NOT(ISERROR(SEARCH(("NEURO"),(AW19))))</formula>
    </cfRule>
    <cfRule type="containsText" priority="9521" operator="containsText" dxfId="5" text="NEURO">
      <formula>NOT(ISERROR(SEARCH(("NEURO"),(AW19))))</formula>
    </cfRule>
    <cfRule type="containsText" priority="9522" operator="containsText" dxfId="0" text="ICU N">
      <formula>NOT(ISERROR(SEARCH(("ICU N"),(AW19))))</formula>
    </cfRule>
    <cfRule type="containsText" priority="9523" operator="containsText" dxfId="3" text="ICU">
      <formula>NOT(ISERROR(SEARCH(("ICU"),(AW19))))</formula>
    </cfRule>
    <cfRule type="containsText" priority="9524" operator="containsText" dxfId="0" text="SWING">
      <formula>NOT(ISERROR(SEARCH(("SWING"),(AW19))))</formula>
    </cfRule>
    <cfRule type="containsText" priority="9525" operator="containsText" dxfId="0" text="NF">
      <formula>NOT(ISERROR(SEARCH(("NF"),(AW19))))</formula>
    </cfRule>
  </conditionalFormatting>
  <conditionalFormatting sqref="AV19">
    <cfRule type="containsText" priority="9492" operator="containsText" dxfId="17" text="VACATION">
      <formula>NOT(ISERROR(SEARCH(("VACATION"),(AV19))))</formula>
    </cfRule>
    <cfRule type="containsText" priority="9493" operator="containsText" dxfId="16" text="ED">
      <formula>NOT(ISERROR(SEARCH(("ED"),(AV19))))</formula>
    </cfRule>
    <cfRule type="containsText" priority="9494" operator="containsText" dxfId="15" text="GERIATRIC">
      <formula>NOT(ISERROR(SEARCH(("GERIATRIC"),(AV19))))</formula>
    </cfRule>
    <cfRule type="containsText" priority="9495" operator="containsText" dxfId="7" text="PATH">
      <formula>NOT(ISERROR(SEARCH(("PATH"),(AV19))))</formula>
    </cfRule>
    <cfRule type="containsText" priority="9496" operator="containsText" dxfId="7" text="NEPHRO">
      <formula>NOT(ISERROR(SEARCH(("NEPHRO"),(AV19))))</formula>
    </cfRule>
    <cfRule type="containsText" priority="9497" operator="containsText" dxfId="7" text="PULM">
      <formula>NOT(ISERROR(SEARCH(("PULM"),(AV19))))</formula>
    </cfRule>
    <cfRule type="containsText" priority="9498" operator="containsText" dxfId="7" text="RADIOLOGY">
      <formula>NOT(ISERROR(SEARCH(("RADIOLOGY"),(AV19))))</formula>
    </cfRule>
    <cfRule type="containsText" priority="9499" operator="containsText" dxfId="7" text="HEM/ONC">
      <formula>NOT(ISERROR(SEARCH(("HEM/ONC"),(AV19))))</formula>
    </cfRule>
    <cfRule type="containsText" priority="9500" operator="containsText" dxfId="7" text="CARDIO">
      <formula>NOT(ISERROR(SEARCH(("CARDIO"),(AV19))))</formula>
    </cfRule>
    <cfRule type="containsText" priority="9501" operator="containsText" dxfId="7" text="ID">
      <formula>NOT(ISERROR(SEARCH(("ID"),(AV19))))</formula>
    </cfRule>
    <cfRule type="containsText" priority="9502" operator="containsText" dxfId="7" text="NEURO">
      <formula>NOT(ISERROR(SEARCH(("NEURO"),(AV19))))</formula>
    </cfRule>
    <cfRule type="containsText" priority="9503" operator="containsText" dxfId="6" text="NEURO">
      <formula>NOT(ISERROR(SEARCH(("NEURO"),(AV19))))</formula>
    </cfRule>
    <cfRule type="containsText" priority="9504" operator="containsText" dxfId="5" text="NEURO">
      <formula>NOT(ISERROR(SEARCH(("NEURO"),(AV19))))</formula>
    </cfRule>
    <cfRule type="containsText" priority="9505" operator="containsText" dxfId="0" text="ICU N">
      <formula>NOT(ISERROR(SEARCH(("ICU N"),(AV19))))</formula>
    </cfRule>
    <cfRule type="containsText" priority="9506" operator="containsText" dxfId="3" text="ICU">
      <formula>NOT(ISERROR(SEARCH(("ICU"),(AV19))))</formula>
    </cfRule>
    <cfRule type="containsText" priority="9507" operator="containsText" dxfId="0" text="SWING">
      <formula>NOT(ISERROR(SEARCH(("SWING"),(AV19))))</formula>
    </cfRule>
    <cfRule type="containsText" priority="9508" operator="containsText" dxfId="0" text="NF">
      <formula>NOT(ISERROR(SEARCH(("NF"),(AV19))))</formula>
    </cfRule>
  </conditionalFormatting>
  <conditionalFormatting sqref="Y9">
    <cfRule type="containsText" priority="9474" operator="containsText" dxfId="16" text="ED">
      <formula>NOT(ISERROR(SEARCH(("ED"),(Y9))))</formula>
    </cfRule>
    <cfRule type="containsText" priority="9475" operator="containsText" dxfId="15" text="GERIATRIC">
      <formula>NOT(ISERROR(SEARCH(("GERIATRIC"),(Y9))))</formula>
    </cfRule>
    <cfRule type="containsText" priority="9476" operator="containsText" dxfId="17" text="VACATION">
      <formula>NOT(ISERROR(SEARCH(("VACATION"),(Y9))))</formula>
    </cfRule>
    <cfRule type="containsText" priority="9477" operator="containsText" dxfId="7" text="PATH">
      <formula>NOT(ISERROR(SEARCH(("PATH"),(Y9))))</formula>
    </cfRule>
    <cfRule type="containsText" priority="9478" operator="containsText" dxfId="7" text="NEPHRO">
      <formula>NOT(ISERROR(SEARCH(("NEPHRO"),(Y9))))</formula>
    </cfRule>
    <cfRule type="containsText" priority="9479" operator="containsText" dxfId="7" text="PULM">
      <formula>NOT(ISERROR(SEARCH(("PULM"),(Y9))))</formula>
    </cfRule>
    <cfRule type="containsText" priority="9480" operator="containsText" dxfId="7" text="RADIOLOGY">
      <formula>NOT(ISERROR(SEARCH(("RADIOLOGY"),(Y9))))</formula>
    </cfRule>
    <cfRule type="containsText" priority="9481" operator="containsText" dxfId="7" text="HEM/ONC">
      <formula>NOT(ISERROR(SEARCH(("HEM/ONC"),(Y9))))</formula>
    </cfRule>
    <cfRule type="containsText" priority="9482" operator="containsText" dxfId="7" text="CARDIO">
      <formula>NOT(ISERROR(SEARCH(("CARDIO"),(Y9))))</formula>
    </cfRule>
    <cfRule type="containsText" priority="9483" operator="containsText" dxfId="7" text="ID">
      <formula>NOT(ISERROR(SEARCH(("ID"),(Y9))))</formula>
    </cfRule>
    <cfRule type="containsText" priority="9484" operator="containsText" dxfId="7" text="NEURO">
      <formula>NOT(ISERROR(SEARCH(("NEURO"),(Y9))))</formula>
    </cfRule>
    <cfRule type="containsText" priority="9485" operator="containsText" dxfId="6" text="NEURO">
      <formula>NOT(ISERROR(SEARCH(("NEURO"),(Y9))))</formula>
    </cfRule>
    <cfRule type="containsText" priority="9486" operator="containsText" dxfId="5" text="NEURO">
      <formula>NOT(ISERROR(SEARCH(("NEURO"),(Y9))))</formula>
    </cfRule>
    <cfRule type="containsText" priority="9487" operator="containsText" dxfId="0" text="ICU N">
      <formula>NOT(ISERROR(SEARCH(("ICU N"),(Y9))))</formula>
    </cfRule>
    <cfRule type="containsText" priority="9488" operator="containsText" dxfId="3" text="ICU">
      <formula>NOT(ISERROR(SEARCH(("ICU"),(Y9))))</formula>
    </cfRule>
    <cfRule type="containsText" priority="9489" operator="containsText" dxfId="0" text="SWING">
      <formula>NOT(ISERROR(SEARCH(("SWING"),(Y9))))</formula>
    </cfRule>
    <cfRule type="containsText" priority="9490" operator="containsText" dxfId="0" text="NF">
      <formula>NOT(ISERROR(SEARCH(("NF"),(Y9))))</formula>
    </cfRule>
    <cfRule type="containsText" priority="9491" operator="containsText" dxfId="0" text="ICU N">
      <formula>NOT(ISERROR(SEARCH(("ICU N"),(Y9))))</formula>
    </cfRule>
    <cfRule type="containsText" priority="9456" operator="containsText" dxfId="16" text="ED">
      <formula>NOT(ISERROR(SEARCH(("ED"),(Y9))))</formula>
    </cfRule>
    <cfRule type="containsText" priority="9457" operator="containsText" dxfId="15" text="GERIATRIC">
      <formula>NOT(ISERROR(SEARCH(("GERIATRIC"),(Y9))))</formula>
    </cfRule>
    <cfRule type="containsText" priority="9458" operator="containsText" dxfId="17" text="VACATION">
      <formula>NOT(ISERROR(SEARCH(("VACATION"),(Y9))))</formula>
    </cfRule>
    <cfRule type="containsText" priority="9459" operator="containsText" dxfId="7" text="PATH">
      <formula>NOT(ISERROR(SEARCH(("PATH"),(Y9))))</formula>
    </cfRule>
    <cfRule type="containsText" priority="9460" operator="containsText" dxfId="7" text="NEPHRO">
      <formula>NOT(ISERROR(SEARCH(("NEPHRO"),(Y9))))</formula>
    </cfRule>
    <cfRule type="containsText" priority="9461" operator="containsText" dxfId="7" text="PULM">
      <formula>NOT(ISERROR(SEARCH(("PULM"),(Y9))))</formula>
    </cfRule>
    <cfRule type="containsText" priority="9462" operator="containsText" dxfId="7" text="RADIOLOGY">
      <formula>NOT(ISERROR(SEARCH(("RADIOLOGY"),(Y9))))</formula>
    </cfRule>
    <cfRule type="containsText" priority="9463" operator="containsText" dxfId="7" text="HEM/ONC">
      <formula>NOT(ISERROR(SEARCH(("HEM/ONC"),(Y9))))</formula>
    </cfRule>
    <cfRule type="containsText" priority="9464" operator="containsText" dxfId="7" text="CARDIO">
      <formula>NOT(ISERROR(SEARCH(("CARDIO"),(Y9))))</formula>
    </cfRule>
    <cfRule type="containsText" priority="9465" operator="containsText" dxfId="7" text="ID">
      <formula>NOT(ISERROR(SEARCH(("ID"),(Y9))))</formula>
    </cfRule>
    <cfRule type="containsText" priority="9466" operator="containsText" dxfId="7" text="NEURO">
      <formula>NOT(ISERROR(SEARCH(("NEURO"),(Y9))))</formula>
    </cfRule>
    <cfRule type="containsText" priority="9467" operator="containsText" dxfId="6" text="NEURO">
      <formula>NOT(ISERROR(SEARCH(("NEURO"),(Y9))))</formula>
    </cfRule>
    <cfRule type="containsText" priority="9468" operator="containsText" dxfId="5" text="NEURO">
      <formula>NOT(ISERROR(SEARCH(("NEURO"),(Y9))))</formula>
    </cfRule>
    <cfRule type="containsText" priority="9469" operator="containsText" dxfId="0" text="ICU N">
      <formula>NOT(ISERROR(SEARCH(("ICU N"),(Y9))))</formula>
    </cfRule>
    <cfRule type="containsText" priority="9470" operator="containsText" dxfId="3" text="ICU">
      <formula>NOT(ISERROR(SEARCH(("ICU"),(Y9))))</formula>
    </cfRule>
    <cfRule type="containsText" priority="9471" operator="containsText" dxfId="0" text="SWING">
      <formula>NOT(ISERROR(SEARCH(("SWING"),(Y9))))</formula>
    </cfRule>
    <cfRule type="containsText" priority="9472" operator="containsText" dxfId="0" text="NF">
      <formula>NOT(ISERROR(SEARCH(("NF"),(Y9))))</formula>
    </cfRule>
    <cfRule type="containsText" priority="9473" operator="containsText" dxfId="0" text="ICU N">
      <formula>NOT(ISERROR(SEARCH(("ICU N"),(Y9))))</formula>
    </cfRule>
  </conditionalFormatting>
  <conditionalFormatting sqref="AH9">
    <cfRule type="containsText" priority="9402" operator="containsText" dxfId="16" text="ED">
      <formula>NOT(ISERROR(SEARCH(("ED"),(AH9))))</formula>
    </cfRule>
    <cfRule type="containsText" priority="9403" operator="containsText" dxfId="15" text="GERIATRIC">
      <formula>NOT(ISERROR(SEARCH(("GERIATRIC"),(AH9))))</formula>
    </cfRule>
    <cfRule type="containsText" priority="9404" operator="containsText" dxfId="17" text="VACATION">
      <formula>NOT(ISERROR(SEARCH(("VACATION"),(AH9))))</formula>
    </cfRule>
    <cfRule type="containsText" priority="9405" operator="containsText" dxfId="7" text="PATH">
      <formula>NOT(ISERROR(SEARCH(("PATH"),(AH9))))</formula>
    </cfRule>
    <cfRule type="containsText" priority="9406" operator="containsText" dxfId="7" text="NEPHRO">
      <formula>NOT(ISERROR(SEARCH(("NEPHRO"),(AH9))))</formula>
    </cfRule>
    <cfRule type="containsText" priority="9407" operator="containsText" dxfId="7" text="PULM">
      <formula>NOT(ISERROR(SEARCH(("PULM"),(AH9))))</formula>
    </cfRule>
    <cfRule type="containsText" priority="9408" operator="containsText" dxfId="7" text="RADIOLOGY">
      <formula>NOT(ISERROR(SEARCH(("RADIOLOGY"),(AH9))))</formula>
    </cfRule>
    <cfRule type="containsText" priority="9409" operator="containsText" dxfId="7" text="HEM/ONC">
      <formula>NOT(ISERROR(SEARCH(("HEM/ONC"),(AH9))))</formula>
    </cfRule>
    <cfRule type="containsText" priority="9410" operator="containsText" dxfId="7" text="CARDIO">
      <formula>NOT(ISERROR(SEARCH(("CARDIO"),(AH9))))</formula>
    </cfRule>
    <cfRule type="containsText" priority="9411" operator="containsText" dxfId="7" text="ID">
      <formula>NOT(ISERROR(SEARCH(("ID"),(AH9))))</formula>
    </cfRule>
    <cfRule type="containsText" priority="9412" operator="containsText" dxfId="7" text="NEURO">
      <formula>NOT(ISERROR(SEARCH(("NEURO"),(AH9))))</formula>
    </cfRule>
    <cfRule type="containsText" priority="9413" operator="containsText" dxfId="6" text="NEURO">
      <formula>NOT(ISERROR(SEARCH(("NEURO"),(AH9))))</formula>
    </cfRule>
    <cfRule type="containsText" priority="9414" operator="containsText" dxfId="5" text="NEURO">
      <formula>NOT(ISERROR(SEARCH(("NEURO"),(AH9))))</formula>
    </cfRule>
    <cfRule type="containsText" priority="9415" operator="containsText" dxfId="0" text="ICU N">
      <formula>NOT(ISERROR(SEARCH(("ICU N"),(AH9))))</formula>
    </cfRule>
    <cfRule type="containsText" priority="9416" operator="containsText" dxfId="3" text="ICU">
      <formula>NOT(ISERROR(SEARCH(("ICU"),(AH9))))</formula>
    </cfRule>
    <cfRule type="containsText" priority="9417" operator="containsText" dxfId="0" text="SWING">
      <formula>NOT(ISERROR(SEARCH(("SWING"),(AH9))))</formula>
    </cfRule>
    <cfRule type="containsText" priority="9418" operator="containsText" dxfId="0" text="NF">
      <formula>NOT(ISERROR(SEARCH(("NF"),(AH9))))</formula>
    </cfRule>
    <cfRule type="containsText" priority="9419" operator="containsText" dxfId="0" text="ICU N">
      <formula>NOT(ISERROR(SEARCH(("ICU N"),(AH9))))</formula>
    </cfRule>
    <cfRule type="containsText" priority="9384" operator="containsText" dxfId="16" text="ED">
      <formula>NOT(ISERROR(SEARCH(("ED"),(AH9))))</formula>
    </cfRule>
    <cfRule type="containsText" priority="9385" operator="containsText" dxfId="15" text="GERIATRIC">
      <formula>NOT(ISERROR(SEARCH(("GERIATRIC"),(AH9))))</formula>
    </cfRule>
    <cfRule type="containsText" priority="9386" operator="containsText" dxfId="17" text="VACATION">
      <formula>NOT(ISERROR(SEARCH(("VACATION"),(AH9))))</formula>
    </cfRule>
    <cfRule type="containsText" priority="9387" operator="containsText" dxfId="7" text="PATH">
      <formula>NOT(ISERROR(SEARCH(("PATH"),(AH9))))</formula>
    </cfRule>
    <cfRule type="containsText" priority="9388" operator="containsText" dxfId="7" text="NEPHRO">
      <formula>NOT(ISERROR(SEARCH(("NEPHRO"),(AH9))))</formula>
    </cfRule>
    <cfRule type="containsText" priority="9389" operator="containsText" dxfId="7" text="PULM">
      <formula>NOT(ISERROR(SEARCH(("PULM"),(AH9))))</formula>
    </cfRule>
    <cfRule type="containsText" priority="9390" operator="containsText" dxfId="7" text="RADIOLOGY">
      <formula>NOT(ISERROR(SEARCH(("RADIOLOGY"),(AH9))))</formula>
    </cfRule>
    <cfRule type="containsText" priority="9391" operator="containsText" dxfId="7" text="HEM/ONC">
      <formula>NOT(ISERROR(SEARCH(("HEM/ONC"),(AH9))))</formula>
    </cfRule>
    <cfRule type="containsText" priority="9392" operator="containsText" dxfId="7" text="CARDIO">
      <formula>NOT(ISERROR(SEARCH(("CARDIO"),(AH9))))</formula>
    </cfRule>
    <cfRule type="containsText" priority="9393" operator="containsText" dxfId="7" text="ID">
      <formula>NOT(ISERROR(SEARCH(("ID"),(AH9))))</formula>
    </cfRule>
    <cfRule type="containsText" priority="9394" operator="containsText" dxfId="7" text="NEURO">
      <formula>NOT(ISERROR(SEARCH(("NEURO"),(AH9))))</formula>
    </cfRule>
    <cfRule type="containsText" priority="9395" operator="containsText" dxfId="6" text="NEURO">
      <formula>NOT(ISERROR(SEARCH(("NEURO"),(AH9))))</formula>
    </cfRule>
    <cfRule type="containsText" priority="9396" operator="containsText" dxfId="5" text="NEURO">
      <formula>NOT(ISERROR(SEARCH(("NEURO"),(AH9))))</formula>
    </cfRule>
    <cfRule type="containsText" priority="9397" operator="containsText" dxfId="0" text="ICU N">
      <formula>NOT(ISERROR(SEARCH(("ICU N"),(AH9))))</formula>
    </cfRule>
    <cfRule type="containsText" priority="9398" operator="containsText" dxfId="3" text="ICU">
      <formula>NOT(ISERROR(SEARCH(("ICU"),(AH9))))</formula>
    </cfRule>
    <cfRule type="containsText" priority="9399" operator="containsText" dxfId="0" text="SWING">
      <formula>NOT(ISERROR(SEARCH(("SWING"),(AH9))))</formula>
    </cfRule>
    <cfRule type="containsText" priority="9400" operator="containsText" dxfId="0" text="NF">
      <formula>NOT(ISERROR(SEARCH(("NF"),(AH9))))</formula>
    </cfRule>
    <cfRule type="containsText" priority="9401" operator="containsText" dxfId="0" text="ICU N">
      <formula>NOT(ISERROR(SEARCH(("ICU N"),(AH9))))</formula>
    </cfRule>
  </conditionalFormatting>
  <conditionalFormatting sqref="AQ18:AR18">
    <cfRule type="containsText" priority="9294" operator="containsText" dxfId="16" text="ED">
      <formula>NOT(ISERROR(SEARCH(("ED"),(AQ18))))</formula>
    </cfRule>
    <cfRule type="containsText" priority="9295" operator="containsText" dxfId="15" text="GERIATRIC">
      <formula>NOT(ISERROR(SEARCH(("GERIATRIC"),(AQ18))))</formula>
    </cfRule>
    <cfRule type="containsText" priority="9296" operator="containsText" dxfId="17" text="VACATION">
      <formula>NOT(ISERROR(SEARCH(("VACATION"),(AQ18))))</formula>
    </cfRule>
    <cfRule type="containsText" priority="9297" operator="containsText" dxfId="7" text="PATH">
      <formula>NOT(ISERROR(SEARCH(("PATH"),(AQ18))))</formula>
    </cfRule>
    <cfRule type="containsText" priority="9298" operator="containsText" dxfId="7" text="NEPHRO">
      <formula>NOT(ISERROR(SEARCH(("NEPHRO"),(AQ18))))</formula>
    </cfRule>
    <cfRule type="containsText" priority="9299" operator="containsText" dxfId="7" text="PULM">
      <formula>NOT(ISERROR(SEARCH(("PULM"),(AQ18))))</formula>
    </cfRule>
    <cfRule type="containsText" priority="9300" operator="containsText" dxfId="7" text="RADIOLOGY">
      <formula>NOT(ISERROR(SEARCH(("RADIOLOGY"),(AQ18))))</formula>
    </cfRule>
    <cfRule type="containsText" priority="9301" operator="containsText" dxfId="7" text="HEM/ONC">
      <formula>NOT(ISERROR(SEARCH(("HEM/ONC"),(AQ18))))</formula>
    </cfRule>
    <cfRule type="containsText" priority="9302" operator="containsText" dxfId="7" text="CARDIO">
      <formula>NOT(ISERROR(SEARCH(("CARDIO"),(AQ18))))</formula>
    </cfRule>
    <cfRule type="containsText" priority="9303" operator="containsText" dxfId="7" text="ID">
      <formula>NOT(ISERROR(SEARCH(("ID"),(AQ18))))</formula>
    </cfRule>
    <cfRule type="containsText" priority="9304" operator="containsText" dxfId="7" text="NEURO">
      <formula>NOT(ISERROR(SEARCH(("NEURO"),(AQ18))))</formula>
    </cfRule>
    <cfRule type="containsText" priority="9305" operator="containsText" dxfId="6" text="NEURO">
      <formula>NOT(ISERROR(SEARCH(("NEURO"),(AQ18))))</formula>
    </cfRule>
    <cfRule type="containsText" priority="9306" operator="containsText" dxfId="5" text="NEURO">
      <formula>NOT(ISERROR(SEARCH(("NEURO"),(AQ18))))</formula>
    </cfRule>
    <cfRule type="containsText" priority="9307" operator="containsText" dxfId="0" text="ICU N">
      <formula>NOT(ISERROR(SEARCH(("ICU N"),(AQ18))))</formula>
    </cfRule>
    <cfRule type="containsText" priority="9308" operator="containsText" dxfId="3" text="ICU">
      <formula>NOT(ISERROR(SEARCH(("ICU"),(AQ18))))</formula>
    </cfRule>
    <cfRule type="containsText" priority="9309" operator="containsText" dxfId="0" text="SWING">
      <formula>NOT(ISERROR(SEARCH(("SWING"),(AQ18))))</formula>
    </cfRule>
    <cfRule type="containsText" priority="9310" operator="containsText" dxfId="0" text="NF">
      <formula>NOT(ISERROR(SEARCH(("NF"),(AQ18))))</formula>
    </cfRule>
    <cfRule type="containsText" priority="9311" operator="containsText" dxfId="0" text="ICU N">
      <formula>NOT(ISERROR(SEARCH(("ICU N"),(AQ18))))</formula>
    </cfRule>
    <cfRule type="containsText" priority="9276" operator="containsText" dxfId="16" text="ED">
      <formula>NOT(ISERROR(SEARCH(("ED"),(AQ18))))</formula>
    </cfRule>
    <cfRule type="containsText" priority="9277" operator="containsText" dxfId="15" text="GERIATRIC">
      <formula>NOT(ISERROR(SEARCH(("GERIATRIC"),(AQ18))))</formula>
    </cfRule>
    <cfRule type="containsText" priority="9278" operator="containsText" dxfId="17" text="VACATION">
      <formula>NOT(ISERROR(SEARCH(("VACATION"),(AQ18))))</formula>
    </cfRule>
    <cfRule type="containsText" priority="9279" operator="containsText" dxfId="7" text="PATH">
      <formula>NOT(ISERROR(SEARCH(("PATH"),(AQ18))))</formula>
    </cfRule>
    <cfRule type="containsText" priority="9280" operator="containsText" dxfId="7" text="NEPHRO">
      <formula>NOT(ISERROR(SEARCH(("NEPHRO"),(AQ18))))</formula>
    </cfRule>
    <cfRule type="containsText" priority="9281" operator="containsText" dxfId="7" text="PULM">
      <formula>NOT(ISERROR(SEARCH(("PULM"),(AQ18))))</formula>
    </cfRule>
    <cfRule type="containsText" priority="9282" operator="containsText" dxfId="7" text="RADIOLOGY">
      <formula>NOT(ISERROR(SEARCH(("RADIOLOGY"),(AQ18))))</formula>
    </cfRule>
    <cfRule type="containsText" priority="9283" operator="containsText" dxfId="7" text="HEM/ONC">
      <formula>NOT(ISERROR(SEARCH(("HEM/ONC"),(AQ18))))</formula>
    </cfRule>
    <cfRule type="containsText" priority="9284" operator="containsText" dxfId="7" text="CARDIO">
      <formula>NOT(ISERROR(SEARCH(("CARDIO"),(AQ18))))</formula>
    </cfRule>
    <cfRule type="containsText" priority="9285" operator="containsText" dxfId="7" text="ID">
      <formula>NOT(ISERROR(SEARCH(("ID"),(AQ18))))</formula>
    </cfRule>
    <cfRule type="containsText" priority="9286" operator="containsText" dxfId="7" text="NEURO">
      <formula>NOT(ISERROR(SEARCH(("NEURO"),(AQ18))))</formula>
    </cfRule>
    <cfRule type="containsText" priority="9287" operator="containsText" dxfId="6" text="NEURO">
      <formula>NOT(ISERROR(SEARCH(("NEURO"),(AQ18))))</formula>
    </cfRule>
    <cfRule type="containsText" priority="9288" operator="containsText" dxfId="5" text="NEURO">
      <formula>NOT(ISERROR(SEARCH(("NEURO"),(AQ18))))</formula>
    </cfRule>
    <cfRule type="containsText" priority="9289" operator="containsText" dxfId="0" text="ICU N">
      <formula>NOT(ISERROR(SEARCH(("ICU N"),(AQ18))))</formula>
    </cfRule>
    <cfRule type="containsText" priority="9290" operator="containsText" dxfId="3" text="ICU">
      <formula>NOT(ISERROR(SEARCH(("ICU"),(AQ18))))</formula>
    </cfRule>
    <cfRule type="containsText" priority="9291" operator="containsText" dxfId="0" text="SWING">
      <formula>NOT(ISERROR(SEARCH(("SWING"),(AQ18))))</formula>
    </cfRule>
    <cfRule type="containsText" priority="9292" operator="containsText" dxfId="0" text="NF">
      <formula>NOT(ISERROR(SEARCH(("NF"),(AQ18))))</formula>
    </cfRule>
    <cfRule type="containsText" priority="9293" operator="containsText" dxfId="0" text="ICU N">
      <formula>NOT(ISERROR(SEARCH(("ICU N"),(AQ18))))</formula>
    </cfRule>
  </conditionalFormatting>
  <conditionalFormatting sqref="BA19">
    <cfRule type="containsText" priority="9222" operator="containsText" dxfId="16" text="ED">
      <formula>NOT(ISERROR(SEARCH(("ED"),(BA19))))</formula>
    </cfRule>
    <cfRule type="containsText" priority="9223" operator="containsText" dxfId="15" text="GERIATRIC">
      <formula>NOT(ISERROR(SEARCH(("GERIATRIC"),(BA19))))</formula>
    </cfRule>
    <cfRule type="containsText" priority="9224" operator="containsText" dxfId="17" text="VACATION">
      <formula>NOT(ISERROR(SEARCH(("VACATION"),(BA19))))</formula>
    </cfRule>
    <cfRule type="containsText" priority="9225" operator="containsText" dxfId="7" text="PATH">
      <formula>NOT(ISERROR(SEARCH(("PATH"),(BA19))))</formula>
    </cfRule>
    <cfRule type="containsText" priority="9226" operator="containsText" dxfId="7" text="NEPHRO">
      <formula>NOT(ISERROR(SEARCH(("NEPHRO"),(BA19))))</formula>
    </cfRule>
    <cfRule type="containsText" priority="9227" operator="containsText" dxfId="7" text="PULM">
      <formula>NOT(ISERROR(SEARCH(("PULM"),(BA19))))</formula>
    </cfRule>
    <cfRule type="containsText" priority="9228" operator="containsText" dxfId="7" text="RADIOLOGY">
      <formula>NOT(ISERROR(SEARCH(("RADIOLOGY"),(BA19))))</formula>
    </cfRule>
    <cfRule type="containsText" priority="9229" operator="containsText" dxfId="7" text="HEM/ONC">
      <formula>NOT(ISERROR(SEARCH(("HEM/ONC"),(BA19))))</formula>
    </cfRule>
    <cfRule type="containsText" priority="9230" operator="containsText" dxfId="7" text="CARDIO">
      <formula>NOT(ISERROR(SEARCH(("CARDIO"),(BA19))))</formula>
    </cfRule>
    <cfRule type="containsText" priority="9231" operator="containsText" dxfId="7" text="ID">
      <formula>NOT(ISERROR(SEARCH(("ID"),(BA19))))</formula>
    </cfRule>
    <cfRule type="containsText" priority="9232" operator="containsText" dxfId="7" text="NEURO">
      <formula>NOT(ISERROR(SEARCH(("NEURO"),(BA19))))</formula>
    </cfRule>
    <cfRule type="containsText" priority="9233" operator="containsText" dxfId="6" text="NEURO">
      <formula>NOT(ISERROR(SEARCH(("NEURO"),(BA19))))</formula>
    </cfRule>
    <cfRule type="containsText" priority="9234" operator="containsText" dxfId="5" text="NEURO">
      <formula>NOT(ISERROR(SEARCH(("NEURO"),(BA19))))</formula>
    </cfRule>
    <cfRule type="containsText" priority="9235" operator="containsText" dxfId="0" text="ICU N">
      <formula>NOT(ISERROR(SEARCH(("ICU N"),(BA19))))</formula>
    </cfRule>
    <cfRule type="containsText" priority="9236" operator="containsText" dxfId="3" text="ICU">
      <formula>NOT(ISERROR(SEARCH(("ICU"),(BA19))))</formula>
    </cfRule>
    <cfRule type="containsText" priority="9237" operator="containsText" dxfId="0" text="SWING">
      <formula>NOT(ISERROR(SEARCH(("SWING"),(BA19))))</formula>
    </cfRule>
    <cfRule type="containsText" priority="9238" operator="containsText" dxfId="0" text="NF">
      <formula>NOT(ISERROR(SEARCH(("NF"),(BA19))))</formula>
    </cfRule>
    <cfRule type="containsText" priority="9239" operator="containsText" dxfId="0" text="ICU N">
      <formula>NOT(ISERROR(SEARCH(("ICU N"),(BA19))))</formula>
    </cfRule>
    <cfRule type="containsText" priority="9204" operator="containsText" dxfId="16" text="ED">
      <formula>NOT(ISERROR(SEARCH(("ED"),(BA19))))</formula>
    </cfRule>
    <cfRule type="containsText" priority="9205" operator="containsText" dxfId="15" text="GERIATRIC">
      <formula>NOT(ISERROR(SEARCH(("GERIATRIC"),(BA19))))</formula>
    </cfRule>
    <cfRule type="containsText" priority="9206" operator="containsText" dxfId="17" text="VACATION">
      <formula>NOT(ISERROR(SEARCH(("VACATION"),(BA19))))</formula>
    </cfRule>
    <cfRule type="containsText" priority="9207" operator="containsText" dxfId="7" text="PATH">
      <formula>NOT(ISERROR(SEARCH(("PATH"),(BA19))))</formula>
    </cfRule>
    <cfRule type="containsText" priority="9208" operator="containsText" dxfId="7" text="NEPHRO">
      <formula>NOT(ISERROR(SEARCH(("NEPHRO"),(BA19))))</formula>
    </cfRule>
    <cfRule type="containsText" priority="9209" operator="containsText" dxfId="7" text="PULM">
      <formula>NOT(ISERROR(SEARCH(("PULM"),(BA19))))</formula>
    </cfRule>
    <cfRule type="containsText" priority="9210" operator="containsText" dxfId="7" text="RADIOLOGY">
      <formula>NOT(ISERROR(SEARCH(("RADIOLOGY"),(BA19))))</formula>
    </cfRule>
    <cfRule type="containsText" priority="9211" operator="containsText" dxfId="7" text="HEM/ONC">
      <formula>NOT(ISERROR(SEARCH(("HEM/ONC"),(BA19))))</formula>
    </cfRule>
    <cfRule type="containsText" priority="9212" operator="containsText" dxfId="7" text="CARDIO">
      <formula>NOT(ISERROR(SEARCH(("CARDIO"),(BA19))))</formula>
    </cfRule>
    <cfRule type="containsText" priority="9213" operator="containsText" dxfId="7" text="ID">
      <formula>NOT(ISERROR(SEARCH(("ID"),(BA19))))</formula>
    </cfRule>
    <cfRule type="containsText" priority="9214" operator="containsText" dxfId="7" text="NEURO">
      <formula>NOT(ISERROR(SEARCH(("NEURO"),(BA19))))</formula>
    </cfRule>
    <cfRule type="containsText" priority="9215" operator="containsText" dxfId="6" text="NEURO">
      <formula>NOT(ISERROR(SEARCH(("NEURO"),(BA19))))</formula>
    </cfRule>
    <cfRule type="containsText" priority="9216" operator="containsText" dxfId="5" text="NEURO">
      <formula>NOT(ISERROR(SEARCH(("NEURO"),(BA19))))</formula>
    </cfRule>
    <cfRule type="containsText" priority="9217" operator="containsText" dxfId="0" text="ICU N">
      <formula>NOT(ISERROR(SEARCH(("ICU N"),(BA19))))</formula>
    </cfRule>
    <cfRule type="containsText" priority="9218" operator="containsText" dxfId="3" text="ICU">
      <formula>NOT(ISERROR(SEARCH(("ICU"),(BA19))))</formula>
    </cfRule>
    <cfRule type="containsText" priority="9219" operator="containsText" dxfId="0" text="SWING">
      <formula>NOT(ISERROR(SEARCH(("SWING"),(BA19))))</formula>
    </cfRule>
    <cfRule type="containsText" priority="9220" operator="containsText" dxfId="0" text="NF">
      <formula>NOT(ISERROR(SEARCH(("NF"),(BA19))))</formula>
    </cfRule>
    <cfRule type="containsText" priority="9221" operator="containsText" dxfId="0" text="ICU N">
      <formula>NOT(ISERROR(SEARCH(("ICU N"),(BA19))))</formula>
    </cfRule>
  </conditionalFormatting>
  <conditionalFormatting sqref="BB19">
    <cfRule type="containsText" priority="9186" operator="containsText" dxfId="16" text="ED">
      <formula>NOT(ISERROR(SEARCH(("ED"),(BB19))))</formula>
    </cfRule>
    <cfRule type="containsText" priority="9187" operator="containsText" dxfId="15" text="GERIATRIC">
      <formula>NOT(ISERROR(SEARCH(("GERIATRIC"),(BB19))))</formula>
    </cfRule>
    <cfRule type="containsText" priority="9188" operator="containsText" dxfId="17" text="VACATION">
      <formula>NOT(ISERROR(SEARCH(("VACATION"),(BB19))))</formula>
    </cfRule>
    <cfRule type="containsText" priority="9189" operator="containsText" dxfId="7" text="PATH">
      <formula>NOT(ISERROR(SEARCH(("PATH"),(BB19))))</formula>
    </cfRule>
    <cfRule type="containsText" priority="9190" operator="containsText" dxfId="7" text="NEPHRO">
      <formula>NOT(ISERROR(SEARCH(("NEPHRO"),(BB19))))</formula>
    </cfRule>
    <cfRule type="containsText" priority="9191" operator="containsText" dxfId="7" text="PULM">
      <formula>NOT(ISERROR(SEARCH(("PULM"),(BB19))))</formula>
    </cfRule>
    <cfRule type="containsText" priority="9192" operator="containsText" dxfId="7" text="RADIOLOGY">
      <formula>NOT(ISERROR(SEARCH(("RADIOLOGY"),(BB19))))</formula>
    </cfRule>
    <cfRule type="containsText" priority="9193" operator="containsText" dxfId="7" text="HEM/ONC">
      <formula>NOT(ISERROR(SEARCH(("HEM/ONC"),(BB19))))</formula>
    </cfRule>
    <cfRule type="containsText" priority="9194" operator="containsText" dxfId="7" text="CARDIO">
      <formula>NOT(ISERROR(SEARCH(("CARDIO"),(BB19))))</formula>
    </cfRule>
    <cfRule type="containsText" priority="9195" operator="containsText" dxfId="7" text="ID">
      <formula>NOT(ISERROR(SEARCH(("ID"),(BB19))))</formula>
    </cfRule>
    <cfRule type="containsText" priority="9196" operator="containsText" dxfId="7" text="NEURO">
      <formula>NOT(ISERROR(SEARCH(("NEURO"),(BB19))))</formula>
    </cfRule>
    <cfRule type="containsText" priority="9197" operator="containsText" dxfId="6" text="NEURO">
      <formula>NOT(ISERROR(SEARCH(("NEURO"),(BB19))))</formula>
    </cfRule>
    <cfRule type="containsText" priority="9198" operator="containsText" dxfId="5" text="NEURO">
      <formula>NOT(ISERROR(SEARCH(("NEURO"),(BB19))))</formula>
    </cfRule>
    <cfRule type="containsText" priority="9199" operator="containsText" dxfId="0" text="ICU N">
      <formula>NOT(ISERROR(SEARCH(("ICU N"),(BB19))))</formula>
    </cfRule>
    <cfRule type="containsText" priority="9200" operator="containsText" dxfId="3" text="ICU">
      <formula>NOT(ISERROR(SEARCH(("ICU"),(BB19))))</formula>
    </cfRule>
    <cfRule type="containsText" priority="9201" operator="containsText" dxfId="0" text="SWING">
      <formula>NOT(ISERROR(SEARCH(("SWING"),(BB19))))</formula>
    </cfRule>
    <cfRule type="containsText" priority="9202" operator="containsText" dxfId="0" text="NF">
      <formula>NOT(ISERROR(SEARCH(("NF"),(BB19))))</formula>
    </cfRule>
    <cfRule type="containsText" priority="9203" operator="containsText" dxfId="0" text="ICU N">
      <formula>NOT(ISERROR(SEARCH(("ICU N"),(BB19))))</formula>
    </cfRule>
    <cfRule type="containsText" priority="9168" operator="containsText" dxfId="16" text="ED">
      <formula>NOT(ISERROR(SEARCH(("ED"),(BB19))))</formula>
    </cfRule>
    <cfRule type="containsText" priority="9169" operator="containsText" dxfId="15" text="GERIATRIC">
      <formula>NOT(ISERROR(SEARCH(("GERIATRIC"),(BB19))))</formula>
    </cfRule>
    <cfRule type="containsText" priority="9170" operator="containsText" dxfId="17" text="VACATION">
      <formula>NOT(ISERROR(SEARCH(("VACATION"),(BB19))))</formula>
    </cfRule>
    <cfRule type="containsText" priority="9171" operator="containsText" dxfId="7" text="PATH">
      <formula>NOT(ISERROR(SEARCH(("PATH"),(BB19))))</formula>
    </cfRule>
    <cfRule type="containsText" priority="9172" operator="containsText" dxfId="7" text="NEPHRO">
      <formula>NOT(ISERROR(SEARCH(("NEPHRO"),(BB19))))</formula>
    </cfRule>
    <cfRule type="containsText" priority="9173" operator="containsText" dxfId="7" text="PULM">
      <formula>NOT(ISERROR(SEARCH(("PULM"),(BB19))))</formula>
    </cfRule>
    <cfRule type="containsText" priority="9174" operator="containsText" dxfId="7" text="RADIOLOGY">
      <formula>NOT(ISERROR(SEARCH(("RADIOLOGY"),(BB19))))</formula>
    </cfRule>
    <cfRule type="containsText" priority="9175" operator="containsText" dxfId="7" text="HEM/ONC">
      <formula>NOT(ISERROR(SEARCH(("HEM/ONC"),(BB19))))</formula>
    </cfRule>
    <cfRule type="containsText" priority="9176" operator="containsText" dxfId="7" text="CARDIO">
      <formula>NOT(ISERROR(SEARCH(("CARDIO"),(BB19))))</formula>
    </cfRule>
    <cfRule type="containsText" priority="9177" operator="containsText" dxfId="7" text="ID">
      <formula>NOT(ISERROR(SEARCH(("ID"),(BB19))))</formula>
    </cfRule>
    <cfRule type="containsText" priority="9178" operator="containsText" dxfId="7" text="NEURO">
      <formula>NOT(ISERROR(SEARCH(("NEURO"),(BB19))))</formula>
    </cfRule>
    <cfRule type="containsText" priority="9179" operator="containsText" dxfId="6" text="NEURO">
      <formula>NOT(ISERROR(SEARCH(("NEURO"),(BB19))))</formula>
    </cfRule>
    <cfRule type="containsText" priority="9180" operator="containsText" dxfId="5" text="NEURO">
      <formula>NOT(ISERROR(SEARCH(("NEURO"),(BB19))))</formula>
    </cfRule>
    <cfRule type="containsText" priority="9181" operator="containsText" dxfId="0" text="ICU N">
      <formula>NOT(ISERROR(SEARCH(("ICU N"),(BB19))))</formula>
    </cfRule>
    <cfRule type="containsText" priority="9182" operator="containsText" dxfId="3" text="ICU">
      <formula>NOT(ISERROR(SEARCH(("ICU"),(BB19))))</formula>
    </cfRule>
    <cfRule type="containsText" priority="9183" operator="containsText" dxfId="0" text="SWING">
      <formula>NOT(ISERROR(SEARCH(("SWING"),(BB19))))</formula>
    </cfRule>
    <cfRule type="containsText" priority="9184" operator="containsText" dxfId="0" text="NF">
      <formula>NOT(ISERROR(SEARCH(("NF"),(BB19))))</formula>
    </cfRule>
    <cfRule type="containsText" priority="9185" operator="containsText" dxfId="0" text="ICU N">
      <formula>NOT(ISERROR(SEARCH(("ICU N"),(BB19))))</formula>
    </cfRule>
  </conditionalFormatting>
  <conditionalFormatting sqref="BA21">
    <cfRule type="containsText" priority="9153" operator="containsText" dxfId="7" text="PATH">
      <formula>NOT(ISERROR(SEARCH(("PATH"),(BA21))))</formula>
    </cfRule>
    <cfRule type="containsText" priority="9154" operator="containsText" dxfId="7" text="NEPHRO">
      <formula>NOT(ISERROR(SEARCH(("NEPHRO"),(BA21))))</formula>
    </cfRule>
    <cfRule type="containsText" priority="9155" operator="containsText" dxfId="7" text="PULM">
      <formula>NOT(ISERROR(SEARCH(("PULM"),(BA21))))</formula>
    </cfRule>
    <cfRule type="containsText" priority="9156" operator="containsText" dxfId="7" text="RADIOLOGY">
      <formula>NOT(ISERROR(SEARCH(("RADIOLOGY"),(BA21))))</formula>
    </cfRule>
    <cfRule type="containsText" priority="9157" operator="containsText" dxfId="7" text="HEM/ONC">
      <formula>NOT(ISERROR(SEARCH(("HEM/ONC"),(BA21))))</formula>
    </cfRule>
    <cfRule type="containsText" priority="9158" operator="containsText" dxfId="7" text="CARDIO">
      <formula>NOT(ISERROR(SEARCH(("CARDIO"),(BA21))))</formula>
    </cfRule>
    <cfRule type="containsText" priority="9159" operator="containsText" dxfId="7" text="ID">
      <formula>NOT(ISERROR(SEARCH(("ID"),(BA21))))</formula>
    </cfRule>
    <cfRule type="containsText" priority="9160" operator="containsText" dxfId="7" text="NEURO">
      <formula>NOT(ISERROR(SEARCH(("NEURO"),(BA21))))</formula>
    </cfRule>
    <cfRule type="containsText" priority="9161" operator="containsText" dxfId="6" text="NEURO">
      <formula>NOT(ISERROR(SEARCH(("NEURO"),(BA21))))</formula>
    </cfRule>
    <cfRule type="containsText" priority="9162" operator="containsText" dxfId="5" text="NEURO">
      <formula>NOT(ISERROR(SEARCH(("NEURO"),(BA21))))</formula>
    </cfRule>
    <cfRule type="containsText" priority="9163" operator="containsText" dxfId="0" text="ICU N">
      <formula>NOT(ISERROR(SEARCH(("ICU N"),(BA21))))</formula>
    </cfRule>
    <cfRule type="containsText" priority="9164" operator="containsText" dxfId="3" text="ICU">
      <formula>NOT(ISERROR(SEARCH(("ICU"),(BA21))))</formula>
    </cfRule>
    <cfRule type="containsText" priority="9165" operator="containsText" dxfId="0" text="SWING">
      <formula>NOT(ISERROR(SEARCH(("SWING"),(BA21))))</formula>
    </cfRule>
    <cfRule type="containsText" priority="9166" operator="containsText" dxfId="0" text="NF">
      <formula>NOT(ISERROR(SEARCH(("NF"),(BA21))))</formula>
    </cfRule>
    <cfRule type="containsText" priority="9167" operator="containsText" dxfId="0" text="ICU N">
      <formula>NOT(ISERROR(SEARCH(("ICU N"),(BA21))))</formula>
    </cfRule>
  </conditionalFormatting>
  <conditionalFormatting sqref="BA20">
    <cfRule type="containsText" priority="9138" operator="containsText" dxfId="7" text="PATH">
      <formula>NOT(ISERROR(SEARCH(("PATH"),(BA20))))</formula>
    </cfRule>
    <cfRule type="containsText" priority="9139" operator="containsText" dxfId="7" text="NEPHRO">
      <formula>NOT(ISERROR(SEARCH(("NEPHRO"),(BA20))))</formula>
    </cfRule>
    <cfRule type="containsText" priority="9140" operator="containsText" dxfId="7" text="PULM">
      <formula>NOT(ISERROR(SEARCH(("PULM"),(BA20))))</formula>
    </cfRule>
    <cfRule type="containsText" priority="9141" operator="containsText" dxfId="7" text="RADIOLOGY">
      <formula>NOT(ISERROR(SEARCH(("RADIOLOGY"),(BA20))))</formula>
    </cfRule>
    <cfRule type="containsText" priority="9142" operator="containsText" dxfId="7" text="HEM/ONC">
      <formula>NOT(ISERROR(SEARCH(("HEM/ONC"),(BA20))))</formula>
    </cfRule>
    <cfRule type="containsText" priority="9143" operator="containsText" dxfId="7" text="CARDIO">
      <formula>NOT(ISERROR(SEARCH(("CARDIO"),(BA20))))</formula>
    </cfRule>
    <cfRule type="containsText" priority="9144" operator="containsText" dxfId="7" text="ID">
      <formula>NOT(ISERROR(SEARCH(("ID"),(BA20))))</formula>
    </cfRule>
    <cfRule type="containsText" priority="9145" operator="containsText" dxfId="7" text="NEURO">
      <formula>NOT(ISERROR(SEARCH(("NEURO"),(BA20))))</formula>
    </cfRule>
    <cfRule type="containsText" priority="9146" operator="containsText" dxfId="6" text="NEURO">
      <formula>NOT(ISERROR(SEARCH(("NEURO"),(BA20))))</formula>
    </cfRule>
    <cfRule type="containsText" priority="9147" operator="containsText" dxfId="5" text="NEURO">
      <formula>NOT(ISERROR(SEARCH(("NEURO"),(BA20))))</formula>
    </cfRule>
    <cfRule type="containsText" priority="9148" operator="containsText" dxfId="0" text="ICU N">
      <formula>NOT(ISERROR(SEARCH(("ICU N"),(BA20))))</formula>
    </cfRule>
    <cfRule type="containsText" priority="9149" operator="containsText" dxfId="3" text="ICU">
      <formula>NOT(ISERROR(SEARCH(("ICU"),(BA20))))</formula>
    </cfRule>
    <cfRule type="containsText" priority="9150" operator="containsText" dxfId="0" text="SWING">
      <formula>NOT(ISERROR(SEARCH(("SWING"),(BA20))))</formula>
    </cfRule>
    <cfRule type="containsText" priority="9151" operator="containsText" dxfId="0" text="NF">
      <formula>NOT(ISERROR(SEARCH(("NF"),(BA20))))</formula>
    </cfRule>
    <cfRule type="containsText" priority="9152" operator="containsText" dxfId="0" text="ICU N">
      <formula>NOT(ISERROR(SEARCH(("ICU N"),(BA20))))</formula>
    </cfRule>
  </conditionalFormatting>
  <conditionalFormatting sqref="BB52">
    <cfRule type="containsText" priority="9121" operator="containsText" dxfId="17" text="VACATION">
      <formula>NOT(ISERROR(SEARCH(("VACATION"),(BB52))))</formula>
    </cfRule>
    <cfRule type="containsText" priority="9122" operator="containsText" dxfId="16" text="ED">
      <formula>NOT(ISERROR(SEARCH(("ED"),(BB52))))</formula>
    </cfRule>
    <cfRule type="containsText" priority="9123" operator="containsText" dxfId="15" text="GERIATRIC">
      <formula>NOT(ISERROR(SEARCH(("GERIATRIC"),(BB52))))</formula>
    </cfRule>
    <cfRule type="containsText" priority="9124" operator="containsText" dxfId="7" text="PATH">
      <formula>NOT(ISERROR(SEARCH(("PATH"),(BB52))))</formula>
    </cfRule>
    <cfRule type="containsText" priority="9125" operator="containsText" dxfId="7" text="NEPHRO">
      <formula>NOT(ISERROR(SEARCH(("NEPHRO"),(BB52))))</formula>
    </cfRule>
    <cfRule type="containsText" priority="9126" operator="containsText" dxfId="7" text="PULM">
      <formula>NOT(ISERROR(SEARCH(("PULM"),(BB52))))</formula>
    </cfRule>
    <cfRule type="containsText" priority="9127" operator="containsText" dxfId="7" text="RADIOLOGY">
      <formula>NOT(ISERROR(SEARCH(("RADIOLOGY"),(BB52))))</formula>
    </cfRule>
    <cfRule type="containsText" priority="9128" operator="containsText" dxfId="7" text="HEM/ONC">
      <formula>NOT(ISERROR(SEARCH(("HEM/ONC"),(BB52))))</formula>
    </cfRule>
    <cfRule type="containsText" priority="9129" operator="containsText" dxfId="7" text="CARDIO">
      <formula>NOT(ISERROR(SEARCH(("CARDIO"),(BB52))))</formula>
    </cfRule>
    <cfRule type="containsText" priority="9130" operator="containsText" dxfId="7" text="ID">
      <formula>NOT(ISERROR(SEARCH(("ID"),(BB52))))</formula>
    </cfRule>
    <cfRule type="containsText" priority="9131" operator="containsText" dxfId="7" text="NEURO">
      <formula>NOT(ISERROR(SEARCH(("NEURO"),(BB52))))</formula>
    </cfRule>
    <cfRule type="containsText" priority="9132" operator="containsText" dxfId="6" text="NEURO">
      <formula>NOT(ISERROR(SEARCH(("NEURO"),(BB52))))</formula>
    </cfRule>
    <cfRule type="containsText" priority="9133" operator="containsText" dxfId="5" text="NEURO">
      <formula>NOT(ISERROR(SEARCH(("NEURO"),(BB52))))</formula>
    </cfRule>
    <cfRule type="containsText" priority="9134" operator="containsText" dxfId="0" text="ICU N">
      <formula>NOT(ISERROR(SEARCH(("ICU N"),(BB52))))</formula>
    </cfRule>
    <cfRule type="containsText" priority="9135" operator="containsText" dxfId="3" text="ICU">
      <formula>NOT(ISERROR(SEARCH(("ICU"),(BB52))))</formula>
    </cfRule>
    <cfRule type="containsText" priority="9136" operator="containsText" dxfId="0" text="SWING">
      <formula>NOT(ISERROR(SEARCH(("SWING"),(BB52))))</formula>
    </cfRule>
    <cfRule type="containsText" priority="9137" operator="containsText" dxfId="0" text="NF">
      <formula>NOT(ISERROR(SEARCH(("NF"),(BB52))))</formula>
    </cfRule>
  </conditionalFormatting>
  <conditionalFormatting sqref="BC52">
    <cfRule type="containsText" priority="9104" operator="containsText" dxfId="17" text="VACATION">
      <formula>NOT(ISERROR(SEARCH(("VACATION"),(BC52))))</formula>
    </cfRule>
    <cfRule type="containsText" priority="9105" operator="containsText" dxfId="16" text="ED">
      <formula>NOT(ISERROR(SEARCH(("ED"),(BC52))))</formula>
    </cfRule>
    <cfRule type="containsText" priority="9106" operator="containsText" dxfId="15" text="GERIATRIC">
      <formula>NOT(ISERROR(SEARCH(("GERIATRIC"),(BC52))))</formula>
    </cfRule>
    <cfRule type="containsText" priority="9107" operator="containsText" dxfId="7" text="PATH">
      <formula>NOT(ISERROR(SEARCH(("PATH"),(BC52))))</formula>
    </cfRule>
    <cfRule type="containsText" priority="9108" operator="containsText" dxfId="7" text="NEPHRO">
      <formula>NOT(ISERROR(SEARCH(("NEPHRO"),(BC52))))</formula>
    </cfRule>
    <cfRule type="containsText" priority="9109" operator="containsText" dxfId="7" text="PULM">
      <formula>NOT(ISERROR(SEARCH(("PULM"),(BC52))))</formula>
    </cfRule>
    <cfRule type="containsText" priority="9110" operator="containsText" dxfId="7" text="RADIOLOGY">
      <formula>NOT(ISERROR(SEARCH(("RADIOLOGY"),(BC52))))</formula>
    </cfRule>
    <cfRule type="containsText" priority="9111" operator="containsText" dxfId="7" text="HEM/ONC">
      <formula>NOT(ISERROR(SEARCH(("HEM/ONC"),(BC52))))</formula>
    </cfRule>
    <cfRule type="containsText" priority="9112" operator="containsText" dxfId="7" text="CARDIO">
      <formula>NOT(ISERROR(SEARCH(("CARDIO"),(BC52))))</formula>
    </cfRule>
    <cfRule type="containsText" priority="9113" operator="containsText" dxfId="7" text="ID">
      <formula>NOT(ISERROR(SEARCH(("ID"),(BC52))))</formula>
    </cfRule>
    <cfRule type="containsText" priority="9114" operator="containsText" dxfId="7" text="NEURO">
      <formula>NOT(ISERROR(SEARCH(("NEURO"),(BC52))))</formula>
    </cfRule>
    <cfRule type="containsText" priority="9115" operator="containsText" dxfId="6" text="NEURO">
      <formula>NOT(ISERROR(SEARCH(("NEURO"),(BC52))))</formula>
    </cfRule>
    <cfRule type="containsText" priority="9116" operator="containsText" dxfId="5" text="NEURO">
      <formula>NOT(ISERROR(SEARCH(("NEURO"),(BC52))))</formula>
    </cfRule>
    <cfRule type="containsText" priority="9117" operator="containsText" dxfId="0" text="ICU N">
      <formula>NOT(ISERROR(SEARCH(("ICU N"),(BC52))))</formula>
    </cfRule>
    <cfRule type="containsText" priority="9118" operator="containsText" dxfId="3" text="ICU">
      <formula>NOT(ISERROR(SEARCH(("ICU"),(BC52))))</formula>
    </cfRule>
    <cfRule type="containsText" priority="9119" operator="containsText" dxfId="0" text="SWING">
      <formula>NOT(ISERROR(SEARCH(("SWING"),(BC52))))</formula>
    </cfRule>
    <cfRule type="containsText" priority="9120" operator="containsText" dxfId="0" text="NF">
      <formula>NOT(ISERROR(SEARCH(("NF"),(BC52))))</formula>
    </cfRule>
  </conditionalFormatting>
  <conditionalFormatting sqref="BC53">
    <cfRule type="containsText" priority="9087" operator="containsText" dxfId="17" text="VACATION">
      <formula>NOT(ISERROR(SEARCH(("VACATION"),(BC53))))</formula>
    </cfRule>
    <cfRule type="containsText" priority="9088" operator="containsText" dxfId="16" text="ED">
      <formula>NOT(ISERROR(SEARCH(("ED"),(BC53))))</formula>
    </cfRule>
    <cfRule type="containsText" priority="9089" operator="containsText" dxfId="15" text="GERIATRIC">
      <formula>NOT(ISERROR(SEARCH(("GERIATRIC"),(BC53))))</formula>
    </cfRule>
    <cfRule type="containsText" priority="9090" operator="containsText" dxfId="7" text="PATH">
      <formula>NOT(ISERROR(SEARCH(("PATH"),(BC53))))</formula>
    </cfRule>
    <cfRule type="containsText" priority="9091" operator="containsText" dxfId="7" text="NEPHRO">
      <formula>NOT(ISERROR(SEARCH(("NEPHRO"),(BC53))))</formula>
    </cfRule>
    <cfRule type="containsText" priority="9092" operator="containsText" dxfId="7" text="PULM">
      <formula>NOT(ISERROR(SEARCH(("PULM"),(BC53))))</formula>
    </cfRule>
    <cfRule type="containsText" priority="9093" operator="containsText" dxfId="7" text="RADIOLOGY">
      <formula>NOT(ISERROR(SEARCH(("RADIOLOGY"),(BC53))))</formula>
    </cfRule>
    <cfRule type="containsText" priority="9094" operator="containsText" dxfId="7" text="HEM/ONC">
      <formula>NOT(ISERROR(SEARCH(("HEM/ONC"),(BC53))))</formula>
    </cfRule>
    <cfRule type="containsText" priority="9095" operator="containsText" dxfId="7" text="CARDIO">
      <formula>NOT(ISERROR(SEARCH(("CARDIO"),(BC53))))</formula>
    </cfRule>
    <cfRule type="containsText" priority="9096" operator="containsText" dxfId="7" text="ID">
      <formula>NOT(ISERROR(SEARCH(("ID"),(BC53))))</formula>
    </cfRule>
    <cfRule type="containsText" priority="9097" operator="containsText" dxfId="7" text="NEURO">
      <formula>NOT(ISERROR(SEARCH(("NEURO"),(BC53))))</formula>
    </cfRule>
    <cfRule type="containsText" priority="9098" operator="containsText" dxfId="6" text="NEURO">
      <formula>NOT(ISERROR(SEARCH(("NEURO"),(BC53))))</formula>
    </cfRule>
    <cfRule type="containsText" priority="9099" operator="containsText" dxfId="5" text="NEURO">
      <formula>NOT(ISERROR(SEARCH(("NEURO"),(BC53))))</formula>
    </cfRule>
    <cfRule type="containsText" priority="9100" operator="containsText" dxfId="0" text="ICU N">
      <formula>NOT(ISERROR(SEARCH(("ICU N"),(BC53))))</formula>
    </cfRule>
    <cfRule type="containsText" priority="9101" operator="containsText" dxfId="3" text="ICU">
      <formula>NOT(ISERROR(SEARCH(("ICU"),(BC53))))</formula>
    </cfRule>
    <cfRule type="containsText" priority="9102" operator="containsText" dxfId="0" text="SWING">
      <formula>NOT(ISERROR(SEARCH(("SWING"),(BC53))))</formula>
    </cfRule>
    <cfRule type="containsText" priority="9103" operator="containsText" dxfId="0" text="NF">
      <formula>NOT(ISERROR(SEARCH(("NF"),(BC53))))</formula>
    </cfRule>
  </conditionalFormatting>
  <conditionalFormatting sqref="BB53">
    <cfRule type="containsText" priority="9070" operator="containsText" dxfId="17" text="VACATION">
      <formula>NOT(ISERROR(SEARCH(("VACATION"),(BB53))))</formula>
    </cfRule>
    <cfRule type="containsText" priority="9071" operator="containsText" dxfId="16" text="ED">
      <formula>NOT(ISERROR(SEARCH(("ED"),(BB53))))</formula>
    </cfRule>
    <cfRule type="containsText" priority="9072" operator="containsText" dxfId="15" text="GERIATRIC">
      <formula>NOT(ISERROR(SEARCH(("GERIATRIC"),(BB53))))</formula>
    </cfRule>
    <cfRule type="containsText" priority="9073" operator="containsText" dxfId="7" text="PATH">
      <formula>NOT(ISERROR(SEARCH(("PATH"),(BB53))))</formula>
    </cfRule>
    <cfRule type="containsText" priority="9074" operator="containsText" dxfId="7" text="NEPHRO">
      <formula>NOT(ISERROR(SEARCH(("NEPHRO"),(BB53))))</formula>
    </cfRule>
    <cfRule type="containsText" priority="9075" operator="containsText" dxfId="7" text="PULM">
      <formula>NOT(ISERROR(SEARCH(("PULM"),(BB53))))</formula>
    </cfRule>
    <cfRule type="containsText" priority="9076" operator="containsText" dxfId="7" text="RADIOLOGY">
      <formula>NOT(ISERROR(SEARCH(("RADIOLOGY"),(BB53))))</formula>
    </cfRule>
    <cfRule type="containsText" priority="9077" operator="containsText" dxfId="7" text="HEM/ONC">
      <formula>NOT(ISERROR(SEARCH(("HEM/ONC"),(BB53))))</formula>
    </cfRule>
    <cfRule type="containsText" priority="9078" operator="containsText" dxfId="7" text="CARDIO">
      <formula>NOT(ISERROR(SEARCH(("CARDIO"),(BB53))))</formula>
    </cfRule>
    <cfRule type="containsText" priority="9079" operator="containsText" dxfId="7" text="ID">
      <formula>NOT(ISERROR(SEARCH(("ID"),(BB53))))</formula>
    </cfRule>
    <cfRule type="containsText" priority="9080" operator="containsText" dxfId="7" text="NEURO">
      <formula>NOT(ISERROR(SEARCH(("NEURO"),(BB53))))</formula>
    </cfRule>
    <cfRule type="containsText" priority="9081" operator="containsText" dxfId="6" text="NEURO">
      <formula>NOT(ISERROR(SEARCH(("NEURO"),(BB53))))</formula>
    </cfRule>
    <cfRule type="containsText" priority="9082" operator="containsText" dxfId="5" text="NEURO">
      <formula>NOT(ISERROR(SEARCH(("NEURO"),(BB53))))</formula>
    </cfRule>
    <cfRule type="containsText" priority="9083" operator="containsText" dxfId="0" text="ICU N">
      <formula>NOT(ISERROR(SEARCH(("ICU N"),(BB53))))</formula>
    </cfRule>
    <cfRule type="containsText" priority="9084" operator="containsText" dxfId="3" text="ICU">
      <formula>NOT(ISERROR(SEARCH(("ICU"),(BB53))))</formula>
    </cfRule>
    <cfRule type="containsText" priority="9085" operator="containsText" dxfId="0" text="SWING">
      <formula>NOT(ISERROR(SEARCH(("SWING"),(BB53))))</formula>
    </cfRule>
    <cfRule type="containsText" priority="9086" operator="containsText" dxfId="0" text="NF">
      <formula>NOT(ISERROR(SEARCH(("NF"),(BB53))))</formula>
    </cfRule>
  </conditionalFormatting>
  <conditionalFormatting sqref="AK55">
    <cfRule type="containsText" priority="9067" operator="containsText" dxfId="16" text="ED">
      <formula>NOT(ISERROR(SEARCH(("ED"),(AK55))))</formula>
    </cfRule>
    <cfRule type="containsText" priority="9068" operator="containsText" dxfId="17" text="VACATION">
      <formula>NOT(ISERROR(SEARCH(("VACATION"),(AK55))))</formula>
    </cfRule>
    <cfRule type="containsText" priority="9069" operator="containsText" dxfId="0" text="ICU N">
      <formula>NOT(ISERROR(SEARCH(("ICU N"),(AK55))))</formula>
    </cfRule>
    <cfRule type="containsText" priority="9049" operator="containsText" dxfId="16" text="ED">
      <formula>NOT(ISERROR(SEARCH(("ED"),(AK55))))</formula>
    </cfRule>
    <cfRule type="containsText" priority="9050" operator="containsText" dxfId="15" text="GERIATRIC">
      <formula>NOT(ISERROR(SEARCH(("GERIATRIC"),(AK55))))</formula>
    </cfRule>
    <cfRule type="containsText" priority="9051" operator="containsText" dxfId="17" text="VACATION">
      <formula>NOT(ISERROR(SEARCH(("VACATION"),(AK55))))</formula>
    </cfRule>
    <cfRule type="containsText" priority="9052" operator="containsText" dxfId="7" text="PATH">
      <formula>NOT(ISERROR(SEARCH(("PATH"),(AK55))))</formula>
    </cfRule>
    <cfRule type="containsText" priority="9053" operator="containsText" dxfId="7" text="NEPHRO">
      <formula>NOT(ISERROR(SEARCH(("NEPHRO"),(AK55))))</formula>
    </cfRule>
    <cfRule type="containsText" priority="9054" operator="containsText" dxfId="7" text="PULM">
      <formula>NOT(ISERROR(SEARCH(("PULM"),(AK55))))</formula>
    </cfRule>
    <cfRule type="containsText" priority="9055" operator="containsText" dxfId="7" text="RADIOLOGY">
      <formula>NOT(ISERROR(SEARCH(("RADIOLOGY"),(AK55))))</formula>
    </cfRule>
    <cfRule type="containsText" priority="9056" operator="containsText" dxfId="7" text="HEM/ONC">
      <formula>NOT(ISERROR(SEARCH(("HEM/ONC"),(AK55))))</formula>
    </cfRule>
    <cfRule type="containsText" priority="9057" operator="containsText" dxfId="7" text="CARDIO">
      <formula>NOT(ISERROR(SEARCH(("CARDIO"),(AK55))))</formula>
    </cfRule>
    <cfRule type="containsText" priority="9058" operator="containsText" dxfId="7" text="ID">
      <formula>NOT(ISERROR(SEARCH(("ID"),(AK55))))</formula>
    </cfRule>
    <cfRule type="containsText" priority="9059" operator="containsText" dxfId="7" text="NEURO">
      <formula>NOT(ISERROR(SEARCH(("NEURO"),(AK55))))</formula>
    </cfRule>
    <cfRule type="containsText" priority="9060" operator="containsText" dxfId="6" text="NEURO">
      <formula>NOT(ISERROR(SEARCH(("NEURO"),(AK55))))</formula>
    </cfRule>
    <cfRule type="containsText" priority="9061" operator="containsText" dxfId="5" text="NEURO">
      <formula>NOT(ISERROR(SEARCH(("NEURO"),(AK55))))</formula>
    </cfRule>
    <cfRule type="containsText" priority="9062" operator="containsText" dxfId="0" text="ICU N">
      <formula>NOT(ISERROR(SEARCH(("ICU N"),(AK55))))</formula>
    </cfRule>
    <cfRule type="containsText" priority="9063" operator="containsText" dxfId="3" text="ICU">
      <formula>NOT(ISERROR(SEARCH(("ICU"),(AK55))))</formula>
    </cfRule>
    <cfRule type="containsText" priority="9064" operator="containsText" dxfId="0" text="SWING">
      <formula>NOT(ISERROR(SEARCH(("SWING"),(AK55))))</formula>
    </cfRule>
    <cfRule type="containsText" priority="9065" operator="containsText" dxfId="0" text="NF">
      <formula>NOT(ISERROR(SEARCH(("NF"),(AK55))))</formula>
    </cfRule>
    <cfRule type="containsText" priority="9066" operator="containsText" dxfId="0" text="ICU N">
      <formula>NOT(ISERROR(SEARCH(("ICU N"),(AK55))))</formula>
    </cfRule>
    <cfRule type="containsText" priority="9032" operator="containsText" dxfId="17" text="VACATION">
      <formula>NOT(ISERROR(SEARCH(("VACATION"),(AK55))))</formula>
    </cfRule>
    <cfRule type="containsText" priority="9033" operator="containsText" dxfId="16" text="ED">
      <formula>NOT(ISERROR(SEARCH(("ED"),(AK55))))</formula>
    </cfRule>
    <cfRule type="containsText" priority="9034" operator="containsText" dxfId="15" text="GERIATRIC">
      <formula>NOT(ISERROR(SEARCH(("GERIATRIC"),(AK55))))</formula>
    </cfRule>
    <cfRule type="containsText" priority="9035" operator="containsText" dxfId="7" text="PATH">
      <formula>NOT(ISERROR(SEARCH(("PATH"),(AK55))))</formula>
    </cfRule>
    <cfRule type="containsText" priority="9036" operator="containsText" dxfId="7" text="NEPHRO">
      <formula>NOT(ISERROR(SEARCH(("NEPHRO"),(AK55))))</formula>
    </cfRule>
    <cfRule type="containsText" priority="9037" operator="containsText" dxfId="7" text="PULM">
      <formula>NOT(ISERROR(SEARCH(("PULM"),(AK55))))</formula>
    </cfRule>
    <cfRule type="containsText" priority="9038" operator="containsText" dxfId="7" text="RADIOLOGY">
      <formula>NOT(ISERROR(SEARCH(("RADIOLOGY"),(AK55))))</formula>
    </cfRule>
    <cfRule type="containsText" priority="9039" operator="containsText" dxfId="7" text="HEM/ONC">
      <formula>NOT(ISERROR(SEARCH(("HEM/ONC"),(AK55))))</formula>
    </cfRule>
    <cfRule type="containsText" priority="9040" operator="containsText" dxfId="7" text="CARDIO">
      <formula>NOT(ISERROR(SEARCH(("CARDIO"),(AK55))))</formula>
    </cfRule>
    <cfRule type="containsText" priority="9041" operator="containsText" dxfId="7" text="ID">
      <formula>NOT(ISERROR(SEARCH(("ID"),(AK55))))</formula>
    </cfRule>
    <cfRule type="containsText" priority="9042" operator="containsText" dxfId="7" text="NEURO">
      <formula>NOT(ISERROR(SEARCH(("NEURO"),(AK55))))</formula>
    </cfRule>
    <cfRule type="containsText" priority="9043" operator="containsText" dxfId="6" text="NEURO">
      <formula>NOT(ISERROR(SEARCH(("NEURO"),(AK55))))</formula>
    </cfRule>
    <cfRule type="containsText" priority="9044" operator="containsText" dxfId="5" text="NEURO">
      <formula>NOT(ISERROR(SEARCH(("NEURO"),(AK55))))</formula>
    </cfRule>
    <cfRule type="containsText" priority="9045" operator="containsText" dxfId="0" text="ICU N">
      <formula>NOT(ISERROR(SEARCH(("ICU N"),(AK55))))</formula>
    </cfRule>
    <cfRule type="containsText" priority="9046" operator="containsText" dxfId="3" text="ICU">
      <formula>NOT(ISERROR(SEARCH(("ICU"),(AK55))))</formula>
    </cfRule>
    <cfRule type="containsText" priority="9047" operator="containsText" dxfId="0" text="SWING">
      <formula>NOT(ISERROR(SEARCH(("SWING"),(AK55))))</formula>
    </cfRule>
    <cfRule type="containsText" priority="9048" operator="containsText" dxfId="0" text="NF">
      <formula>NOT(ISERROR(SEARCH(("NF"),(AK55))))</formula>
    </cfRule>
    <cfRule type="containsText" priority="9017" operator="containsText" dxfId="7" text="PATH">
      <formula>NOT(ISERROR(SEARCH(("PATH"),(AK55))))</formula>
    </cfRule>
    <cfRule type="containsText" priority="9018" operator="containsText" dxfId="7" text="NEPHRO">
      <formula>NOT(ISERROR(SEARCH(("NEPHRO"),(AK55))))</formula>
    </cfRule>
    <cfRule type="containsText" priority="9019" operator="containsText" dxfId="7" text="PULM">
      <formula>NOT(ISERROR(SEARCH(("PULM"),(AK55))))</formula>
    </cfRule>
    <cfRule type="containsText" priority="9020" operator="containsText" dxfId="7" text="RADIOLOGY">
      <formula>NOT(ISERROR(SEARCH(("RADIOLOGY"),(AK55))))</formula>
    </cfRule>
    <cfRule type="containsText" priority="9021" operator="containsText" dxfId="7" text="HEM/ONC">
      <formula>NOT(ISERROR(SEARCH(("HEM/ONC"),(AK55))))</formula>
    </cfRule>
    <cfRule type="containsText" priority="9022" operator="containsText" dxfId="7" text="CARDIO">
      <formula>NOT(ISERROR(SEARCH(("CARDIO"),(AK55))))</formula>
    </cfRule>
    <cfRule type="containsText" priority="9023" operator="containsText" dxfId="7" text="ID">
      <formula>NOT(ISERROR(SEARCH(("ID"),(AK55))))</formula>
    </cfRule>
    <cfRule type="containsText" priority="9024" operator="containsText" dxfId="7" text="NEURO">
      <formula>NOT(ISERROR(SEARCH(("NEURO"),(AK55))))</formula>
    </cfRule>
    <cfRule type="containsText" priority="9025" operator="containsText" dxfId="6" text="NEURO">
      <formula>NOT(ISERROR(SEARCH(("NEURO"),(AK55))))</formula>
    </cfRule>
    <cfRule type="containsText" priority="9026" operator="containsText" dxfId="5" text="NEURO">
      <formula>NOT(ISERROR(SEARCH(("NEURO"),(AK55))))</formula>
    </cfRule>
    <cfRule type="containsText" priority="9027" operator="containsText" dxfId="0" text="ICU N">
      <formula>NOT(ISERROR(SEARCH(("ICU N"),(AK55))))</formula>
    </cfRule>
    <cfRule type="containsText" priority="9028" operator="containsText" dxfId="3" text="ICU">
      <formula>NOT(ISERROR(SEARCH(("ICU"),(AK55))))</formula>
    </cfRule>
    <cfRule type="containsText" priority="9029" operator="containsText" dxfId="0" text="SWING">
      <formula>NOT(ISERROR(SEARCH(("SWING"),(AK55))))</formula>
    </cfRule>
    <cfRule type="containsText" priority="9030" operator="containsText" dxfId="0" text="NF">
      <formula>NOT(ISERROR(SEARCH(("NF"),(AK55))))</formula>
    </cfRule>
    <cfRule type="containsText" priority="9031" operator="containsText" dxfId="0" text="ICU N">
      <formula>NOT(ISERROR(SEARCH(("ICU N"),(AK55))))</formula>
    </cfRule>
  </conditionalFormatting>
  <conditionalFormatting sqref="AL55">
    <cfRule type="containsText" priority="9014" operator="containsText" dxfId="16" text="ED">
      <formula>NOT(ISERROR(SEARCH(("ED"),(AL55))))</formula>
    </cfRule>
    <cfRule type="containsText" priority="9015" operator="containsText" dxfId="17" text="VACATION">
      <formula>NOT(ISERROR(SEARCH(("VACATION"),(AL55))))</formula>
    </cfRule>
    <cfRule type="containsText" priority="9016" operator="containsText" dxfId="0" text="ICU N">
      <formula>NOT(ISERROR(SEARCH(("ICU N"),(AL55))))</formula>
    </cfRule>
    <cfRule type="containsText" priority="8996" operator="containsText" dxfId="16" text="ED">
      <formula>NOT(ISERROR(SEARCH(("ED"),(AL55))))</formula>
    </cfRule>
    <cfRule type="containsText" priority="8997" operator="containsText" dxfId="15" text="GERIATRIC">
      <formula>NOT(ISERROR(SEARCH(("GERIATRIC"),(AL55))))</formula>
    </cfRule>
    <cfRule type="containsText" priority="8998" operator="containsText" dxfId="17" text="VACATION">
      <formula>NOT(ISERROR(SEARCH(("VACATION"),(AL55))))</formula>
    </cfRule>
    <cfRule type="containsText" priority="8999" operator="containsText" dxfId="7" text="PATH">
      <formula>NOT(ISERROR(SEARCH(("PATH"),(AL55))))</formula>
    </cfRule>
    <cfRule type="containsText" priority="9000" operator="containsText" dxfId="7" text="NEPHRO">
      <formula>NOT(ISERROR(SEARCH(("NEPHRO"),(AL55))))</formula>
    </cfRule>
    <cfRule type="containsText" priority="9001" operator="containsText" dxfId="7" text="PULM">
      <formula>NOT(ISERROR(SEARCH(("PULM"),(AL55))))</formula>
    </cfRule>
    <cfRule type="containsText" priority="9002" operator="containsText" dxfId="7" text="RADIOLOGY">
      <formula>NOT(ISERROR(SEARCH(("RADIOLOGY"),(AL55))))</formula>
    </cfRule>
    <cfRule type="containsText" priority="9003" operator="containsText" dxfId="7" text="HEM/ONC">
      <formula>NOT(ISERROR(SEARCH(("HEM/ONC"),(AL55))))</formula>
    </cfRule>
    <cfRule type="containsText" priority="9004" operator="containsText" dxfId="7" text="CARDIO">
      <formula>NOT(ISERROR(SEARCH(("CARDIO"),(AL55))))</formula>
    </cfRule>
    <cfRule type="containsText" priority="9005" operator="containsText" dxfId="7" text="ID">
      <formula>NOT(ISERROR(SEARCH(("ID"),(AL55))))</formula>
    </cfRule>
    <cfRule type="containsText" priority="9006" operator="containsText" dxfId="7" text="NEURO">
      <formula>NOT(ISERROR(SEARCH(("NEURO"),(AL55))))</formula>
    </cfRule>
    <cfRule type="containsText" priority="9007" operator="containsText" dxfId="6" text="NEURO">
      <formula>NOT(ISERROR(SEARCH(("NEURO"),(AL55))))</formula>
    </cfRule>
    <cfRule type="containsText" priority="9008" operator="containsText" dxfId="5" text="NEURO">
      <formula>NOT(ISERROR(SEARCH(("NEURO"),(AL55))))</formula>
    </cfRule>
    <cfRule type="containsText" priority="9009" operator="containsText" dxfId="0" text="ICU N">
      <formula>NOT(ISERROR(SEARCH(("ICU N"),(AL55))))</formula>
    </cfRule>
    <cfRule type="containsText" priority="9010" operator="containsText" dxfId="3" text="ICU">
      <formula>NOT(ISERROR(SEARCH(("ICU"),(AL55))))</formula>
    </cfRule>
    <cfRule type="containsText" priority="9011" operator="containsText" dxfId="0" text="SWING">
      <formula>NOT(ISERROR(SEARCH(("SWING"),(AL55))))</formula>
    </cfRule>
    <cfRule type="containsText" priority="9012" operator="containsText" dxfId="0" text="NF">
      <formula>NOT(ISERROR(SEARCH(("NF"),(AL55))))</formula>
    </cfRule>
    <cfRule type="containsText" priority="9013" operator="containsText" dxfId="0" text="ICU N">
      <formula>NOT(ISERROR(SEARCH(("ICU N"),(AL55))))</formula>
    </cfRule>
    <cfRule type="containsText" priority="8979" operator="containsText" dxfId="17" text="VACATION">
      <formula>NOT(ISERROR(SEARCH(("VACATION"),(AL55))))</formula>
    </cfRule>
    <cfRule type="containsText" priority="8980" operator="containsText" dxfId="16" text="ED">
      <formula>NOT(ISERROR(SEARCH(("ED"),(AL55))))</formula>
    </cfRule>
    <cfRule type="containsText" priority="8981" operator="containsText" dxfId="15" text="GERIATRIC">
      <formula>NOT(ISERROR(SEARCH(("GERIATRIC"),(AL55))))</formula>
    </cfRule>
    <cfRule type="containsText" priority="8982" operator="containsText" dxfId="7" text="PATH">
      <formula>NOT(ISERROR(SEARCH(("PATH"),(AL55))))</formula>
    </cfRule>
    <cfRule type="containsText" priority="8983" operator="containsText" dxfId="7" text="NEPHRO">
      <formula>NOT(ISERROR(SEARCH(("NEPHRO"),(AL55))))</formula>
    </cfRule>
    <cfRule type="containsText" priority="8984" operator="containsText" dxfId="7" text="PULM">
      <formula>NOT(ISERROR(SEARCH(("PULM"),(AL55))))</formula>
    </cfRule>
    <cfRule type="containsText" priority="8985" operator="containsText" dxfId="7" text="RADIOLOGY">
      <formula>NOT(ISERROR(SEARCH(("RADIOLOGY"),(AL55))))</formula>
    </cfRule>
    <cfRule type="containsText" priority="8986" operator="containsText" dxfId="7" text="HEM/ONC">
      <formula>NOT(ISERROR(SEARCH(("HEM/ONC"),(AL55))))</formula>
    </cfRule>
    <cfRule type="containsText" priority="8987" operator="containsText" dxfId="7" text="CARDIO">
      <formula>NOT(ISERROR(SEARCH(("CARDIO"),(AL55))))</formula>
    </cfRule>
    <cfRule type="containsText" priority="8988" operator="containsText" dxfId="7" text="ID">
      <formula>NOT(ISERROR(SEARCH(("ID"),(AL55))))</formula>
    </cfRule>
    <cfRule type="containsText" priority="8989" operator="containsText" dxfId="7" text="NEURO">
      <formula>NOT(ISERROR(SEARCH(("NEURO"),(AL55))))</formula>
    </cfRule>
    <cfRule type="containsText" priority="8990" operator="containsText" dxfId="6" text="NEURO">
      <formula>NOT(ISERROR(SEARCH(("NEURO"),(AL55))))</formula>
    </cfRule>
    <cfRule type="containsText" priority="8991" operator="containsText" dxfId="5" text="NEURO">
      <formula>NOT(ISERROR(SEARCH(("NEURO"),(AL55))))</formula>
    </cfRule>
    <cfRule type="containsText" priority="8992" operator="containsText" dxfId="0" text="ICU N">
      <formula>NOT(ISERROR(SEARCH(("ICU N"),(AL55))))</formula>
    </cfRule>
    <cfRule type="containsText" priority="8993" operator="containsText" dxfId="3" text="ICU">
      <formula>NOT(ISERROR(SEARCH(("ICU"),(AL55))))</formula>
    </cfRule>
    <cfRule type="containsText" priority="8994" operator="containsText" dxfId="0" text="SWING">
      <formula>NOT(ISERROR(SEARCH(("SWING"),(AL55))))</formula>
    </cfRule>
    <cfRule type="containsText" priority="8995" operator="containsText" dxfId="0" text="NF">
      <formula>NOT(ISERROR(SEARCH(("NF"),(AL55))))</formula>
    </cfRule>
    <cfRule type="containsText" priority="8964" operator="containsText" dxfId="7" text="PATH">
      <formula>NOT(ISERROR(SEARCH(("PATH"),(AL55))))</formula>
    </cfRule>
    <cfRule type="containsText" priority="8965" operator="containsText" dxfId="7" text="NEPHRO">
      <formula>NOT(ISERROR(SEARCH(("NEPHRO"),(AL55))))</formula>
    </cfRule>
    <cfRule type="containsText" priority="8966" operator="containsText" dxfId="7" text="PULM">
      <formula>NOT(ISERROR(SEARCH(("PULM"),(AL55))))</formula>
    </cfRule>
    <cfRule type="containsText" priority="8967" operator="containsText" dxfId="7" text="RADIOLOGY">
      <formula>NOT(ISERROR(SEARCH(("RADIOLOGY"),(AL55))))</formula>
    </cfRule>
    <cfRule type="containsText" priority="8968" operator="containsText" dxfId="7" text="HEM/ONC">
      <formula>NOT(ISERROR(SEARCH(("HEM/ONC"),(AL55))))</formula>
    </cfRule>
    <cfRule type="containsText" priority="8969" operator="containsText" dxfId="7" text="CARDIO">
      <formula>NOT(ISERROR(SEARCH(("CARDIO"),(AL55))))</formula>
    </cfRule>
    <cfRule type="containsText" priority="8970" operator="containsText" dxfId="7" text="ID">
      <formula>NOT(ISERROR(SEARCH(("ID"),(AL55))))</formula>
    </cfRule>
    <cfRule type="containsText" priority="8971" operator="containsText" dxfId="7" text="NEURO">
      <formula>NOT(ISERROR(SEARCH(("NEURO"),(AL55))))</formula>
    </cfRule>
    <cfRule type="containsText" priority="8972" operator="containsText" dxfId="6" text="NEURO">
      <formula>NOT(ISERROR(SEARCH(("NEURO"),(AL55))))</formula>
    </cfRule>
    <cfRule type="containsText" priority="8973" operator="containsText" dxfId="5" text="NEURO">
      <formula>NOT(ISERROR(SEARCH(("NEURO"),(AL55))))</formula>
    </cfRule>
    <cfRule type="containsText" priority="8974" operator="containsText" dxfId="0" text="ICU N">
      <formula>NOT(ISERROR(SEARCH(("ICU N"),(AL55))))</formula>
    </cfRule>
    <cfRule type="containsText" priority="8975" operator="containsText" dxfId="3" text="ICU">
      <formula>NOT(ISERROR(SEARCH(("ICU"),(AL55))))</formula>
    </cfRule>
    <cfRule type="containsText" priority="8976" operator="containsText" dxfId="0" text="SWING">
      <formula>NOT(ISERROR(SEARCH(("SWING"),(AL55))))</formula>
    </cfRule>
    <cfRule type="containsText" priority="8977" operator="containsText" dxfId="0" text="NF">
      <formula>NOT(ISERROR(SEARCH(("NF"),(AL55))))</formula>
    </cfRule>
    <cfRule type="containsText" priority="8978" operator="containsText" dxfId="0" text="ICU N">
      <formula>NOT(ISERROR(SEARCH(("ICU N"),(AL55))))</formula>
    </cfRule>
  </conditionalFormatting>
  <conditionalFormatting sqref="AQ49">
    <cfRule type="containsText" priority="8947" operator="containsText" dxfId="17" text="VACATION">
      <formula>NOT(ISERROR(SEARCH(("VACATION"),(AQ49))))</formula>
    </cfRule>
    <cfRule type="containsText" priority="8948" operator="containsText" dxfId="16" text="ED">
      <formula>NOT(ISERROR(SEARCH(("ED"),(AQ49))))</formula>
    </cfRule>
    <cfRule type="containsText" priority="8949" operator="containsText" dxfId="15" text="GERIATRIC">
      <formula>NOT(ISERROR(SEARCH(("GERIATRIC"),(AQ49))))</formula>
    </cfRule>
    <cfRule type="containsText" priority="8950" operator="containsText" dxfId="7" text="PATH">
      <formula>NOT(ISERROR(SEARCH(("PATH"),(AQ49))))</formula>
    </cfRule>
    <cfRule type="containsText" priority="8951" operator="containsText" dxfId="7" text="NEPHRO">
      <formula>NOT(ISERROR(SEARCH(("NEPHRO"),(AQ49))))</formula>
    </cfRule>
    <cfRule type="containsText" priority="8952" operator="containsText" dxfId="7" text="PULM">
      <formula>NOT(ISERROR(SEARCH(("PULM"),(AQ49))))</formula>
    </cfRule>
    <cfRule type="containsText" priority="8953" operator="containsText" dxfId="7" text="RADIOLOGY">
      <formula>NOT(ISERROR(SEARCH(("RADIOLOGY"),(AQ49))))</formula>
    </cfRule>
    <cfRule type="containsText" priority="8954" operator="containsText" dxfId="7" text="HEM/ONC">
      <formula>NOT(ISERROR(SEARCH(("HEM/ONC"),(AQ49))))</formula>
    </cfRule>
    <cfRule type="containsText" priority="8955" operator="containsText" dxfId="7" text="CARDIO">
      <formula>NOT(ISERROR(SEARCH(("CARDIO"),(AQ49))))</formula>
    </cfRule>
    <cfRule type="containsText" priority="8956" operator="containsText" dxfId="7" text="ID">
      <formula>NOT(ISERROR(SEARCH(("ID"),(AQ49))))</formula>
    </cfRule>
    <cfRule type="containsText" priority="8957" operator="containsText" dxfId="7" text="NEURO">
      <formula>NOT(ISERROR(SEARCH(("NEURO"),(AQ49))))</formula>
    </cfRule>
    <cfRule type="containsText" priority="8958" operator="containsText" dxfId="6" text="NEURO">
      <formula>NOT(ISERROR(SEARCH(("NEURO"),(AQ49))))</formula>
    </cfRule>
    <cfRule type="containsText" priority="8959" operator="containsText" dxfId="5" text="NEURO">
      <formula>NOT(ISERROR(SEARCH(("NEURO"),(AQ49))))</formula>
    </cfRule>
    <cfRule type="containsText" priority="8960" operator="containsText" dxfId="0" text="ICU N">
      <formula>NOT(ISERROR(SEARCH(("ICU N"),(AQ49))))</formula>
    </cfRule>
    <cfRule type="containsText" priority="8961" operator="containsText" dxfId="3" text="ICU">
      <formula>NOT(ISERROR(SEARCH(("ICU"),(AQ49))))</formula>
    </cfRule>
    <cfRule type="containsText" priority="8962" operator="containsText" dxfId="0" text="SWING">
      <formula>NOT(ISERROR(SEARCH(("SWING"),(AQ49))))</formula>
    </cfRule>
    <cfRule type="containsText" priority="8963" operator="containsText" dxfId="0" text="NF">
      <formula>NOT(ISERROR(SEARCH(("NF"),(AQ49))))</formula>
    </cfRule>
  </conditionalFormatting>
  <conditionalFormatting sqref="AR49">
    <cfRule type="containsText" priority="8930" operator="containsText" dxfId="17" text="VACATION">
      <formula>NOT(ISERROR(SEARCH(("VACATION"),(AR49))))</formula>
    </cfRule>
    <cfRule type="containsText" priority="8931" operator="containsText" dxfId="16" text="ED">
      <formula>NOT(ISERROR(SEARCH(("ED"),(AR49))))</formula>
    </cfRule>
    <cfRule type="containsText" priority="8932" operator="containsText" dxfId="15" text="GERIATRIC">
      <formula>NOT(ISERROR(SEARCH(("GERIATRIC"),(AR49))))</formula>
    </cfRule>
    <cfRule type="containsText" priority="8933" operator="containsText" dxfId="7" text="PATH">
      <formula>NOT(ISERROR(SEARCH(("PATH"),(AR49))))</formula>
    </cfRule>
    <cfRule type="containsText" priority="8934" operator="containsText" dxfId="7" text="NEPHRO">
      <formula>NOT(ISERROR(SEARCH(("NEPHRO"),(AR49))))</formula>
    </cfRule>
    <cfRule type="containsText" priority="8935" operator="containsText" dxfId="7" text="PULM">
      <formula>NOT(ISERROR(SEARCH(("PULM"),(AR49))))</formula>
    </cfRule>
    <cfRule type="containsText" priority="8936" operator="containsText" dxfId="7" text="RADIOLOGY">
      <formula>NOT(ISERROR(SEARCH(("RADIOLOGY"),(AR49))))</formula>
    </cfRule>
    <cfRule type="containsText" priority="8937" operator="containsText" dxfId="7" text="HEM/ONC">
      <formula>NOT(ISERROR(SEARCH(("HEM/ONC"),(AR49))))</formula>
    </cfRule>
    <cfRule type="containsText" priority="8938" operator="containsText" dxfId="7" text="CARDIO">
      <formula>NOT(ISERROR(SEARCH(("CARDIO"),(AR49))))</formula>
    </cfRule>
    <cfRule type="containsText" priority="8939" operator="containsText" dxfId="7" text="ID">
      <formula>NOT(ISERROR(SEARCH(("ID"),(AR49))))</formula>
    </cfRule>
    <cfRule type="containsText" priority="8940" operator="containsText" dxfId="7" text="NEURO">
      <formula>NOT(ISERROR(SEARCH(("NEURO"),(AR49))))</formula>
    </cfRule>
    <cfRule type="containsText" priority="8941" operator="containsText" dxfId="6" text="NEURO">
      <formula>NOT(ISERROR(SEARCH(("NEURO"),(AR49))))</formula>
    </cfRule>
    <cfRule type="containsText" priority="8942" operator="containsText" dxfId="5" text="NEURO">
      <formula>NOT(ISERROR(SEARCH(("NEURO"),(AR49))))</formula>
    </cfRule>
    <cfRule type="containsText" priority="8943" operator="containsText" dxfId="0" text="ICU N">
      <formula>NOT(ISERROR(SEARCH(("ICU N"),(AR49))))</formula>
    </cfRule>
    <cfRule type="containsText" priority="8944" operator="containsText" dxfId="3" text="ICU">
      <formula>NOT(ISERROR(SEARCH(("ICU"),(AR49))))</formula>
    </cfRule>
    <cfRule type="containsText" priority="8945" operator="containsText" dxfId="0" text="SWING">
      <formula>NOT(ISERROR(SEARCH(("SWING"),(AR49))))</formula>
    </cfRule>
    <cfRule type="containsText" priority="8946" operator="containsText" dxfId="0" text="NF">
      <formula>NOT(ISERROR(SEARCH(("NF"),(AR49))))</formula>
    </cfRule>
  </conditionalFormatting>
  <conditionalFormatting sqref="AN50">
    <cfRule type="containsText" priority="8896" operator="containsText" dxfId="17" text="VACATION">
      <formula>NOT(ISERROR(SEARCH(("VACATION"),(AN50))))</formula>
    </cfRule>
    <cfRule type="containsText" priority="8897" operator="containsText" dxfId="16" text="ED">
      <formula>NOT(ISERROR(SEARCH(("ED"),(AN50))))</formula>
    </cfRule>
    <cfRule type="containsText" priority="8898" operator="containsText" dxfId="15" text="GERIATRIC">
      <formula>NOT(ISERROR(SEARCH(("GERIATRIC"),(AN50))))</formula>
    </cfRule>
    <cfRule type="containsText" priority="8899" operator="containsText" dxfId="7" text="PATH">
      <formula>NOT(ISERROR(SEARCH(("PATH"),(AN50))))</formula>
    </cfRule>
    <cfRule type="containsText" priority="8900" operator="containsText" dxfId="7" text="NEPHRO">
      <formula>NOT(ISERROR(SEARCH(("NEPHRO"),(AN50))))</formula>
    </cfRule>
    <cfRule type="containsText" priority="8901" operator="containsText" dxfId="7" text="PULM">
      <formula>NOT(ISERROR(SEARCH(("PULM"),(AN50))))</formula>
    </cfRule>
    <cfRule type="containsText" priority="8902" operator="containsText" dxfId="7" text="RADIOLOGY">
      <formula>NOT(ISERROR(SEARCH(("RADIOLOGY"),(AN50))))</formula>
    </cfRule>
    <cfRule type="containsText" priority="8903" operator="containsText" dxfId="7" text="HEM/ONC">
      <formula>NOT(ISERROR(SEARCH(("HEM/ONC"),(AN50))))</formula>
    </cfRule>
    <cfRule type="containsText" priority="8904" operator="containsText" dxfId="7" text="CARDIO">
      <formula>NOT(ISERROR(SEARCH(("CARDIO"),(AN50))))</formula>
    </cfRule>
    <cfRule type="containsText" priority="8905" operator="containsText" dxfId="7" text="ID">
      <formula>NOT(ISERROR(SEARCH(("ID"),(AN50))))</formula>
    </cfRule>
    <cfRule type="containsText" priority="8906" operator="containsText" dxfId="7" text="NEURO">
      <formula>NOT(ISERROR(SEARCH(("NEURO"),(AN50))))</formula>
    </cfRule>
    <cfRule type="containsText" priority="8907" operator="containsText" dxfId="6" text="NEURO">
      <formula>NOT(ISERROR(SEARCH(("NEURO"),(AN50))))</formula>
    </cfRule>
    <cfRule type="containsText" priority="8908" operator="containsText" dxfId="5" text="NEURO">
      <formula>NOT(ISERROR(SEARCH(("NEURO"),(AN50))))</formula>
    </cfRule>
    <cfRule type="containsText" priority="8909" operator="containsText" dxfId="0" text="ICU N">
      <formula>NOT(ISERROR(SEARCH(("ICU N"),(AN50))))</formula>
    </cfRule>
    <cfRule type="containsText" priority="8910" operator="containsText" dxfId="3" text="ICU">
      <formula>NOT(ISERROR(SEARCH(("ICU"),(AN50))))</formula>
    </cfRule>
    <cfRule type="containsText" priority="8911" operator="containsText" dxfId="0" text="SWING">
      <formula>NOT(ISERROR(SEARCH(("SWING"),(AN50))))</formula>
    </cfRule>
    <cfRule type="containsText" priority="8912" operator="containsText" dxfId="0" text="NF">
      <formula>NOT(ISERROR(SEARCH(("NF"),(AN50))))</formula>
    </cfRule>
  </conditionalFormatting>
  <conditionalFormatting sqref="AO50">
    <cfRule type="containsText" priority="8879" operator="containsText" dxfId="17" text="VACATION">
      <formula>NOT(ISERROR(SEARCH(("VACATION"),(AO50))))</formula>
    </cfRule>
    <cfRule type="containsText" priority="8880" operator="containsText" dxfId="16" text="ED">
      <formula>NOT(ISERROR(SEARCH(("ED"),(AO50))))</formula>
    </cfRule>
    <cfRule type="containsText" priority="8881" operator="containsText" dxfId="15" text="GERIATRIC">
      <formula>NOT(ISERROR(SEARCH(("GERIATRIC"),(AO50))))</formula>
    </cfRule>
    <cfRule type="containsText" priority="8882" operator="containsText" dxfId="7" text="PATH">
      <formula>NOT(ISERROR(SEARCH(("PATH"),(AO50))))</formula>
    </cfRule>
    <cfRule type="containsText" priority="8883" operator="containsText" dxfId="7" text="NEPHRO">
      <formula>NOT(ISERROR(SEARCH(("NEPHRO"),(AO50))))</formula>
    </cfRule>
    <cfRule type="containsText" priority="8884" operator="containsText" dxfId="7" text="PULM">
      <formula>NOT(ISERROR(SEARCH(("PULM"),(AO50))))</formula>
    </cfRule>
    <cfRule type="containsText" priority="8885" operator="containsText" dxfId="7" text="RADIOLOGY">
      <formula>NOT(ISERROR(SEARCH(("RADIOLOGY"),(AO50))))</formula>
    </cfRule>
    <cfRule type="containsText" priority="8886" operator="containsText" dxfId="7" text="HEM/ONC">
      <formula>NOT(ISERROR(SEARCH(("HEM/ONC"),(AO50))))</formula>
    </cfRule>
    <cfRule type="containsText" priority="8887" operator="containsText" dxfId="7" text="CARDIO">
      <formula>NOT(ISERROR(SEARCH(("CARDIO"),(AO50))))</formula>
    </cfRule>
    <cfRule type="containsText" priority="8888" operator="containsText" dxfId="7" text="ID">
      <formula>NOT(ISERROR(SEARCH(("ID"),(AO50))))</formula>
    </cfRule>
    <cfRule type="containsText" priority="8889" operator="containsText" dxfId="7" text="NEURO">
      <formula>NOT(ISERROR(SEARCH(("NEURO"),(AO50))))</formula>
    </cfRule>
    <cfRule type="containsText" priority="8890" operator="containsText" dxfId="6" text="NEURO">
      <formula>NOT(ISERROR(SEARCH(("NEURO"),(AO50))))</formula>
    </cfRule>
    <cfRule type="containsText" priority="8891" operator="containsText" dxfId="5" text="NEURO">
      <formula>NOT(ISERROR(SEARCH(("NEURO"),(AO50))))</formula>
    </cfRule>
    <cfRule type="containsText" priority="8892" operator="containsText" dxfId="0" text="ICU N">
      <formula>NOT(ISERROR(SEARCH(("ICU N"),(AO50))))</formula>
    </cfRule>
    <cfRule type="containsText" priority="8893" operator="containsText" dxfId="3" text="ICU">
      <formula>NOT(ISERROR(SEARCH(("ICU"),(AO50))))</formula>
    </cfRule>
    <cfRule type="containsText" priority="8894" operator="containsText" dxfId="0" text="SWING">
      <formula>NOT(ISERROR(SEARCH(("SWING"),(AO50))))</formula>
    </cfRule>
    <cfRule type="containsText" priority="8895" operator="containsText" dxfId="0" text="NF">
      <formula>NOT(ISERROR(SEARCH(("NF"),(AO50))))</formula>
    </cfRule>
  </conditionalFormatting>
  <conditionalFormatting sqref="J50">
    <cfRule type="containsText" priority="8828" operator="containsText" dxfId="17" text="VACATION">
      <formula>NOT(ISERROR(SEARCH(("VACATION"),(J50))))</formula>
    </cfRule>
    <cfRule type="containsText" priority="8829" operator="containsText" dxfId="16" text="ED">
      <formula>NOT(ISERROR(SEARCH(("ED"),(J50))))</formula>
    </cfRule>
    <cfRule type="containsText" priority="8830" operator="containsText" dxfId="15" text="GERIATRIC">
      <formula>NOT(ISERROR(SEARCH(("GERIATRIC"),(J50))))</formula>
    </cfRule>
    <cfRule type="containsText" priority="8831" operator="containsText" dxfId="7" text="PATH">
      <formula>NOT(ISERROR(SEARCH(("PATH"),(J50))))</formula>
    </cfRule>
    <cfRule type="containsText" priority="8832" operator="containsText" dxfId="7" text="NEPHRO">
      <formula>NOT(ISERROR(SEARCH(("NEPHRO"),(J50))))</formula>
    </cfRule>
    <cfRule type="containsText" priority="8833" operator="containsText" dxfId="7" text="PULM">
      <formula>NOT(ISERROR(SEARCH(("PULM"),(J50))))</formula>
    </cfRule>
    <cfRule type="containsText" priority="8834" operator="containsText" dxfId="7" text="RADIOLOGY">
      <formula>NOT(ISERROR(SEARCH(("RADIOLOGY"),(J50))))</formula>
    </cfRule>
    <cfRule type="containsText" priority="8835" operator="containsText" dxfId="7" text="HEM/ONC">
      <formula>NOT(ISERROR(SEARCH(("HEM/ONC"),(J50))))</formula>
    </cfRule>
    <cfRule type="containsText" priority="8836" operator="containsText" dxfId="7" text="CARDIO">
      <formula>NOT(ISERROR(SEARCH(("CARDIO"),(J50))))</formula>
    </cfRule>
    <cfRule type="containsText" priority="8837" operator="containsText" dxfId="7" text="ID">
      <formula>NOT(ISERROR(SEARCH(("ID"),(J50))))</formula>
    </cfRule>
    <cfRule type="containsText" priority="8838" operator="containsText" dxfId="7" text="NEURO">
      <formula>NOT(ISERROR(SEARCH(("NEURO"),(J50))))</formula>
    </cfRule>
    <cfRule type="containsText" priority="8839" operator="containsText" dxfId="6" text="NEURO">
      <formula>NOT(ISERROR(SEARCH(("NEURO"),(J50))))</formula>
    </cfRule>
    <cfRule type="containsText" priority="8840" operator="containsText" dxfId="5" text="NEURO">
      <formula>NOT(ISERROR(SEARCH(("NEURO"),(J50))))</formula>
    </cfRule>
    <cfRule type="containsText" priority="8841" operator="containsText" dxfId="0" text="ICU N">
      <formula>NOT(ISERROR(SEARCH(("ICU N"),(J50))))</formula>
    </cfRule>
    <cfRule type="containsText" priority="8842" operator="containsText" dxfId="3" text="ICU">
      <formula>NOT(ISERROR(SEARCH(("ICU"),(J50))))</formula>
    </cfRule>
    <cfRule type="containsText" priority="8843" operator="containsText" dxfId="0" text="SWING">
      <formula>NOT(ISERROR(SEARCH(("SWING"),(J50))))</formula>
    </cfRule>
    <cfRule type="containsText" priority="8844" operator="containsText" dxfId="0" text="NF">
      <formula>NOT(ISERROR(SEARCH(("NF"),(J50))))</formula>
    </cfRule>
  </conditionalFormatting>
  <conditionalFormatting sqref="K50:K51">
    <cfRule type="containsText" priority="8811" operator="containsText" dxfId="17" text="VACATION">
      <formula>NOT(ISERROR(SEARCH(("VACATION"),(K50))))</formula>
    </cfRule>
    <cfRule type="containsText" priority="8812" operator="containsText" dxfId="16" text="ED">
      <formula>NOT(ISERROR(SEARCH(("ED"),(K50))))</formula>
    </cfRule>
    <cfRule type="containsText" priority="8813" operator="containsText" dxfId="15" text="GERIATRIC">
      <formula>NOT(ISERROR(SEARCH(("GERIATRIC"),(K50))))</formula>
    </cfRule>
    <cfRule type="containsText" priority="8814" operator="containsText" dxfId="7" text="PATH">
      <formula>NOT(ISERROR(SEARCH(("PATH"),(K50))))</formula>
    </cfRule>
    <cfRule type="containsText" priority="8815" operator="containsText" dxfId="7" text="NEPHRO">
      <formula>NOT(ISERROR(SEARCH(("NEPHRO"),(K50))))</formula>
    </cfRule>
    <cfRule type="containsText" priority="8816" operator="containsText" dxfId="7" text="PULM">
      <formula>NOT(ISERROR(SEARCH(("PULM"),(K50))))</formula>
    </cfRule>
    <cfRule type="containsText" priority="8817" operator="containsText" dxfId="7" text="RADIOLOGY">
      <formula>NOT(ISERROR(SEARCH(("RADIOLOGY"),(K50))))</formula>
    </cfRule>
    <cfRule type="containsText" priority="8818" operator="containsText" dxfId="7" text="HEM/ONC">
      <formula>NOT(ISERROR(SEARCH(("HEM/ONC"),(K50))))</formula>
    </cfRule>
    <cfRule type="containsText" priority="8819" operator="containsText" dxfId="7" text="CARDIO">
      <formula>NOT(ISERROR(SEARCH(("CARDIO"),(K50))))</formula>
    </cfRule>
    <cfRule type="containsText" priority="8820" operator="containsText" dxfId="7" text="ID">
      <formula>NOT(ISERROR(SEARCH(("ID"),(K50))))</formula>
    </cfRule>
    <cfRule type="containsText" priority="8821" operator="containsText" dxfId="7" text="NEURO">
      <formula>NOT(ISERROR(SEARCH(("NEURO"),(K50))))</formula>
    </cfRule>
    <cfRule type="containsText" priority="8822" operator="containsText" dxfId="6" text="NEURO">
      <formula>NOT(ISERROR(SEARCH(("NEURO"),(K50))))</formula>
    </cfRule>
    <cfRule type="containsText" priority="8823" operator="containsText" dxfId="5" text="NEURO">
      <formula>NOT(ISERROR(SEARCH(("NEURO"),(K50))))</formula>
    </cfRule>
    <cfRule type="containsText" priority="8824" operator="containsText" dxfId="0" text="ICU N">
      <formula>NOT(ISERROR(SEARCH(("ICU N"),(K50))))</formula>
    </cfRule>
    <cfRule type="containsText" priority="8825" operator="containsText" dxfId="3" text="ICU">
      <formula>NOT(ISERROR(SEARCH(("ICU"),(K50))))</formula>
    </cfRule>
    <cfRule type="containsText" priority="8826" operator="containsText" dxfId="0" text="SWING">
      <formula>NOT(ISERROR(SEARCH(("SWING"),(K50))))</formula>
    </cfRule>
    <cfRule type="containsText" priority="8827" operator="containsText" dxfId="0" text="NF">
      <formula>NOT(ISERROR(SEARCH(("NF"),(K50))))</formula>
    </cfRule>
  </conditionalFormatting>
  <conditionalFormatting sqref="H51">
    <cfRule type="containsText" priority="8794" operator="containsText" dxfId="17" text="VACATION">
      <formula>NOT(ISERROR(SEARCH(("VACATION"),(H51))))</formula>
    </cfRule>
    <cfRule type="containsText" priority="8795" operator="containsText" dxfId="16" text="ED">
      <formula>NOT(ISERROR(SEARCH(("ED"),(H51))))</formula>
    </cfRule>
    <cfRule type="containsText" priority="8796" operator="containsText" dxfId="15" text="GERIATRIC">
      <formula>NOT(ISERROR(SEARCH(("GERIATRIC"),(H51))))</formula>
    </cfRule>
    <cfRule type="containsText" priority="8797" operator="containsText" dxfId="7" text="PATH">
      <formula>NOT(ISERROR(SEARCH(("PATH"),(H51))))</formula>
    </cfRule>
    <cfRule type="containsText" priority="8798" operator="containsText" dxfId="7" text="NEPHRO">
      <formula>NOT(ISERROR(SEARCH(("NEPHRO"),(H51))))</formula>
    </cfRule>
    <cfRule type="containsText" priority="8799" operator="containsText" dxfId="7" text="PULM">
      <formula>NOT(ISERROR(SEARCH(("PULM"),(H51))))</formula>
    </cfRule>
    <cfRule type="containsText" priority="8800" operator="containsText" dxfId="7" text="RADIOLOGY">
      <formula>NOT(ISERROR(SEARCH(("RADIOLOGY"),(H51))))</formula>
    </cfRule>
    <cfRule type="containsText" priority="8801" operator="containsText" dxfId="7" text="HEM/ONC">
      <formula>NOT(ISERROR(SEARCH(("HEM/ONC"),(H51))))</formula>
    </cfRule>
    <cfRule type="containsText" priority="8802" operator="containsText" dxfId="7" text="CARDIO">
      <formula>NOT(ISERROR(SEARCH(("CARDIO"),(H51))))</formula>
    </cfRule>
    <cfRule type="containsText" priority="8803" operator="containsText" dxfId="7" text="ID">
      <formula>NOT(ISERROR(SEARCH(("ID"),(H51))))</formula>
    </cfRule>
    <cfRule type="containsText" priority="8804" operator="containsText" dxfId="7" text="NEURO">
      <formula>NOT(ISERROR(SEARCH(("NEURO"),(H51))))</formula>
    </cfRule>
    <cfRule type="containsText" priority="8805" operator="containsText" dxfId="6" text="NEURO">
      <formula>NOT(ISERROR(SEARCH(("NEURO"),(H51))))</formula>
    </cfRule>
    <cfRule type="containsText" priority="8806" operator="containsText" dxfId="5" text="NEURO">
      <formula>NOT(ISERROR(SEARCH(("NEURO"),(H51))))</formula>
    </cfRule>
    <cfRule type="containsText" priority="8807" operator="containsText" dxfId="0" text="ICU N">
      <formula>NOT(ISERROR(SEARCH(("ICU N"),(H51))))</formula>
    </cfRule>
    <cfRule type="containsText" priority="8808" operator="containsText" dxfId="3" text="ICU">
      <formula>NOT(ISERROR(SEARCH(("ICU"),(H51))))</formula>
    </cfRule>
    <cfRule type="containsText" priority="8809" operator="containsText" dxfId="0" text="SWING">
      <formula>NOT(ISERROR(SEARCH(("SWING"),(H51))))</formula>
    </cfRule>
    <cfRule type="containsText" priority="8810" operator="containsText" dxfId="0" text="NF">
      <formula>NOT(ISERROR(SEARCH(("NF"),(H51))))</formula>
    </cfRule>
  </conditionalFormatting>
  <conditionalFormatting sqref="H52">
    <cfRule type="containsText" priority="8743" operator="containsText" dxfId="17" text="VACATION">
      <formula>NOT(ISERROR(SEARCH(("VACATION"),(H52))))</formula>
    </cfRule>
    <cfRule type="containsText" priority="8744" operator="containsText" dxfId="16" text="ED">
      <formula>NOT(ISERROR(SEARCH(("ED"),(H52))))</formula>
    </cfRule>
    <cfRule type="containsText" priority="8745" operator="containsText" dxfId="15" text="GERIATRIC">
      <formula>NOT(ISERROR(SEARCH(("GERIATRIC"),(H52))))</formula>
    </cfRule>
    <cfRule type="containsText" priority="8746" operator="containsText" dxfId="7" text="PATH">
      <formula>NOT(ISERROR(SEARCH(("PATH"),(H52))))</formula>
    </cfRule>
    <cfRule type="containsText" priority="8747" operator="containsText" dxfId="7" text="NEPHRO">
      <formula>NOT(ISERROR(SEARCH(("NEPHRO"),(H52))))</formula>
    </cfRule>
    <cfRule type="containsText" priority="8748" operator="containsText" dxfId="7" text="PULM">
      <formula>NOT(ISERROR(SEARCH(("PULM"),(H52))))</formula>
    </cfRule>
    <cfRule type="containsText" priority="8749" operator="containsText" dxfId="7" text="RADIOLOGY">
      <formula>NOT(ISERROR(SEARCH(("RADIOLOGY"),(H52))))</formula>
    </cfRule>
    <cfRule type="containsText" priority="8750" operator="containsText" dxfId="7" text="HEM/ONC">
      <formula>NOT(ISERROR(SEARCH(("HEM/ONC"),(H52))))</formula>
    </cfRule>
    <cfRule type="containsText" priority="8751" operator="containsText" dxfId="7" text="CARDIO">
      <formula>NOT(ISERROR(SEARCH(("CARDIO"),(H52))))</formula>
    </cfRule>
    <cfRule type="containsText" priority="8752" operator="containsText" dxfId="7" text="ID">
      <formula>NOT(ISERROR(SEARCH(("ID"),(H52))))</formula>
    </cfRule>
    <cfRule type="containsText" priority="8753" operator="containsText" dxfId="7" text="NEURO">
      <formula>NOT(ISERROR(SEARCH(("NEURO"),(H52))))</formula>
    </cfRule>
    <cfRule type="containsText" priority="8754" operator="containsText" dxfId="6" text="NEURO">
      <formula>NOT(ISERROR(SEARCH(("NEURO"),(H52))))</formula>
    </cfRule>
    <cfRule type="containsText" priority="8755" operator="containsText" dxfId="5" text="NEURO">
      <formula>NOT(ISERROR(SEARCH(("NEURO"),(H52))))</formula>
    </cfRule>
    <cfRule type="containsText" priority="8756" operator="containsText" dxfId="0" text="ICU N">
      <formula>NOT(ISERROR(SEARCH(("ICU N"),(H52))))</formula>
    </cfRule>
    <cfRule type="containsText" priority="8757" operator="containsText" dxfId="3" text="ICU">
      <formula>NOT(ISERROR(SEARCH(("ICU"),(H52))))</formula>
    </cfRule>
    <cfRule type="containsText" priority="8758" operator="containsText" dxfId="0" text="SWING">
      <formula>NOT(ISERROR(SEARCH(("SWING"),(H52))))</formula>
    </cfRule>
    <cfRule type="containsText" priority="8759" operator="containsText" dxfId="0" text="NF">
      <formula>NOT(ISERROR(SEARCH(("NF"),(H52))))</formula>
    </cfRule>
  </conditionalFormatting>
  <conditionalFormatting sqref="I52">
    <cfRule type="containsText" priority="8726" operator="containsText" dxfId="17" text="VACATION">
      <formula>NOT(ISERROR(SEARCH(("VACATION"),(I52))))</formula>
    </cfRule>
    <cfRule type="containsText" priority="8727" operator="containsText" dxfId="16" text="ED">
      <formula>NOT(ISERROR(SEARCH(("ED"),(I52))))</formula>
    </cfRule>
    <cfRule type="containsText" priority="8728" operator="containsText" dxfId="15" text="GERIATRIC">
      <formula>NOT(ISERROR(SEARCH(("GERIATRIC"),(I52))))</formula>
    </cfRule>
    <cfRule type="containsText" priority="8729" operator="containsText" dxfId="7" text="PATH">
      <formula>NOT(ISERROR(SEARCH(("PATH"),(I52))))</formula>
    </cfRule>
    <cfRule type="containsText" priority="8730" operator="containsText" dxfId="7" text="NEPHRO">
      <formula>NOT(ISERROR(SEARCH(("NEPHRO"),(I52))))</formula>
    </cfRule>
    <cfRule type="containsText" priority="8731" operator="containsText" dxfId="7" text="PULM">
      <formula>NOT(ISERROR(SEARCH(("PULM"),(I52))))</formula>
    </cfRule>
    <cfRule type="containsText" priority="8732" operator="containsText" dxfId="7" text="RADIOLOGY">
      <formula>NOT(ISERROR(SEARCH(("RADIOLOGY"),(I52))))</formula>
    </cfRule>
    <cfRule type="containsText" priority="8733" operator="containsText" dxfId="7" text="HEM/ONC">
      <formula>NOT(ISERROR(SEARCH(("HEM/ONC"),(I52))))</formula>
    </cfRule>
    <cfRule type="containsText" priority="8734" operator="containsText" dxfId="7" text="CARDIO">
      <formula>NOT(ISERROR(SEARCH(("CARDIO"),(I52))))</formula>
    </cfRule>
    <cfRule type="containsText" priority="8735" operator="containsText" dxfId="7" text="ID">
      <formula>NOT(ISERROR(SEARCH(("ID"),(I52))))</formula>
    </cfRule>
    <cfRule type="containsText" priority="8736" operator="containsText" dxfId="7" text="NEURO">
      <formula>NOT(ISERROR(SEARCH(("NEURO"),(I52))))</formula>
    </cfRule>
    <cfRule type="containsText" priority="8737" operator="containsText" dxfId="6" text="NEURO">
      <formula>NOT(ISERROR(SEARCH(("NEURO"),(I52))))</formula>
    </cfRule>
    <cfRule type="containsText" priority="8738" operator="containsText" dxfId="5" text="NEURO">
      <formula>NOT(ISERROR(SEARCH(("NEURO"),(I52))))</formula>
    </cfRule>
    <cfRule type="containsText" priority="8739" operator="containsText" dxfId="0" text="ICU N">
      <formula>NOT(ISERROR(SEARCH(("ICU N"),(I52))))</formula>
    </cfRule>
    <cfRule type="containsText" priority="8740" operator="containsText" dxfId="3" text="ICU">
      <formula>NOT(ISERROR(SEARCH(("ICU"),(I52))))</formula>
    </cfRule>
    <cfRule type="containsText" priority="8741" operator="containsText" dxfId="0" text="SWING">
      <formula>NOT(ISERROR(SEARCH(("SWING"),(I52))))</formula>
    </cfRule>
    <cfRule type="containsText" priority="8742" operator="containsText" dxfId="0" text="NF">
      <formula>NOT(ISERROR(SEARCH(("NF"),(I52))))</formula>
    </cfRule>
  </conditionalFormatting>
  <conditionalFormatting sqref="AO53">
    <cfRule type="containsText" priority="8692" operator="containsText" dxfId="17" text="VACATION">
      <formula>NOT(ISERROR(SEARCH(("VACATION"),(AO53))))</formula>
    </cfRule>
    <cfRule type="containsText" priority="8693" operator="containsText" dxfId="16" text="ED">
      <formula>NOT(ISERROR(SEARCH(("ED"),(AO53))))</formula>
    </cfRule>
    <cfRule type="containsText" priority="8694" operator="containsText" dxfId="15" text="GERIATRIC">
      <formula>NOT(ISERROR(SEARCH(("GERIATRIC"),(AO53))))</formula>
    </cfRule>
    <cfRule type="containsText" priority="8695" operator="containsText" dxfId="7" text="PATH">
      <formula>NOT(ISERROR(SEARCH(("PATH"),(AO53))))</formula>
    </cfRule>
    <cfRule type="containsText" priority="8696" operator="containsText" dxfId="7" text="NEPHRO">
      <formula>NOT(ISERROR(SEARCH(("NEPHRO"),(AO53))))</formula>
    </cfRule>
    <cfRule type="containsText" priority="8697" operator="containsText" dxfId="7" text="PULM">
      <formula>NOT(ISERROR(SEARCH(("PULM"),(AO53))))</formula>
    </cfRule>
    <cfRule type="containsText" priority="8698" operator="containsText" dxfId="7" text="RADIOLOGY">
      <formula>NOT(ISERROR(SEARCH(("RADIOLOGY"),(AO53))))</formula>
    </cfRule>
    <cfRule type="containsText" priority="8699" operator="containsText" dxfId="7" text="HEM/ONC">
      <formula>NOT(ISERROR(SEARCH(("HEM/ONC"),(AO53))))</formula>
    </cfRule>
    <cfRule type="containsText" priority="8700" operator="containsText" dxfId="7" text="CARDIO">
      <formula>NOT(ISERROR(SEARCH(("CARDIO"),(AO53))))</formula>
    </cfRule>
    <cfRule type="containsText" priority="8701" operator="containsText" dxfId="7" text="ID">
      <formula>NOT(ISERROR(SEARCH(("ID"),(AO53))))</formula>
    </cfRule>
    <cfRule type="containsText" priority="8702" operator="containsText" dxfId="7" text="NEURO">
      <formula>NOT(ISERROR(SEARCH(("NEURO"),(AO53))))</formula>
    </cfRule>
    <cfRule type="containsText" priority="8703" operator="containsText" dxfId="6" text="NEURO">
      <formula>NOT(ISERROR(SEARCH(("NEURO"),(AO53))))</formula>
    </cfRule>
    <cfRule type="containsText" priority="8704" operator="containsText" dxfId="5" text="NEURO">
      <formula>NOT(ISERROR(SEARCH(("NEURO"),(AO53))))</formula>
    </cfRule>
    <cfRule type="containsText" priority="8705" operator="containsText" dxfId="0" text="ICU N">
      <formula>NOT(ISERROR(SEARCH(("ICU N"),(AO53))))</formula>
    </cfRule>
    <cfRule type="containsText" priority="8706" operator="containsText" dxfId="3" text="ICU">
      <formula>NOT(ISERROR(SEARCH(("ICU"),(AO53))))</formula>
    </cfRule>
    <cfRule type="containsText" priority="8707" operator="containsText" dxfId="0" text="SWING">
      <formula>NOT(ISERROR(SEARCH(("SWING"),(AO53))))</formula>
    </cfRule>
    <cfRule type="containsText" priority="8708" operator="containsText" dxfId="0" text="NF">
      <formula>NOT(ISERROR(SEARCH(("NF"),(AO53))))</formula>
    </cfRule>
  </conditionalFormatting>
  <conditionalFormatting sqref="H53">
    <cfRule type="containsText" priority="8675" operator="containsText" dxfId="17" text="VACATION">
      <formula>NOT(ISERROR(SEARCH(("VACATION"),(H53))))</formula>
    </cfRule>
    <cfRule type="containsText" priority="8676" operator="containsText" dxfId="16" text="ED">
      <formula>NOT(ISERROR(SEARCH(("ED"),(H53))))</formula>
    </cfRule>
    <cfRule type="containsText" priority="8677" operator="containsText" dxfId="15" text="GERIATRIC">
      <formula>NOT(ISERROR(SEARCH(("GERIATRIC"),(H53))))</formula>
    </cfRule>
    <cfRule type="containsText" priority="8678" operator="containsText" dxfId="7" text="PATH">
      <formula>NOT(ISERROR(SEARCH(("PATH"),(H53))))</formula>
    </cfRule>
    <cfRule type="containsText" priority="8679" operator="containsText" dxfId="7" text="NEPHRO">
      <formula>NOT(ISERROR(SEARCH(("NEPHRO"),(H53))))</formula>
    </cfRule>
    <cfRule type="containsText" priority="8680" operator="containsText" dxfId="7" text="PULM">
      <formula>NOT(ISERROR(SEARCH(("PULM"),(H53))))</formula>
    </cfRule>
    <cfRule type="containsText" priority="8681" operator="containsText" dxfId="7" text="RADIOLOGY">
      <formula>NOT(ISERROR(SEARCH(("RADIOLOGY"),(H53))))</formula>
    </cfRule>
    <cfRule type="containsText" priority="8682" operator="containsText" dxfId="7" text="HEM/ONC">
      <formula>NOT(ISERROR(SEARCH(("HEM/ONC"),(H53))))</formula>
    </cfRule>
    <cfRule type="containsText" priority="8683" operator="containsText" dxfId="7" text="CARDIO">
      <formula>NOT(ISERROR(SEARCH(("CARDIO"),(H53))))</formula>
    </cfRule>
    <cfRule type="containsText" priority="8684" operator="containsText" dxfId="7" text="ID">
      <formula>NOT(ISERROR(SEARCH(("ID"),(H53))))</formula>
    </cfRule>
    <cfRule type="containsText" priority="8685" operator="containsText" dxfId="7" text="NEURO">
      <formula>NOT(ISERROR(SEARCH(("NEURO"),(H53))))</formula>
    </cfRule>
    <cfRule type="containsText" priority="8686" operator="containsText" dxfId="6" text="NEURO">
      <formula>NOT(ISERROR(SEARCH(("NEURO"),(H53))))</formula>
    </cfRule>
    <cfRule type="containsText" priority="8687" operator="containsText" dxfId="5" text="NEURO">
      <formula>NOT(ISERROR(SEARCH(("NEURO"),(H53))))</formula>
    </cfRule>
    <cfRule type="containsText" priority="8688" operator="containsText" dxfId="0" text="ICU N">
      <formula>NOT(ISERROR(SEARCH(("ICU N"),(H53))))</formula>
    </cfRule>
    <cfRule type="containsText" priority="8689" operator="containsText" dxfId="3" text="ICU">
      <formula>NOT(ISERROR(SEARCH(("ICU"),(H53))))</formula>
    </cfRule>
    <cfRule type="containsText" priority="8690" operator="containsText" dxfId="0" text="SWING">
      <formula>NOT(ISERROR(SEARCH(("SWING"),(H53))))</formula>
    </cfRule>
    <cfRule type="containsText" priority="8691" operator="containsText" dxfId="0" text="NF">
      <formula>NOT(ISERROR(SEARCH(("NF"),(H53))))</formula>
    </cfRule>
  </conditionalFormatting>
  <conditionalFormatting sqref="I53">
    <cfRule type="containsText" priority="8658" operator="containsText" dxfId="17" text="VACATION">
      <formula>NOT(ISERROR(SEARCH(("VACATION"),(I53))))</formula>
    </cfRule>
    <cfRule type="containsText" priority="8659" operator="containsText" dxfId="16" text="ED">
      <formula>NOT(ISERROR(SEARCH(("ED"),(I53))))</formula>
    </cfRule>
    <cfRule type="containsText" priority="8660" operator="containsText" dxfId="15" text="GERIATRIC">
      <formula>NOT(ISERROR(SEARCH(("GERIATRIC"),(I53))))</formula>
    </cfRule>
    <cfRule type="containsText" priority="8661" operator="containsText" dxfId="7" text="PATH">
      <formula>NOT(ISERROR(SEARCH(("PATH"),(I53))))</formula>
    </cfRule>
    <cfRule type="containsText" priority="8662" operator="containsText" dxfId="7" text="NEPHRO">
      <formula>NOT(ISERROR(SEARCH(("NEPHRO"),(I53))))</formula>
    </cfRule>
    <cfRule type="containsText" priority="8663" operator="containsText" dxfId="7" text="PULM">
      <formula>NOT(ISERROR(SEARCH(("PULM"),(I53))))</formula>
    </cfRule>
    <cfRule type="containsText" priority="8664" operator="containsText" dxfId="7" text="RADIOLOGY">
      <formula>NOT(ISERROR(SEARCH(("RADIOLOGY"),(I53))))</formula>
    </cfRule>
    <cfRule type="containsText" priority="8665" operator="containsText" dxfId="7" text="HEM/ONC">
      <formula>NOT(ISERROR(SEARCH(("HEM/ONC"),(I53))))</formula>
    </cfRule>
    <cfRule type="containsText" priority="8666" operator="containsText" dxfId="7" text="CARDIO">
      <formula>NOT(ISERROR(SEARCH(("CARDIO"),(I53))))</formula>
    </cfRule>
    <cfRule type="containsText" priority="8667" operator="containsText" dxfId="7" text="ID">
      <formula>NOT(ISERROR(SEARCH(("ID"),(I53))))</formula>
    </cfRule>
    <cfRule type="containsText" priority="8668" operator="containsText" dxfId="7" text="NEURO">
      <formula>NOT(ISERROR(SEARCH(("NEURO"),(I53))))</formula>
    </cfRule>
    <cfRule type="containsText" priority="8669" operator="containsText" dxfId="6" text="NEURO">
      <formula>NOT(ISERROR(SEARCH(("NEURO"),(I53))))</formula>
    </cfRule>
    <cfRule type="containsText" priority="8670" operator="containsText" dxfId="5" text="NEURO">
      <formula>NOT(ISERROR(SEARCH(("NEURO"),(I53))))</formula>
    </cfRule>
    <cfRule type="containsText" priority="8671" operator="containsText" dxfId="0" text="ICU N">
      <formula>NOT(ISERROR(SEARCH(("ICU N"),(I53))))</formula>
    </cfRule>
    <cfRule type="containsText" priority="8672" operator="containsText" dxfId="3" text="ICU">
      <formula>NOT(ISERROR(SEARCH(("ICU"),(I53))))</formula>
    </cfRule>
    <cfRule type="containsText" priority="8673" operator="containsText" dxfId="0" text="SWING">
      <formula>NOT(ISERROR(SEARCH(("SWING"),(I53))))</formula>
    </cfRule>
    <cfRule type="containsText" priority="8674" operator="containsText" dxfId="0" text="NF">
      <formula>NOT(ISERROR(SEARCH(("NF"),(I53))))</formula>
    </cfRule>
  </conditionalFormatting>
  <conditionalFormatting sqref="AQ50">
    <cfRule type="containsText" priority="8573" operator="containsText" dxfId="16" text="ED">
      <formula>NOT(ISERROR(SEARCH(("ED"),(AQ50))))</formula>
    </cfRule>
    <cfRule type="containsText" priority="8574" operator="containsText" dxfId="15" text="GERIATRIC">
      <formula>NOT(ISERROR(SEARCH(("GERIATRIC"),(AQ50))))</formula>
    </cfRule>
    <cfRule type="containsText" priority="8575" operator="containsText" dxfId="17" text="VACATION">
      <formula>NOT(ISERROR(SEARCH(("VACATION"),(AQ50))))</formula>
    </cfRule>
    <cfRule type="containsText" priority="8576" operator="containsText" dxfId="7" text="PATH">
      <formula>NOT(ISERROR(SEARCH(("PATH"),(AQ50))))</formula>
    </cfRule>
    <cfRule type="containsText" priority="8577" operator="containsText" dxfId="7" text="NEPHRO">
      <formula>NOT(ISERROR(SEARCH(("NEPHRO"),(AQ50))))</formula>
    </cfRule>
    <cfRule type="containsText" priority="8578" operator="containsText" dxfId="7" text="PULM">
      <formula>NOT(ISERROR(SEARCH(("PULM"),(AQ50))))</formula>
    </cfRule>
    <cfRule type="containsText" priority="8579" operator="containsText" dxfId="7" text="RADIOLOGY">
      <formula>NOT(ISERROR(SEARCH(("RADIOLOGY"),(AQ50))))</formula>
    </cfRule>
    <cfRule type="containsText" priority="8580" operator="containsText" dxfId="7" text="HEM/ONC">
      <formula>NOT(ISERROR(SEARCH(("HEM/ONC"),(AQ50))))</formula>
    </cfRule>
    <cfRule type="containsText" priority="8581" operator="containsText" dxfId="7" text="CARDIO">
      <formula>NOT(ISERROR(SEARCH(("CARDIO"),(AQ50))))</formula>
    </cfRule>
    <cfRule type="containsText" priority="8582" operator="containsText" dxfId="7" text="ID">
      <formula>NOT(ISERROR(SEARCH(("ID"),(AQ50))))</formula>
    </cfRule>
    <cfRule type="containsText" priority="8583" operator="containsText" dxfId="7" text="NEURO">
      <formula>NOT(ISERROR(SEARCH(("NEURO"),(AQ50))))</formula>
    </cfRule>
    <cfRule type="containsText" priority="8584" operator="containsText" dxfId="6" text="NEURO">
      <formula>NOT(ISERROR(SEARCH(("NEURO"),(AQ50))))</formula>
    </cfRule>
    <cfRule type="containsText" priority="8585" operator="containsText" dxfId="5" text="NEURO">
      <formula>NOT(ISERROR(SEARCH(("NEURO"),(AQ50))))</formula>
    </cfRule>
    <cfRule type="containsText" priority="8586" operator="containsText" dxfId="0" text="ICU N">
      <formula>NOT(ISERROR(SEARCH(("ICU N"),(AQ50))))</formula>
    </cfRule>
    <cfRule type="containsText" priority="8587" operator="containsText" dxfId="3" text="ICU">
      <formula>NOT(ISERROR(SEARCH(("ICU"),(AQ50))))</formula>
    </cfRule>
    <cfRule type="containsText" priority="8588" operator="containsText" dxfId="0" text="SWING">
      <formula>NOT(ISERROR(SEARCH(("SWING"),(AQ50))))</formula>
    </cfRule>
    <cfRule type="containsText" priority="8589" operator="containsText" dxfId="0" text="NF">
      <formula>NOT(ISERROR(SEARCH(("NF"),(AQ50))))</formula>
    </cfRule>
    <cfRule type="containsText" priority="8590" operator="containsText" dxfId="0" text="ICU N">
      <formula>NOT(ISERROR(SEARCH(("ICU N"),(AQ50))))</formula>
    </cfRule>
    <cfRule type="containsText" priority="8556" operator="containsText" dxfId="17" text="VACATION">
      <formula>NOT(ISERROR(SEARCH(("VACATION"),(AQ50))))</formula>
    </cfRule>
    <cfRule type="containsText" priority="8557" operator="containsText" dxfId="16" text="ED">
      <formula>NOT(ISERROR(SEARCH(("ED"),(AQ50))))</formula>
    </cfRule>
    <cfRule type="containsText" priority="8558" operator="containsText" dxfId="15" text="GERIATRIC">
      <formula>NOT(ISERROR(SEARCH(("GERIATRIC"),(AQ50))))</formula>
    </cfRule>
    <cfRule type="containsText" priority="8559" operator="containsText" dxfId="7" text="PATH">
      <formula>NOT(ISERROR(SEARCH(("PATH"),(AQ50))))</formula>
    </cfRule>
    <cfRule type="containsText" priority="8560" operator="containsText" dxfId="7" text="NEPHRO">
      <formula>NOT(ISERROR(SEARCH(("NEPHRO"),(AQ50))))</formula>
    </cfRule>
    <cfRule type="containsText" priority="8561" operator="containsText" dxfId="7" text="PULM">
      <formula>NOT(ISERROR(SEARCH(("PULM"),(AQ50))))</formula>
    </cfRule>
    <cfRule type="containsText" priority="8562" operator="containsText" dxfId="7" text="RADIOLOGY">
      <formula>NOT(ISERROR(SEARCH(("RADIOLOGY"),(AQ50))))</formula>
    </cfRule>
    <cfRule type="containsText" priority="8563" operator="containsText" dxfId="7" text="HEM/ONC">
      <formula>NOT(ISERROR(SEARCH(("HEM/ONC"),(AQ50))))</formula>
    </cfRule>
    <cfRule type="containsText" priority="8564" operator="containsText" dxfId="7" text="CARDIO">
      <formula>NOT(ISERROR(SEARCH(("CARDIO"),(AQ50))))</formula>
    </cfRule>
    <cfRule type="containsText" priority="8565" operator="containsText" dxfId="7" text="ID">
      <formula>NOT(ISERROR(SEARCH(("ID"),(AQ50))))</formula>
    </cfRule>
    <cfRule type="containsText" priority="8566" operator="containsText" dxfId="7" text="NEURO">
      <formula>NOT(ISERROR(SEARCH(("NEURO"),(AQ50))))</formula>
    </cfRule>
    <cfRule type="containsText" priority="8567" operator="containsText" dxfId="6" text="NEURO">
      <formula>NOT(ISERROR(SEARCH(("NEURO"),(AQ50))))</formula>
    </cfRule>
    <cfRule type="containsText" priority="8568" operator="containsText" dxfId="5" text="NEURO">
      <formula>NOT(ISERROR(SEARCH(("NEURO"),(AQ50))))</formula>
    </cfRule>
    <cfRule type="containsText" priority="8569" operator="containsText" dxfId="0" text="ICU N">
      <formula>NOT(ISERROR(SEARCH(("ICU N"),(AQ50))))</formula>
    </cfRule>
    <cfRule type="containsText" priority="8570" operator="containsText" dxfId="3" text="ICU">
      <formula>NOT(ISERROR(SEARCH(("ICU"),(AQ50))))</formula>
    </cfRule>
    <cfRule type="containsText" priority="8571" operator="containsText" dxfId="0" text="SWING">
      <formula>NOT(ISERROR(SEARCH(("SWING"),(AQ50))))</formula>
    </cfRule>
    <cfRule type="containsText" priority="8572" operator="containsText" dxfId="0" text="NF">
      <formula>NOT(ISERROR(SEARCH(("NF"),(AQ50))))</formula>
    </cfRule>
    <cfRule type="containsText" priority="8541" operator="containsText" dxfId="7" text="PATH">
      <formula>NOT(ISERROR(SEARCH(("PATH"),(AQ50))))</formula>
    </cfRule>
    <cfRule type="containsText" priority="8542" operator="containsText" dxfId="7" text="NEPHRO">
      <formula>NOT(ISERROR(SEARCH(("NEPHRO"),(AQ50))))</formula>
    </cfRule>
    <cfRule type="containsText" priority="8543" operator="containsText" dxfId="7" text="PULM">
      <formula>NOT(ISERROR(SEARCH(("PULM"),(AQ50))))</formula>
    </cfRule>
    <cfRule type="containsText" priority="8544" operator="containsText" dxfId="7" text="RADIOLOGY">
      <formula>NOT(ISERROR(SEARCH(("RADIOLOGY"),(AQ50))))</formula>
    </cfRule>
    <cfRule type="containsText" priority="8545" operator="containsText" dxfId="7" text="HEM/ONC">
      <formula>NOT(ISERROR(SEARCH(("HEM/ONC"),(AQ50))))</formula>
    </cfRule>
    <cfRule type="containsText" priority="8546" operator="containsText" dxfId="7" text="CARDIO">
      <formula>NOT(ISERROR(SEARCH(("CARDIO"),(AQ50))))</formula>
    </cfRule>
    <cfRule type="containsText" priority="8547" operator="containsText" dxfId="7" text="ID">
      <formula>NOT(ISERROR(SEARCH(("ID"),(AQ50))))</formula>
    </cfRule>
    <cfRule type="containsText" priority="8548" operator="containsText" dxfId="7" text="NEURO">
      <formula>NOT(ISERROR(SEARCH(("NEURO"),(AQ50))))</formula>
    </cfRule>
    <cfRule type="containsText" priority="8549" operator="containsText" dxfId="6" text="NEURO">
      <formula>NOT(ISERROR(SEARCH(("NEURO"),(AQ50))))</formula>
    </cfRule>
    <cfRule type="containsText" priority="8550" operator="containsText" dxfId="5" text="NEURO">
      <formula>NOT(ISERROR(SEARCH(("NEURO"),(AQ50))))</formula>
    </cfRule>
    <cfRule type="containsText" priority="8551" operator="containsText" dxfId="0" text="ICU N">
      <formula>NOT(ISERROR(SEARCH(("ICU N"),(AQ50))))</formula>
    </cfRule>
    <cfRule type="containsText" priority="8552" operator="containsText" dxfId="3" text="ICU">
      <formula>NOT(ISERROR(SEARCH(("ICU"),(AQ50))))</formula>
    </cfRule>
    <cfRule type="containsText" priority="8553" operator="containsText" dxfId="0" text="SWING">
      <formula>NOT(ISERROR(SEARCH(("SWING"),(AQ50))))</formula>
    </cfRule>
    <cfRule type="containsText" priority="8554" operator="containsText" dxfId="0" text="NF">
      <formula>NOT(ISERROR(SEARCH(("NF"),(AQ50))))</formula>
    </cfRule>
    <cfRule type="containsText" priority="8555" operator="containsText" dxfId="0" text="ICU N">
      <formula>NOT(ISERROR(SEARCH(("ICU N"),(AQ50))))</formula>
    </cfRule>
  </conditionalFormatting>
  <conditionalFormatting sqref="AP50">
    <cfRule type="containsText" priority="8523" operator="containsText" dxfId="16" text="ED">
      <formula>NOT(ISERROR(SEARCH(("ED"),(AP50))))</formula>
    </cfRule>
    <cfRule type="containsText" priority="8524" operator="containsText" dxfId="15" text="GERIATRIC">
      <formula>NOT(ISERROR(SEARCH(("GERIATRIC"),(AP50))))</formula>
    </cfRule>
    <cfRule type="containsText" priority="8525" operator="containsText" dxfId="17" text="VACATION">
      <formula>NOT(ISERROR(SEARCH(("VACATION"),(AP50))))</formula>
    </cfRule>
    <cfRule type="containsText" priority="8526" operator="containsText" dxfId="7" text="PATH">
      <formula>NOT(ISERROR(SEARCH(("PATH"),(AP50))))</formula>
    </cfRule>
    <cfRule type="containsText" priority="8527" operator="containsText" dxfId="7" text="NEPHRO">
      <formula>NOT(ISERROR(SEARCH(("NEPHRO"),(AP50))))</formula>
    </cfRule>
    <cfRule type="containsText" priority="8528" operator="containsText" dxfId="7" text="PULM">
      <formula>NOT(ISERROR(SEARCH(("PULM"),(AP50))))</formula>
    </cfRule>
    <cfRule type="containsText" priority="8529" operator="containsText" dxfId="7" text="RADIOLOGY">
      <formula>NOT(ISERROR(SEARCH(("RADIOLOGY"),(AP50))))</formula>
    </cfRule>
    <cfRule type="containsText" priority="8530" operator="containsText" dxfId="7" text="HEM/ONC">
      <formula>NOT(ISERROR(SEARCH(("HEM/ONC"),(AP50))))</formula>
    </cfRule>
    <cfRule type="containsText" priority="8531" operator="containsText" dxfId="7" text="CARDIO">
      <formula>NOT(ISERROR(SEARCH(("CARDIO"),(AP50))))</formula>
    </cfRule>
    <cfRule type="containsText" priority="8532" operator="containsText" dxfId="7" text="ID">
      <formula>NOT(ISERROR(SEARCH(("ID"),(AP50))))</formula>
    </cfRule>
    <cfRule type="containsText" priority="8533" operator="containsText" dxfId="7" text="NEURO">
      <formula>NOT(ISERROR(SEARCH(("NEURO"),(AP50))))</formula>
    </cfRule>
    <cfRule type="containsText" priority="8534" operator="containsText" dxfId="6" text="NEURO">
      <formula>NOT(ISERROR(SEARCH(("NEURO"),(AP50))))</formula>
    </cfRule>
    <cfRule type="containsText" priority="8535" operator="containsText" dxfId="5" text="NEURO">
      <formula>NOT(ISERROR(SEARCH(("NEURO"),(AP50))))</formula>
    </cfRule>
    <cfRule type="containsText" priority="8536" operator="containsText" dxfId="0" text="ICU N">
      <formula>NOT(ISERROR(SEARCH(("ICU N"),(AP50))))</formula>
    </cfRule>
    <cfRule type="containsText" priority="8537" operator="containsText" dxfId="3" text="ICU">
      <formula>NOT(ISERROR(SEARCH(("ICU"),(AP50))))</formula>
    </cfRule>
    <cfRule type="containsText" priority="8538" operator="containsText" dxfId="0" text="SWING">
      <formula>NOT(ISERROR(SEARCH(("SWING"),(AP50))))</formula>
    </cfRule>
    <cfRule type="containsText" priority="8539" operator="containsText" dxfId="0" text="NF">
      <formula>NOT(ISERROR(SEARCH(("NF"),(AP50))))</formula>
    </cfRule>
    <cfRule type="containsText" priority="8540" operator="containsText" dxfId="0" text="ICU N">
      <formula>NOT(ISERROR(SEARCH(("ICU N"),(AP50))))</formula>
    </cfRule>
    <cfRule type="containsText" priority="8506" operator="containsText" dxfId="17" text="VACATION">
      <formula>NOT(ISERROR(SEARCH(("VACATION"),(AP50))))</formula>
    </cfRule>
    <cfRule type="containsText" priority="8507" operator="containsText" dxfId="16" text="ED">
      <formula>NOT(ISERROR(SEARCH(("ED"),(AP50))))</formula>
    </cfRule>
    <cfRule type="containsText" priority="8508" operator="containsText" dxfId="15" text="GERIATRIC">
      <formula>NOT(ISERROR(SEARCH(("GERIATRIC"),(AP50))))</formula>
    </cfRule>
    <cfRule type="containsText" priority="8509" operator="containsText" dxfId="7" text="PATH">
      <formula>NOT(ISERROR(SEARCH(("PATH"),(AP50))))</formula>
    </cfRule>
    <cfRule type="containsText" priority="8510" operator="containsText" dxfId="7" text="NEPHRO">
      <formula>NOT(ISERROR(SEARCH(("NEPHRO"),(AP50))))</formula>
    </cfRule>
    <cfRule type="containsText" priority="8511" operator="containsText" dxfId="7" text="PULM">
      <formula>NOT(ISERROR(SEARCH(("PULM"),(AP50))))</formula>
    </cfRule>
    <cfRule type="containsText" priority="8512" operator="containsText" dxfId="7" text="RADIOLOGY">
      <formula>NOT(ISERROR(SEARCH(("RADIOLOGY"),(AP50))))</formula>
    </cfRule>
    <cfRule type="containsText" priority="8513" operator="containsText" dxfId="7" text="HEM/ONC">
      <formula>NOT(ISERROR(SEARCH(("HEM/ONC"),(AP50))))</formula>
    </cfRule>
    <cfRule type="containsText" priority="8514" operator="containsText" dxfId="7" text="CARDIO">
      <formula>NOT(ISERROR(SEARCH(("CARDIO"),(AP50))))</formula>
    </cfRule>
    <cfRule type="containsText" priority="8515" operator="containsText" dxfId="7" text="ID">
      <formula>NOT(ISERROR(SEARCH(("ID"),(AP50))))</formula>
    </cfRule>
    <cfRule type="containsText" priority="8516" operator="containsText" dxfId="7" text="NEURO">
      <formula>NOT(ISERROR(SEARCH(("NEURO"),(AP50))))</formula>
    </cfRule>
    <cfRule type="containsText" priority="8517" operator="containsText" dxfId="6" text="NEURO">
      <formula>NOT(ISERROR(SEARCH(("NEURO"),(AP50))))</formula>
    </cfRule>
    <cfRule type="containsText" priority="8518" operator="containsText" dxfId="5" text="NEURO">
      <formula>NOT(ISERROR(SEARCH(("NEURO"),(AP50))))</formula>
    </cfRule>
    <cfRule type="containsText" priority="8519" operator="containsText" dxfId="0" text="ICU N">
      <formula>NOT(ISERROR(SEARCH(("ICU N"),(AP50))))</formula>
    </cfRule>
    <cfRule type="containsText" priority="8520" operator="containsText" dxfId="3" text="ICU">
      <formula>NOT(ISERROR(SEARCH(("ICU"),(AP50))))</formula>
    </cfRule>
    <cfRule type="containsText" priority="8521" operator="containsText" dxfId="0" text="SWING">
      <formula>NOT(ISERROR(SEARCH(("SWING"),(AP50))))</formula>
    </cfRule>
    <cfRule type="containsText" priority="8522" operator="containsText" dxfId="0" text="NF">
      <formula>NOT(ISERROR(SEARCH(("NF"),(AP50))))</formula>
    </cfRule>
    <cfRule type="containsText" priority="8491" operator="containsText" dxfId="7" text="PATH">
      <formula>NOT(ISERROR(SEARCH(("PATH"),(AP50))))</formula>
    </cfRule>
    <cfRule type="containsText" priority="8492" operator="containsText" dxfId="7" text="NEPHRO">
      <formula>NOT(ISERROR(SEARCH(("NEPHRO"),(AP50))))</formula>
    </cfRule>
    <cfRule type="containsText" priority="8493" operator="containsText" dxfId="7" text="PULM">
      <formula>NOT(ISERROR(SEARCH(("PULM"),(AP50))))</formula>
    </cfRule>
    <cfRule type="containsText" priority="8494" operator="containsText" dxfId="7" text="RADIOLOGY">
      <formula>NOT(ISERROR(SEARCH(("RADIOLOGY"),(AP50))))</formula>
    </cfRule>
    <cfRule type="containsText" priority="8495" operator="containsText" dxfId="7" text="HEM/ONC">
      <formula>NOT(ISERROR(SEARCH(("HEM/ONC"),(AP50))))</formula>
    </cfRule>
    <cfRule type="containsText" priority="8496" operator="containsText" dxfId="7" text="CARDIO">
      <formula>NOT(ISERROR(SEARCH(("CARDIO"),(AP50))))</formula>
    </cfRule>
    <cfRule type="containsText" priority="8497" operator="containsText" dxfId="7" text="ID">
      <formula>NOT(ISERROR(SEARCH(("ID"),(AP50))))</formula>
    </cfRule>
    <cfRule type="containsText" priority="8498" operator="containsText" dxfId="7" text="NEURO">
      <formula>NOT(ISERROR(SEARCH(("NEURO"),(AP50))))</formula>
    </cfRule>
    <cfRule type="containsText" priority="8499" operator="containsText" dxfId="6" text="NEURO">
      <formula>NOT(ISERROR(SEARCH(("NEURO"),(AP50))))</formula>
    </cfRule>
    <cfRule type="containsText" priority="8500" operator="containsText" dxfId="5" text="NEURO">
      <formula>NOT(ISERROR(SEARCH(("NEURO"),(AP50))))</formula>
    </cfRule>
    <cfRule type="containsText" priority="8501" operator="containsText" dxfId="0" text="ICU N">
      <formula>NOT(ISERROR(SEARCH(("ICU N"),(AP50))))</formula>
    </cfRule>
    <cfRule type="containsText" priority="8502" operator="containsText" dxfId="3" text="ICU">
      <formula>NOT(ISERROR(SEARCH(("ICU"),(AP50))))</formula>
    </cfRule>
    <cfRule type="containsText" priority="8503" operator="containsText" dxfId="0" text="SWING">
      <formula>NOT(ISERROR(SEARCH(("SWING"),(AP50))))</formula>
    </cfRule>
    <cfRule type="containsText" priority="8504" operator="containsText" dxfId="0" text="NF">
      <formula>NOT(ISERROR(SEARCH(("NF"),(AP50))))</formula>
    </cfRule>
    <cfRule type="containsText" priority="8505" operator="containsText" dxfId="0" text="ICU N">
      <formula>NOT(ISERROR(SEARCH(("ICU N"),(AP50))))</formula>
    </cfRule>
  </conditionalFormatting>
  <conditionalFormatting sqref="AQ51">
    <cfRule type="containsText" priority="8474" operator="containsText" dxfId="17" text="VACATION">
      <formula>NOT(ISERROR(SEARCH(("VACATION"),(AQ51))))</formula>
    </cfRule>
    <cfRule type="containsText" priority="8475" operator="containsText" dxfId="16" text="ED">
      <formula>NOT(ISERROR(SEARCH(("ED"),(AQ51))))</formula>
    </cfRule>
    <cfRule type="containsText" priority="8476" operator="containsText" dxfId="15" text="GERIATRIC">
      <formula>NOT(ISERROR(SEARCH(("GERIATRIC"),(AQ51))))</formula>
    </cfRule>
    <cfRule type="containsText" priority="8477" operator="containsText" dxfId="7" text="PATH">
      <formula>NOT(ISERROR(SEARCH(("PATH"),(AQ51))))</formula>
    </cfRule>
    <cfRule type="containsText" priority="8478" operator="containsText" dxfId="7" text="NEPHRO">
      <formula>NOT(ISERROR(SEARCH(("NEPHRO"),(AQ51))))</formula>
    </cfRule>
    <cfRule type="containsText" priority="8479" operator="containsText" dxfId="7" text="PULM">
      <formula>NOT(ISERROR(SEARCH(("PULM"),(AQ51))))</formula>
    </cfRule>
    <cfRule type="containsText" priority="8480" operator="containsText" dxfId="7" text="RADIOLOGY">
      <formula>NOT(ISERROR(SEARCH(("RADIOLOGY"),(AQ51))))</formula>
    </cfRule>
    <cfRule type="containsText" priority="8481" operator="containsText" dxfId="7" text="HEM/ONC">
      <formula>NOT(ISERROR(SEARCH(("HEM/ONC"),(AQ51))))</formula>
    </cfRule>
    <cfRule type="containsText" priority="8482" operator="containsText" dxfId="7" text="CARDIO">
      <formula>NOT(ISERROR(SEARCH(("CARDIO"),(AQ51))))</formula>
    </cfRule>
    <cfRule type="containsText" priority="8483" operator="containsText" dxfId="7" text="ID">
      <formula>NOT(ISERROR(SEARCH(("ID"),(AQ51))))</formula>
    </cfRule>
    <cfRule type="containsText" priority="8484" operator="containsText" dxfId="7" text="NEURO">
      <formula>NOT(ISERROR(SEARCH(("NEURO"),(AQ51))))</formula>
    </cfRule>
    <cfRule type="containsText" priority="8485" operator="containsText" dxfId="6" text="NEURO">
      <formula>NOT(ISERROR(SEARCH(("NEURO"),(AQ51))))</formula>
    </cfRule>
    <cfRule type="containsText" priority="8486" operator="containsText" dxfId="5" text="NEURO">
      <formula>NOT(ISERROR(SEARCH(("NEURO"),(AQ51))))</formula>
    </cfRule>
    <cfRule type="containsText" priority="8487" operator="containsText" dxfId="0" text="ICU N">
      <formula>NOT(ISERROR(SEARCH(("ICU N"),(AQ51))))</formula>
    </cfRule>
    <cfRule type="containsText" priority="8488" operator="containsText" dxfId="3" text="ICU">
      <formula>NOT(ISERROR(SEARCH(("ICU"),(AQ51))))</formula>
    </cfRule>
    <cfRule type="containsText" priority="8489" operator="containsText" dxfId="0" text="SWING">
      <formula>NOT(ISERROR(SEARCH(("SWING"),(AQ51))))</formula>
    </cfRule>
    <cfRule type="containsText" priority="8490" operator="containsText" dxfId="0" text="NF">
      <formula>NOT(ISERROR(SEARCH(("NF"),(AQ51))))</formula>
    </cfRule>
  </conditionalFormatting>
  <conditionalFormatting sqref="AR51">
    <cfRule type="containsText" priority="8457" operator="containsText" dxfId="17" text="VACATION">
      <formula>NOT(ISERROR(SEARCH(("VACATION"),(AR51))))</formula>
    </cfRule>
    <cfRule type="containsText" priority="8458" operator="containsText" dxfId="16" text="ED">
      <formula>NOT(ISERROR(SEARCH(("ED"),(AR51))))</formula>
    </cfRule>
    <cfRule type="containsText" priority="8459" operator="containsText" dxfId="15" text="GERIATRIC">
      <formula>NOT(ISERROR(SEARCH(("GERIATRIC"),(AR51))))</formula>
    </cfRule>
    <cfRule type="containsText" priority="8460" operator="containsText" dxfId="7" text="PATH">
      <formula>NOT(ISERROR(SEARCH(("PATH"),(AR51))))</formula>
    </cfRule>
    <cfRule type="containsText" priority="8461" operator="containsText" dxfId="7" text="NEPHRO">
      <formula>NOT(ISERROR(SEARCH(("NEPHRO"),(AR51))))</formula>
    </cfRule>
    <cfRule type="containsText" priority="8462" operator="containsText" dxfId="7" text="PULM">
      <formula>NOT(ISERROR(SEARCH(("PULM"),(AR51))))</formula>
    </cfRule>
    <cfRule type="containsText" priority="8463" operator="containsText" dxfId="7" text="RADIOLOGY">
      <formula>NOT(ISERROR(SEARCH(("RADIOLOGY"),(AR51))))</formula>
    </cfRule>
    <cfRule type="containsText" priority="8464" operator="containsText" dxfId="7" text="HEM/ONC">
      <formula>NOT(ISERROR(SEARCH(("HEM/ONC"),(AR51))))</formula>
    </cfRule>
    <cfRule type="containsText" priority="8465" operator="containsText" dxfId="7" text="CARDIO">
      <formula>NOT(ISERROR(SEARCH(("CARDIO"),(AR51))))</formula>
    </cfRule>
    <cfRule type="containsText" priority="8466" operator="containsText" dxfId="7" text="ID">
      <formula>NOT(ISERROR(SEARCH(("ID"),(AR51))))</formula>
    </cfRule>
    <cfRule type="containsText" priority="8467" operator="containsText" dxfId="7" text="NEURO">
      <formula>NOT(ISERROR(SEARCH(("NEURO"),(AR51))))</formula>
    </cfRule>
    <cfRule type="containsText" priority="8468" operator="containsText" dxfId="6" text="NEURO">
      <formula>NOT(ISERROR(SEARCH(("NEURO"),(AR51))))</formula>
    </cfRule>
    <cfRule type="containsText" priority="8469" operator="containsText" dxfId="5" text="NEURO">
      <formula>NOT(ISERROR(SEARCH(("NEURO"),(AR51))))</formula>
    </cfRule>
    <cfRule type="containsText" priority="8470" operator="containsText" dxfId="0" text="ICU N">
      <formula>NOT(ISERROR(SEARCH(("ICU N"),(AR51))))</formula>
    </cfRule>
    <cfRule type="containsText" priority="8471" operator="containsText" dxfId="3" text="ICU">
      <formula>NOT(ISERROR(SEARCH(("ICU"),(AR51))))</formula>
    </cfRule>
    <cfRule type="containsText" priority="8472" operator="containsText" dxfId="0" text="SWING">
      <formula>NOT(ISERROR(SEARCH(("SWING"),(AR51))))</formula>
    </cfRule>
    <cfRule type="containsText" priority="8473" operator="containsText" dxfId="0" text="NF">
      <formula>NOT(ISERROR(SEARCH(("NF"),(AR51))))</formula>
    </cfRule>
  </conditionalFormatting>
  <conditionalFormatting sqref="AN53">
    <cfRule type="containsText" priority="8440" operator="containsText" dxfId="17" text="VACATION">
      <formula>NOT(ISERROR(SEARCH(("VACATION"),(AN53))))</formula>
    </cfRule>
    <cfRule type="containsText" priority="8441" operator="containsText" dxfId="16" text="ED">
      <formula>NOT(ISERROR(SEARCH(("ED"),(AN53))))</formula>
    </cfRule>
    <cfRule type="containsText" priority="8442" operator="containsText" dxfId="15" text="GERIATRIC">
      <formula>NOT(ISERROR(SEARCH(("GERIATRIC"),(AN53))))</formula>
    </cfRule>
    <cfRule type="containsText" priority="8443" operator="containsText" dxfId="7" text="PATH">
      <formula>NOT(ISERROR(SEARCH(("PATH"),(AN53))))</formula>
    </cfRule>
    <cfRule type="containsText" priority="8444" operator="containsText" dxfId="7" text="NEPHRO">
      <formula>NOT(ISERROR(SEARCH(("NEPHRO"),(AN53))))</formula>
    </cfRule>
    <cfRule type="containsText" priority="8445" operator="containsText" dxfId="7" text="PULM">
      <formula>NOT(ISERROR(SEARCH(("PULM"),(AN53))))</formula>
    </cfRule>
    <cfRule type="containsText" priority="8446" operator="containsText" dxfId="7" text="RADIOLOGY">
      <formula>NOT(ISERROR(SEARCH(("RADIOLOGY"),(AN53))))</formula>
    </cfRule>
    <cfRule type="containsText" priority="8447" operator="containsText" dxfId="7" text="HEM/ONC">
      <formula>NOT(ISERROR(SEARCH(("HEM/ONC"),(AN53))))</formula>
    </cfRule>
    <cfRule type="containsText" priority="8448" operator="containsText" dxfId="7" text="CARDIO">
      <formula>NOT(ISERROR(SEARCH(("CARDIO"),(AN53))))</formula>
    </cfRule>
    <cfRule type="containsText" priority="8449" operator="containsText" dxfId="7" text="ID">
      <formula>NOT(ISERROR(SEARCH(("ID"),(AN53))))</formula>
    </cfRule>
    <cfRule type="containsText" priority="8450" operator="containsText" dxfId="7" text="NEURO">
      <formula>NOT(ISERROR(SEARCH(("NEURO"),(AN53))))</formula>
    </cfRule>
    <cfRule type="containsText" priority="8451" operator="containsText" dxfId="6" text="NEURO">
      <formula>NOT(ISERROR(SEARCH(("NEURO"),(AN53))))</formula>
    </cfRule>
    <cfRule type="containsText" priority="8452" operator="containsText" dxfId="5" text="NEURO">
      <formula>NOT(ISERROR(SEARCH(("NEURO"),(AN53))))</formula>
    </cfRule>
    <cfRule type="containsText" priority="8453" operator="containsText" dxfId="0" text="ICU N">
      <formula>NOT(ISERROR(SEARCH(("ICU N"),(AN53))))</formula>
    </cfRule>
    <cfRule type="containsText" priority="8454" operator="containsText" dxfId="3" text="ICU">
      <formula>NOT(ISERROR(SEARCH(("ICU"),(AN53))))</formula>
    </cfRule>
    <cfRule type="containsText" priority="8455" operator="containsText" dxfId="0" text="SWING">
      <formula>NOT(ISERROR(SEARCH(("SWING"),(AN53))))</formula>
    </cfRule>
    <cfRule type="containsText" priority="8456" operator="containsText" dxfId="0" text="NF">
      <formula>NOT(ISERROR(SEARCH(("NF"),(AN53))))</formula>
    </cfRule>
  </conditionalFormatting>
  <conditionalFormatting sqref="D53:E53">
    <cfRule type="containsText" priority="8423" operator="containsText" dxfId="17" text="VACATION">
      <formula>NOT(ISERROR(SEARCH(("VACATION"),(D53))))</formula>
    </cfRule>
    <cfRule type="containsText" priority="8424" operator="containsText" dxfId="16" text="ED">
      <formula>NOT(ISERROR(SEARCH(("ED"),(D53))))</formula>
    </cfRule>
    <cfRule type="containsText" priority="8425" operator="containsText" dxfId="15" text="GERIATRIC">
      <formula>NOT(ISERROR(SEARCH(("GERIATRIC"),(D53))))</formula>
    </cfRule>
    <cfRule type="containsText" priority="8426" operator="containsText" dxfId="7" text="PATH">
      <formula>NOT(ISERROR(SEARCH(("PATH"),(D53))))</formula>
    </cfRule>
    <cfRule type="containsText" priority="8427" operator="containsText" dxfId="7" text="NEPHRO">
      <formula>NOT(ISERROR(SEARCH(("NEPHRO"),(D53))))</formula>
    </cfRule>
    <cfRule type="containsText" priority="8428" operator="containsText" dxfId="7" text="PULM">
      <formula>NOT(ISERROR(SEARCH(("PULM"),(D53))))</formula>
    </cfRule>
    <cfRule type="containsText" priority="8429" operator="containsText" dxfId="7" text="RADIOLOGY">
      <formula>NOT(ISERROR(SEARCH(("RADIOLOGY"),(D53))))</formula>
    </cfRule>
    <cfRule type="containsText" priority="8430" operator="containsText" dxfId="7" text="HEM/ONC">
      <formula>NOT(ISERROR(SEARCH(("HEM/ONC"),(D53))))</formula>
    </cfRule>
    <cfRule type="containsText" priority="8431" operator="containsText" dxfId="7" text="CARDIO">
      <formula>NOT(ISERROR(SEARCH(("CARDIO"),(D53))))</formula>
    </cfRule>
    <cfRule type="containsText" priority="8432" operator="containsText" dxfId="7" text="ID">
      <formula>NOT(ISERROR(SEARCH(("ID"),(D53))))</formula>
    </cfRule>
    <cfRule type="containsText" priority="8433" operator="containsText" dxfId="7" text="NEURO">
      <formula>NOT(ISERROR(SEARCH(("NEURO"),(D53))))</formula>
    </cfRule>
    <cfRule type="containsText" priority="8434" operator="containsText" dxfId="6" text="NEURO">
      <formula>NOT(ISERROR(SEARCH(("NEURO"),(D53))))</formula>
    </cfRule>
    <cfRule type="containsText" priority="8435" operator="containsText" dxfId="5" text="NEURO">
      <formula>NOT(ISERROR(SEARCH(("NEURO"),(D53))))</formula>
    </cfRule>
    <cfRule type="containsText" priority="8436" operator="containsText" dxfId="0" text="ICU N">
      <formula>NOT(ISERROR(SEARCH(("ICU N"),(D53))))</formula>
    </cfRule>
    <cfRule type="containsText" priority="8437" operator="containsText" dxfId="3" text="ICU">
      <formula>NOT(ISERROR(SEARCH(("ICU"),(D53))))</formula>
    </cfRule>
    <cfRule type="containsText" priority="8438" operator="containsText" dxfId="0" text="SWING">
      <formula>NOT(ISERROR(SEARCH(("SWING"),(D53))))</formula>
    </cfRule>
    <cfRule type="containsText" priority="8439" operator="containsText" dxfId="0" text="NF">
      <formula>NOT(ISERROR(SEARCH(("NF"),(D53))))</formula>
    </cfRule>
    <cfRule type="containsText" priority="8405" operator="containsText" dxfId="16" text="ED">
      <formula>NOT(ISERROR(SEARCH(("ED"),(D53))))</formula>
    </cfRule>
    <cfRule type="containsText" priority="8406" operator="containsText" dxfId="15" text="GERIATRIC">
      <formula>NOT(ISERROR(SEARCH(("GERIATRIC"),(D53))))</formula>
    </cfRule>
    <cfRule type="containsText" priority="8407" operator="containsText" dxfId="17" text="VACATION">
      <formula>NOT(ISERROR(SEARCH(("VACATION"),(D53))))</formula>
    </cfRule>
    <cfRule type="containsText" priority="8408" operator="containsText" dxfId="7" text="PATH">
      <formula>NOT(ISERROR(SEARCH(("PATH"),(D53))))</formula>
    </cfRule>
    <cfRule type="containsText" priority="8409" operator="containsText" dxfId="7" text="NEPHRO">
      <formula>NOT(ISERROR(SEARCH(("NEPHRO"),(D53))))</formula>
    </cfRule>
    <cfRule type="containsText" priority="8410" operator="containsText" dxfId="7" text="PULM">
      <formula>NOT(ISERROR(SEARCH(("PULM"),(D53))))</formula>
    </cfRule>
    <cfRule type="containsText" priority="8411" operator="containsText" dxfId="7" text="RADIOLOGY">
      <formula>NOT(ISERROR(SEARCH(("RADIOLOGY"),(D53))))</formula>
    </cfRule>
    <cfRule type="containsText" priority="8412" operator="containsText" dxfId="7" text="HEM/ONC">
      <formula>NOT(ISERROR(SEARCH(("HEM/ONC"),(D53))))</formula>
    </cfRule>
    <cfRule type="containsText" priority="8413" operator="containsText" dxfId="7" text="CARDIO">
      <formula>NOT(ISERROR(SEARCH(("CARDIO"),(D53))))</formula>
    </cfRule>
    <cfRule type="containsText" priority="8414" operator="containsText" dxfId="7" text="ID">
      <formula>NOT(ISERROR(SEARCH(("ID"),(D53))))</formula>
    </cfRule>
    <cfRule type="containsText" priority="8415" operator="containsText" dxfId="7" text="NEURO">
      <formula>NOT(ISERROR(SEARCH(("NEURO"),(D53))))</formula>
    </cfRule>
    <cfRule type="containsText" priority="8416" operator="containsText" dxfId="6" text="NEURO">
      <formula>NOT(ISERROR(SEARCH(("NEURO"),(D53))))</formula>
    </cfRule>
    <cfRule type="containsText" priority="8417" operator="containsText" dxfId="5" text="NEURO">
      <formula>NOT(ISERROR(SEARCH(("NEURO"),(D53))))</formula>
    </cfRule>
    <cfRule type="containsText" priority="8418" operator="containsText" dxfId="0" text="ICU N">
      <formula>NOT(ISERROR(SEARCH(("ICU N"),(D53))))</formula>
    </cfRule>
    <cfRule type="containsText" priority="8419" operator="containsText" dxfId="3" text="ICU">
      <formula>NOT(ISERROR(SEARCH(("ICU"),(D53))))</formula>
    </cfRule>
    <cfRule type="containsText" priority="8420" operator="containsText" dxfId="0" text="SWING">
      <formula>NOT(ISERROR(SEARCH(("SWING"),(D53))))</formula>
    </cfRule>
    <cfRule type="containsText" priority="8421" operator="containsText" dxfId="0" text="NF">
      <formula>NOT(ISERROR(SEARCH(("NF"),(D53))))</formula>
    </cfRule>
    <cfRule type="containsText" priority="8422" operator="containsText" dxfId="0" text="ICU N">
      <formula>NOT(ISERROR(SEARCH(("ICU N"),(D53))))</formula>
    </cfRule>
  </conditionalFormatting>
  <conditionalFormatting sqref="AT56">
    <cfRule type="containsText" priority="8369" operator="containsText" dxfId="16" text="ED">
      <formula>NOT(ISERROR(SEARCH(("ED"),(AT56))))</formula>
    </cfRule>
    <cfRule type="containsText" priority="8370" operator="containsText" dxfId="15" text="GERIATRIC">
      <formula>NOT(ISERROR(SEARCH(("GERIATRIC"),(AT56))))</formula>
    </cfRule>
    <cfRule type="containsText" priority="8371" operator="containsText" dxfId="17" text="VACATION">
      <formula>NOT(ISERROR(SEARCH(("VACATION"),(AT56))))</formula>
    </cfRule>
    <cfRule type="containsText" priority="8372" operator="containsText" dxfId="7" text="PATH">
      <formula>NOT(ISERROR(SEARCH(("PATH"),(AT56))))</formula>
    </cfRule>
    <cfRule type="containsText" priority="8373" operator="containsText" dxfId="7" text="NEPHRO">
      <formula>NOT(ISERROR(SEARCH(("NEPHRO"),(AT56))))</formula>
    </cfRule>
    <cfRule type="containsText" priority="8374" operator="containsText" dxfId="7" text="PULM">
      <formula>NOT(ISERROR(SEARCH(("PULM"),(AT56))))</formula>
    </cfRule>
    <cfRule type="containsText" priority="8375" operator="containsText" dxfId="7" text="RADIOLOGY">
      <formula>NOT(ISERROR(SEARCH(("RADIOLOGY"),(AT56))))</formula>
    </cfRule>
    <cfRule type="containsText" priority="8376" operator="containsText" dxfId="7" text="HEM/ONC">
      <formula>NOT(ISERROR(SEARCH(("HEM/ONC"),(AT56))))</formula>
    </cfRule>
    <cfRule type="containsText" priority="8377" operator="containsText" dxfId="7" text="CARDIO">
      <formula>NOT(ISERROR(SEARCH(("CARDIO"),(AT56))))</formula>
    </cfRule>
    <cfRule type="containsText" priority="8378" operator="containsText" dxfId="7" text="ID">
      <formula>NOT(ISERROR(SEARCH(("ID"),(AT56))))</formula>
    </cfRule>
    <cfRule type="containsText" priority="8379" operator="containsText" dxfId="7" text="NEURO">
      <formula>NOT(ISERROR(SEARCH(("NEURO"),(AT56))))</formula>
    </cfRule>
    <cfRule type="containsText" priority="8380" operator="containsText" dxfId="6" text="NEURO">
      <formula>NOT(ISERROR(SEARCH(("NEURO"),(AT56))))</formula>
    </cfRule>
    <cfRule type="containsText" priority="8381" operator="containsText" dxfId="5" text="NEURO">
      <formula>NOT(ISERROR(SEARCH(("NEURO"),(AT56))))</formula>
    </cfRule>
    <cfRule type="containsText" priority="8382" operator="containsText" dxfId="0" text="ICU N">
      <formula>NOT(ISERROR(SEARCH(("ICU N"),(AT56))))</formula>
    </cfRule>
    <cfRule type="containsText" priority="8383" operator="containsText" dxfId="3" text="ICU">
      <formula>NOT(ISERROR(SEARCH(("ICU"),(AT56))))</formula>
    </cfRule>
    <cfRule type="containsText" priority="8384" operator="containsText" dxfId="0" text="SWING">
      <formula>NOT(ISERROR(SEARCH(("SWING"),(AT56))))</formula>
    </cfRule>
    <cfRule type="containsText" priority="8385" operator="containsText" dxfId="0" text="NF">
      <formula>NOT(ISERROR(SEARCH(("NF"),(AT56))))</formula>
    </cfRule>
    <cfRule type="containsText" priority="8386" operator="containsText" dxfId="0" text="ICU N">
      <formula>NOT(ISERROR(SEARCH(("ICU N"),(AT56))))</formula>
    </cfRule>
    <cfRule type="containsText" priority="8387" operator="containsText" dxfId="16" text="ED">
      <formula>NOT(ISERROR(SEARCH(("ED"),(AT56))))</formula>
    </cfRule>
    <cfRule type="containsText" priority="8388" operator="containsText" dxfId="15" text="GERIATRIC">
      <formula>NOT(ISERROR(SEARCH(("GERIATRIC"),(AT56))))</formula>
    </cfRule>
    <cfRule type="containsText" priority="8389" operator="containsText" dxfId="17" text="VACATION">
      <formula>NOT(ISERROR(SEARCH(("VACATION"),(AT56))))</formula>
    </cfRule>
    <cfRule type="containsText" priority="8390" operator="containsText" dxfId="7" text="PATH">
      <formula>NOT(ISERROR(SEARCH(("PATH"),(AT56))))</formula>
    </cfRule>
    <cfRule type="containsText" priority="8391" operator="containsText" dxfId="7" text="NEPHRO">
      <formula>NOT(ISERROR(SEARCH(("NEPHRO"),(AT56))))</formula>
    </cfRule>
    <cfRule type="containsText" priority="8392" operator="containsText" dxfId="7" text="PULM">
      <formula>NOT(ISERROR(SEARCH(("PULM"),(AT56))))</formula>
    </cfRule>
    <cfRule type="containsText" priority="8393" operator="containsText" dxfId="7" text="RADIOLOGY">
      <formula>NOT(ISERROR(SEARCH(("RADIOLOGY"),(AT56))))</formula>
    </cfRule>
    <cfRule type="containsText" priority="8394" operator="containsText" dxfId="7" text="HEM/ONC">
      <formula>NOT(ISERROR(SEARCH(("HEM/ONC"),(AT56))))</formula>
    </cfRule>
    <cfRule type="containsText" priority="8395" operator="containsText" dxfId="7" text="CARDIO">
      <formula>NOT(ISERROR(SEARCH(("CARDIO"),(AT56))))</formula>
    </cfRule>
    <cfRule type="containsText" priority="8396" operator="containsText" dxfId="7" text="ID">
      <formula>NOT(ISERROR(SEARCH(("ID"),(AT56))))</formula>
    </cfRule>
    <cfRule type="containsText" priority="8397" operator="containsText" dxfId="7" text="NEURO">
      <formula>NOT(ISERROR(SEARCH(("NEURO"),(AT56))))</formula>
    </cfRule>
    <cfRule type="containsText" priority="8398" operator="containsText" dxfId="6" text="NEURO">
      <formula>NOT(ISERROR(SEARCH(("NEURO"),(AT56))))</formula>
    </cfRule>
    <cfRule type="containsText" priority="8399" operator="containsText" dxfId="5" text="NEURO">
      <formula>NOT(ISERROR(SEARCH(("NEURO"),(AT56))))</formula>
    </cfRule>
    <cfRule type="containsText" priority="8400" operator="containsText" dxfId="0" text="ICU N">
      <formula>NOT(ISERROR(SEARCH(("ICU N"),(AT56))))</formula>
    </cfRule>
    <cfRule type="containsText" priority="8401" operator="containsText" dxfId="3" text="ICU">
      <formula>NOT(ISERROR(SEARCH(("ICU"),(AT56))))</formula>
    </cfRule>
    <cfRule type="containsText" priority="8402" operator="containsText" dxfId="0" text="SWING">
      <formula>NOT(ISERROR(SEARCH(("SWING"),(AT56))))</formula>
    </cfRule>
    <cfRule type="containsText" priority="8403" operator="containsText" dxfId="0" text="NF">
      <formula>NOT(ISERROR(SEARCH(("NF"),(AT56))))</formula>
    </cfRule>
    <cfRule type="containsText" priority="8404" operator="containsText" dxfId="0" text="ICU N">
      <formula>NOT(ISERROR(SEARCH(("ICU N"),(AT56))))</formula>
    </cfRule>
  </conditionalFormatting>
  <conditionalFormatting sqref="AT55">
    <cfRule type="containsText" priority="8333" operator="containsText" dxfId="16" text="ED">
      <formula>NOT(ISERROR(SEARCH(("ED"),(AT55))))</formula>
    </cfRule>
    <cfRule type="containsText" priority="8334" operator="containsText" dxfId="15" text="GERIATRIC">
      <formula>NOT(ISERROR(SEARCH(("GERIATRIC"),(AT55))))</formula>
    </cfRule>
    <cfRule type="containsText" priority="8335" operator="containsText" dxfId="17" text="VACATION">
      <formula>NOT(ISERROR(SEARCH(("VACATION"),(AT55))))</formula>
    </cfRule>
    <cfRule type="containsText" priority="8336" operator="containsText" dxfId="7" text="PATH">
      <formula>NOT(ISERROR(SEARCH(("PATH"),(AT55))))</formula>
    </cfRule>
    <cfRule type="containsText" priority="8337" operator="containsText" dxfId="7" text="NEPHRO">
      <formula>NOT(ISERROR(SEARCH(("NEPHRO"),(AT55))))</formula>
    </cfRule>
    <cfRule type="containsText" priority="8338" operator="containsText" dxfId="7" text="PULM">
      <formula>NOT(ISERROR(SEARCH(("PULM"),(AT55))))</formula>
    </cfRule>
    <cfRule type="containsText" priority="8339" operator="containsText" dxfId="7" text="RADIOLOGY">
      <formula>NOT(ISERROR(SEARCH(("RADIOLOGY"),(AT55))))</formula>
    </cfRule>
    <cfRule type="containsText" priority="8340" operator="containsText" dxfId="7" text="HEM/ONC">
      <formula>NOT(ISERROR(SEARCH(("HEM/ONC"),(AT55))))</formula>
    </cfRule>
    <cfRule type="containsText" priority="8341" operator="containsText" dxfId="7" text="CARDIO">
      <formula>NOT(ISERROR(SEARCH(("CARDIO"),(AT55))))</formula>
    </cfRule>
    <cfRule type="containsText" priority="8342" operator="containsText" dxfId="7" text="ID">
      <formula>NOT(ISERROR(SEARCH(("ID"),(AT55))))</formula>
    </cfRule>
    <cfRule type="containsText" priority="8343" operator="containsText" dxfId="7" text="NEURO">
      <formula>NOT(ISERROR(SEARCH(("NEURO"),(AT55))))</formula>
    </cfRule>
    <cfRule type="containsText" priority="8344" operator="containsText" dxfId="6" text="NEURO">
      <formula>NOT(ISERROR(SEARCH(("NEURO"),(AT55))))</formula>
    </cfRule>
    <cfRule type="containsText" priority="8345" operator="containsText" dxfId="5" text="NEURO">
      <formula>NOT(ISERROR(SEARCH(("NEURO"),(AT55))))</formula>
    </cfRule>
    <cfRule type="containsText" priority="8346" operator="containsText" dxfId="0" text="ICU N">
      <formula>NOT(ISERROR(SEARCH(("ICU N"),(AT55))))</formula>
    </cfRule>
    <cfRule type="containsText" priority="8347" operator="containsText" dxfId="3" text="ICU">
      <formula>NOT(ISERROR(SEARCH(("ICU"),(AT55))))</formula>
    </cfRule>
    <cfRule type="containsText" priority="8348" operator="containsText" dxfId="0" text="SWING">
      <formula>NOT(ISERROR(SEARCH(("SWING"),(AT55))))</formula>
    </cfRule>
    <cfRule type="containsText" priority="8349" operator="containsText" dxfId="0" text="NF">
      <formula>NOT(ISERROR(SEARCH(("NF"),(AT55))))</formula>
    </cfRule>
    <cfRule type="containsText" priority="8350" operator="containsText" dxfId="0" text="ICU N">
      <formula>NOT(ISERROR(SEARCH(("ICU N"),(AT55))))</formula>
    </cfRule>
    <cfRule type="containsText" priority="8351" operator="containsText" dxfId="16" text="ED">
      <formula>NOT(ISERROR(SEARCH(("ED"),(AT55))))</formula>
    </cfRule>
    <cfRule type="containsText" priority="8352" operator="containsText" dxfId="15" text="GERIATRIC">
      <formula>NOT(ISERROR(SEARCH(("GERIATRIC"),(AT55))))</formula>
    </cfRule>
    <cfRule type="containsText" priority="8353" operator="containsText" dxfId="17" text="VACATION">
      <formula>NOT(ISERROR(SEARCH(("VACATION"),(AT55))))</formula>
    </cfRule>
    <cfRule type="containsText" priority="8354" operator="containsText" dxfId="7" text="PATH">
      <formula>NOT(ISERROR(SEARCH(("PATH"),(AT55))))</formula>
    </cfRule>
    <cfRule type="containsText" priority="8355" operator="containsText" dxfId="7" text="NEPHRO">
      <formula>NOT(ISERROR(SEARCH(("NEPHRO"),(AT55))))</formula>
    </cfRule>
    <cfRule type="containsText" priority="8356" operator="containsText" dxfId="7" text="PULM">
      <formula>NOT(ISERROR(SEARCH(("PULM"),(AT55))))</formula>
    </cfRule>
    <cfRule type="containsText" priority="8357" operator="containsText" dxfId="7" text="RADIOLOGY">
      <formula>NOT(ISERROR(SEARCH(("RADIOLOGY"),(AT55))))</formula>
    </cfRule>
    <cfRule type="containsText" priority="8358" operator="containsText" dxfId="7" text="HEM/ONC">
      <formula>NOT(ISERROR(SEARCH(("HEM/ONC"),(AT55))))</formula>
    </cfRule>
    <cfRule type="containsText" priority="8359" operator="containsText" dxfId="7" text="CARDIO">
      <formula>NOT(ISERROR(SEARCH(("CARDIO"),(AT55))))</formula>
    </cfRule>
    <cfRule type="containsText" priority="8360" operator="containsText" dxfId="7" text="ID">
      <formula>NOT(ISERROR(SEARCH(("ID"),(AT55))))</formula>
    </cfRule>
    <cfRule type="containsText" priority="8361" operator="containsText" dxfId="7" text="NEURO">
      <formula>NOT(ISERROR(SEARCH(("NEURO"),(AT55))))</formula>
    </cfRule>
    <cfRule type="containsText" priority="8362" operator="containsText" dxfId="6" text="NEURO">
      <formula>NOT(ISERROR(SEARCH(("NEURO"),(AT55))))</formula>
    </cfRule>
    <cfRule type="containsText" priority="8363" operator="containsText" dxfId="5" text="NEURO">
      <formula>NOT(ISERROR(SEARCH(("NEURO"),(AT55))))</formula>
    </cfRule>
    <cfRule type="containsText" priority="8364" operator="containsText" dxfId="0" text="ICU N">
      <formula>NOT(ISERROR(SEARCH(("ICU N"),(AT55))))</formula>
    </cfRule>
    <cfRule type="containsText" priority="8365" operator="containsText" dxfId="3" text="ICU">
      <formula>NOT(ISERROR(SEARCH(("ICU"),(AT55))))</formula>
    </cfRule>
    <cfRule type="containsText" priority="8366" operator="containsText" dxfId="0" text="SWING">
      <formula>NOT(ISERROR(SEARCH(("SWING"),(AT55))))</formula>
    </cfRule>
    <cfRule type="containsText" priority="8367" operator="containsText" dxfId="0" text="NF">
      <formula>NOT(ISERROR(SEARCH(("NF"),(AT55))))</formula>
    </cfRule>
    <cfRule type="containsText" priority="8368" operator="containsText" dxfId="0" text="ICU N">
      <formula>NOT(ISERROR(SEARCH(("ICU N"),(AT55))))</formula>
    </cfRule>
  </conditionalFormatting>
  <conditionalFormatting sqref="J11">
    <cfRule type="containsText" priority="8332" operator="containsText" dxfId="17" text="VACATION">
      <formula>NOT(ISERROR(SEARCH(("VACATION"),(J11))))</formula>
    </cfRule>
  </conditionalFormatting>
  <conditionalFormatting sqref="W18">
    <cfRule type="containsText" priority="8315" operator="containsText" dxfId="17" text="VACATION">
      <formula>NOT(ISERROR(SEARCH(("VACATION"),(W18))))</formula>
    </cfRule>
    <cfRule type="containsText" priority="8316" operator="containsText" dxfId="16" text="ED">
      <formula>NOT(ISERROR(SEARCH(("ED"),(W18))))</formula>
    </cfRule>
    <cfRule type="containsText" priority="8317" operator="containsText" dxfId="15" text="GERIATRIC">
      <formula>NOT(ISERROR(SEARCH(("GERIATRIC"),(W18))))</formula>
    </cfRule>
    <cfRule type="containsText" priority="8318" operator="containsText" dxfId="7" text="PATH">
      <formula>NOT(ISERROR(SEARCH(("PATH"),(W18))))</formula>
    </cfRule>
    <cfRule type="containsText" priority="8319" operator="containsText" dxfId="7" text="NEPHRO">
      <formula>NOT(ISERROR(SEARCH(("NEPHRO"),(W18))))</formula>
    </cfRule>
    <cfRule type="containsText" priority="8320" operator="containsText" dxfId="7" text="PULM">
      <formula>NOT(ISERROR(SEARCH(("PULM"),(W18))))</formula>
    </cfRule>
    <cfRule type="containsText" priority="8321" operator="containsText" dxfId="7" text="RADIOLOGY">
      <formula>NOT(ISERROR(SEARCH(("RADIOLOGY"),(W18))))</formula>
    </cfRule>
    <cfRule type="containsText" priority="8322" operator="containsText" dxfId="7" text="HEM/ONC">
      <formula>NOT(ISERROR(SEARCH(("HEM/ONC"),(W18))))</formula>
    </cfRule>
    <cfRule type="containsText" priority="8323" operator="containsText" dxfId="7" text="CARDIO">
      <formula>NOT(ISERROR(SEARCH(("CARDIO"),(W18))))</formula>
    </cfRule>
    <cfRule type="containsText" priority="8324" operator="containsText" dxfId="7" text="ID">
      <formula>NOT(ISERROR(SEARCH(("ID"),(W18))))</formula>
    </cfRule>
    <cfRule type="containsText" priority="8325" operator="containsText" dxfId="7" text="NEURO">
      <formula>NOT(ISERROR(SEARCH(("NEURO"),(W18))))</formula>
    </cfRule>
    <cfRule type="containsText" priority="8326" operator="containsText" dxfId="6" text="NEURO">
      <formula>NOT(ISERROR(SEARCH(("NEURO"),(W18))))</formula>
    </cfRule>
    <cfRule type="containsText" priority="8327" operator="containsText" dxfId="5" text="NEURO">
      <formula>NOT(ISERROR(SEARCH(("NEURO"),(W18))))</formula>
    </cfRule>
    <cfRule type="containsText" priority="8328" operator="containsText" dxfId="0" text="ICU N">
      <formula>NOT(ISERROR(SEARCH(("ICU N"),(W18))))</formula>
    </cfRule>
    <cfRule type="containsText" priority="8329" operator="containsText" dxfId="3" text="ICU">
      <formula>NOT(ISERROR(SEARCH(("ICU"),(W18))))</formula>
    </cfRule>
    <cfRule type="containsText" priority="8330" operator="containsText" dxfId="0" text="SWING">
      <formula>NOT(ISERROR(SEARCH(("SWING"),(W18))))</formula>
    </cfRule>
    <cfRule type="containsText" priority="8331" operator="containsText" dxfId="0" text="NF">
      <formula>NOT(ISERROR(SEARCH(("NF"),(W18))))</formula>
    </cfRule>
  </conditionalFormatting>
  <conditionalFormatting sqref="V18">
    <cfRule type="containsText" priority="8298" operator="containsText" dxfId="17" text="VACATION">
      <formula>NOT(ISERROR(SEARCH(("VACATION"),(V18))))</formula>
    </cfRule>
    <cfRule type="containsText" priority="8299" operator="containsText" dxfId="16" text="ED">
      <formula>NOT(ISERROR(SEARCH(("ED"),(V18))))</formula>
    </cfRule>
    <cfRule type="containsText" priority="8300" operator="containsText" dxfId="15" text="GERIATRIC">
      <formula>NOT(ISERROR(SEARCH(("GERIATRIC"),(V18))))</formula>
    </cfRule>
    <cfRule type="containsText" priority="8301" operator="containsText" dxfId="7" text="PATH">
      <formula>NOT(ISERROR(SEARCH(("PATH"),(V18))))</formula>
    </cfRule>
    <cfRule type="containsText" priority="8302" operator="containsText" dxfId="7" text="NEPHRO">
      <formula>NOT(ISERROR(SEARCH(("NEPHRO"),(V18))))</formula>
    </cfRule>
    <cfRule type="containsText" priority="8303" operator="containsText" dxfId="7" text="PULM">
      <formula>NOT(ISERROR(SEARCH(("PULM"),(V18))))</formula>
    </cfRule>
    <cfRule type="containsText" priority="8304" operator="containsText" dxfId="7" text="RADIOLOGY">
      <formula>NOT(ISERROR(SEARCH(("RADIOLOGY"),(V18))))</formula>
    </cfRule>
    <cfRule type="containsText" priority="8305" operator="containsText" dxfId="7" text="HEM/ONC">
      <formula>NOT(ISERROR(SEARCH(("HEM/ONC"),(V18))))</formula>
    </cfRule>
    <cfRule type="containsText" priority="8306" operator="containsText" dxfId="7" text="CARDIO">
      <formula>NOT(ISERROR(SEARCH(("CARDIO"),(V18))))</formula>
    </cfRule>
    <cfRule type="containsText" priority="8307" operator="containsText" dxfId="7" text="ID">
      <formula>NOT(ISERROR(SEARCH(("ID"),(V18))))</formula>
    </cfRule>
    <cfRule type="containsText" priority="8308" operator="containsText" dxfId="7" text="NEURO">
      <formula>NOT(ISERROR(SEARCH(("NEURO"),(V18))))</formula>
    </cfRule>
    <cfRule type="containsText" priority="8309" operator="containsText" dxfId="6" text="NEURO">
      <formula>NOT(ISERROR(SEARCH(("NEURO"),(V18))))</formula>
    </cfRule>
    <cfRule type="containsText" priority="8310" operator="containsText" dxfId="5" text="NEURO">
      <formula>NOT(ISERROR(SEARCH(("NEURO"),(V18))))</formula>
    </cfRule>
    <cfRule type="containsText" priority="8311" operator="containsText" dxfId="0" text="ICU N">
      <formula>NOT(ISERROR(SEARCH(("ICU N"),(V18))))</formula>
    </cfRule>
    <cfRule type="containsText" priority="8312" operator="containsText" dxfId="3" text="ICU">
      <formula>NOT(ISERROR(SEARCH(("ICU"),(V18))))</formula>
    </cfRule>
    <cfRule type="containsText" priority="8313" operator="containsText" dxfId="0" text="SWING">
      <formula>NOT(ISERROR(SEARCH(("SWING"),(V18))))</formula>
    </cfRule>
    <cfRule type="containsText" priority="8314" operator="containsText" dxfId="0" text="NF">
      <formula>NOT(ISERROR(SEARCH(("NF"),(V18))))</formula>
    </cfRule>
  </conditionalFormatting>
  <conditionalFormatting sqref="X45:Y45">
    <cfRule type="containsText" priority="8263" operator="containsText" dxfId="16" text="ED">
      <formula>NOT(ISERROR(SEARCH(("ED"),(X45))))</formula>
    </cfRule>
    <cfRule type="containsText" priority="8264" operator="containsText" dxfId="15" text="GERIATRIC">
      <formula>NOT(ISERROR(SEARCH(("GERIATRIC"),(X45))))</formula>
    </cfRule>
    <cfRule type="containsText" priority="8265" operator="containsText" dxfId="17" text="VACATION">
      <formula>NOT(ISERROR(SEARCH(("VACATION"),(X45))))</formula>
    </cfRule>
    <cfRule type="containsText" priority="8266" operator="containsText" dxfId="7" text="PATH">
      <formula>NOT(ISERROR(SEARCH(("PATH"),(X45))))</formula>
    </cfRule>
    <cfRule type="containsText" priority="8267" operator="containsText" dxfId="7" text="NEPHRO">
      <formula>NOT(ISERROR(SEARCH(("NEPHRO"),(X45))))</formula>
    </cfRule>
    <cfRule type="containsText" priority="8268" operator="containsText" dxfId="7" text="PULM">
      <formula>NOT(ISERROR(SEARCH(("PULM"),(X45))))</formula>
    </cfRule>
    <cfRule type="containsText" priority="8269" operator="containsText" dxfId="7" text="RADIOLOGY">
      <formula>NOT(ISERROR(SEARCH(("RADIOLOGY"),(X45))))</formula>
    </cfRule>
    <cfRule type="containsText" priority="8270" operator="containsText" dxfId="7" text="HEM/ONC">
      <formula>NOT(ISERROR(SEARCH(("HEM/ONC"),(X45))))</formula>
    </cfRule>
    <cfRule type="containsText" priority="8271" operator="containsText" dxfId="7" text="CARDIO">
      <formula>NOT(ISERROR(SEARCH(("CARDIO"),(X45))))</formula>
    </cfRule>
    <cfRule type="containsText" priority="8272" operator="containsText" dxfId="7" text="ID">
      <formula>NOT(ISERROR(SEARCH(("ID"),(X45))))</formula>
    </cfRule>
    <cfRule type="containsText" priority="8273" operator="containsText" dxfId="7" text="NEURO">
      <formula>NOT(ISERROR(SEARCH(("NEURO"),(X45))))</formula>
    </cfRule>
    <cfRule type="containsText" priority="8274" operator="containsText" dxfId="6" text="NEURO">
      <formula>NOT(ISERROR(SEARCH(("NEURO"),(X45))))</formula>
    </cfRule>
    <cfRule type="containsText" priority="8275" operator="containsText" dxfId="5" text="NEURO">
      <formula>NOT(ISERROR(SEARCH(("NEURO"),(X45))))</formula>
    </cfRule>
    <cfRule type="containsText" priority="8276" operator="containsText" dxfId="0" text="ICU N">
      <formula>NOT(ISERROR(SEARCH(("ICU N"),(X45))))</formula>
    </cfRule>
    <cfRule type="containsText" priority="8277" operator="containsText" dxfId="3" text="ICU">
      <formula>NOT(ISERROR(SEARCH(("ICU"),(X45))))</formula>
    </cfRule>
    <cfRule type="containsText" priority="8278" operator="containsText" dxfId="0" text="SWING">
      <formula>NOT(ISERROR(SEARCH(("SWING"),(X45))))</formula>
    </cfRule>
    <cfRule type="containsText" priority="8279" operator="containsText" dxfId="0" text="NF">
      <formula>NOT(ISERROR(SEARCH(("NF"),(X45))))</formula>
    </cfRule>
    <cfRule type="containsText" priority="8280" operator="containsText" dxfId="0" text="ICU N">
      <formula>NOT(ISERROR(SEARCH(("ICU N"),(X45))))</formula>
    </cfRule>
    <cfRule type="containsText" priority="8245" operator="containsText" dxfId="16" text="ED">
      <formula>NOT(ISERROR(SEARCH(("ED"),(X45))))</formula>
    </cfRule>
    <cfRule type="containsText" priority="8246" operator="containsText" dxfId="15" text="GERIATRIC">
      <formula>NOT(ISERROR(SEARCH(("GERIATRIC"),(X45))))</formula>
    </cfRule>
    <cfRule type="containsText" priority="8247" operator="containsText" dxfId="17" text="VACATION">
      <formula>NOT(ISERROR(SEARCH(("VACATION"),(X45))))</formula>
    </cfRule>
    <cfRule type="containsText" priority="8248" operator="containsText" dxfId="7" text="PATH">
      <formula>NOT(ISERROR(SEARCH(("PATH"),(X45))))</formula>
    </cfRule>
    <cfRule type="containsText" priority="8249" operator="containsText" dxfId="7" text="NEPHRO">
      <formula>NOT(ISERROR(SEARCH(("NEPHRO"),(X45))))</formula>
    </cfRule>
    <cfRule type="containsText" priority="8250" operator="containsText" dxfId="7" text="PULM">
      <formula>NOT(ISERROR(SEARCH(("PULM"),(X45))))</formula>
    </cfRule>
    <cfRule type="containsText" priority="8251" operator="containsText" dxfId="7" text="RADIOLOGY">
      <formula>NOT(ISERROR(SEARCH(("RADIOLOGY"),(X45))))</formula>
    </cfRule>
    <cfRule type="containsText" priority="8252" operator="containsText" dxfId="7" text="HEM/ONC">
      <formula>NOT(ISERROR(SEARCH(("HEM/ONC"),(X45))))</formula>
    </cfRule>
    <cfRule type="containsText" priority="8253" operator="containsText" dxfId="7" text="CARDIO">
      <formula>NOT(ISERROR(SEARCH(("CARDIO"),(X45))))</formula>
    </cfRule>
    <cfRule type="containsText" priority="8254" operator="containsText" dxfId="7" text="ID">
      <formula>NOT(ISERROR(SEARCH(("ID"),(X45))))</formula>
    </cfRule>
    <cfRule type="containsText" priority="8255" operator="containsText" dxfId="7" text="NEURO">
      <formula>NOT(ISERROR(SEARCH(("NEURO"),(X45))))</formula>
    </cfRule>
    <cfRule type="containsText" priority="8256" operator="containsText" dxfId="6" text="NEURO">
      <formula>NOT(ISERROR(SEARCH(("NEURO"),(X45))))</formula>
    </cfRule>
    <cfRule type="containsText" priority="8257" operator="containsText" dxfId="5" text="NEURO">
      <formula>NOT(ISERROR(SEARCH(("NEURO"),(X45))))</formula>
    </cfRule>
    <cfRule type="containsText" priority="8258" operator="containsText" dxfId="0" text="ICU N">
      <formula>NOT(ISERROR(SEARCH(("ICU N"),(X45))))</formula>
    </cfRule>
    <cfRule type="containsText" priority="8259" operator="containsText" dxfId="3" text="ICU">
      <formula>NOT(ISERROR(SEARCH(("ICU"),(X45))))</formula>
    </cfRule>
    <cfRule type="containsText" priority="8260" operator="containsText" dxfId="0" text="SWING">
      <formula>NOT(ISERROR(SEARCH(("SWING"),(X45))))</formula>
    </cfRule>
    <cfRule type="containsText" priority="8261" operator="containsText" dxfId="0" text="NF">
      <formula>NOT(ISERROR(SEARCH(("NF"),(X45))))</formula>
    </cfRule>
    <cfRule type="containsText" priority="8262" operator="containsText" dxfId="0" text="ICU N">
      <formula>NOT(ISERROR(SEARCH(("ICU N"),(X45))))</formula>
    </cfRule>
  </conditionalFormatting>
  <conditionalFormatting sqref="AJ45">
    <cfRule type="containsText" priority="8193" operator="containsText" dxfId="16" text="ED">
      <formula>NOT(ISERROR(SEARCH(("ED"),(AJ45))))</formula>
    </cfRule>
    <cfRule type="containsText" priority="8194" operator="containsText" dxfId="15" text="GERIATRIC">
      <formula>NOT(ISERROR(SEARCH(("GERIATRIC"),(AJ45))))</formula>
    </cfRule>
    <cfRule type="containsText" priority="8195" operator="containsText" dxfId="17" text="VACATION">
      <formula>NOT(ISERROR(SEARCH(("VACATION"),(AJ45))))</formula>
    </cfRule>
    <cfRule type="containsText" priority="8196" operator="containsText" dxfId="7" text="PATH">
      <formula>NOT(ISERROR(SEARCH(("PATH"),(AJ45))))</formula>
    </cfRule>
    <cfRule type="containsText" priority="8197" operator="containsText" dxfId="7" text="NEPHRO">
      <formula>NOT(ISERROR(SEARCH(("NEPHRO"),(AJ45))))</formula>
    </cfRule>
    <cfRule type="containsText" priority="8198" operator="containsText" dxfId="7" text="PULM">
      <formula>NOT(ISERROR(SEARCH(("PULM"),(AJ45))))</formula>
    </cfRule>
    <cfRule type="containsText" priority="8199" operator="containsText" dxfId="7" text="RADIOLOGY">
      <formula>NOT(ISERROR(SEARCH(("RADIOLOGY"),(AJ45))))</formula>
    </cfRule>
    <cfRule type="containsText" priority="8200" operator="containsText" dxfId="7" text="HEM/ONC">
      <formula>NOT(ISERROR(SEARCH(("HEM/ONC"),(AJ45))))</formula>
    </cfRule>
    <cfRule type="containsText" priority="8201" operator="containsText" dxfId="7" text="CARDIO">
      <formula>NOT(ISERROR(SEARCH(("CARDIO"),(AJ45))))</formula>
    </cfRule>
    <cfRule type="containsText" priority="8202" operator="containsText" dxfId="7" text="ID">
      <formula>NOT(ISERROR(SEARCH(("ID"),(AJ45))))</formula>
    </cfRule>
    <cfRule type="containsText" priority="8203" operator="containsText" dxfId="7" text="NEURO">
      <formula>NOT(ISERROR(SEARCH(("NEURO"),(AJ45))))</formula>
    </cfRule>
    <cfRule type="containsText" priority="8204" operator="containsText" dxfId="6" text="NEURO">
      <formula>NOT(ISERROR(SEARCH(("NEURO"),(AJ45))))</formula>
    </cfRule>
    <cfRule type="containsText" priority="8205" operator="containsText" dxfId="5" text="NEURO">
      <formula>NOT(ISERROR(SEARCH(("NEURO"),(AJ45))))</formula>
    </cfRule>
    <cfRule type="containsText" priority="8206" operator="containsText" dxfId="0" text="ICU N">
      <formula>NOT(ISERROR(SEARCH(("ICU N"),(AJ45))))</formula>
    </cfRule>
    <cfRule type="containsText" priority="8207" operator="containsText" dxfId="3" text="ICU">
      <formula>NOT(ISERROR(SEARCH(("ICU"),(AJ45))))</formula>
    </cfRule>
    <cfRule type="containsText" priority="8208" operator="containsText" dxfId="0" text="SWING">
      <formula>NOT(ISERROR(SEARCH(("SWING"),(AJ45))))</formula>
    </cfRule>
    <cfRule type="containsText" priority="8209" operator="containsText" dxfId="0" text="NF">
      <formula>NOT(ISERROR(SEARCH(("NF"),(AJ45))))</formula>
    </cfRule>
    <cfRule type="containsText" priority="8210" operator="containsText" dxfId="0" text="ICU N">
      <formula>NOT(ISERROR(SEARCH(("ICU N"),(AJ45))))</formula>
    </cfRule>
    <cfRule type="containsText" priority="8175" operator="containsText" dxfId="16" text="ED">
      <formula>NOT(ISERROR(SEARCH(("ED"),(AJ45))))</formula>
    </cfRule>
    <cfRule type="containsText" priority="8176" operator="containsText" dxfId="15" text="GERIATRIC">
      <formula>NOT(ISERROR(SEARCH(("GERIATRIC"),(AJ45))))</formula>
    </cfRule>
    <cfRule type="containsText" priority="8177" operator="containsText" dxfId="17" text="VACATION">
      <formula>NOT(ISERROR(SEARCH(("VACATION"),(AJ45))))</formula>
    </cfRule>
    <cfRule type="containsText" priority="8178" operator="containsText" dxfId="7" text="PATH">
      <formula>NOT(ISERROR(SEARCH(("PATH"),(AJ45))))</formula>
    </cfRule>
    <cfRule type="containsText" priority="8179" operator="containsText" dxfId="7" text="NEPHRO">
      <formula>NOT(ISERROR(SEARCH(("NEPHRO"),(AJ45))))</formula>
    </cfRule>
    <cfRule type="containsText" priority="8180" operator="containsText" dxfId="7" text="PULM">
      <formula>NOT(ISERROR(SEARCH(("PULM"),(AJ45))))</formula>
    </cfRule>
    <cfRule type="containsText" priority="8181" operator="containsText" dxfId="7" text="RADIOLOGY">
      <formula>NOT(ISERROR(SEARCH(("RADIOLOGY"),(AJ45))))</formula>
    </cfRule>
    <cfRule type="containsText" priority="8182" operator="containsText" dxfId="7" text="HEM/ONC">
      <formula>NOT(ISERROR(SEARCH(("HEM/ONC"),(AJ45))))</formula>
    </cfRule>
    <cfRule type="containsText" priority="8183" operator="containsText" dxfId="7" text="CARDIO">
      <formula>NOT(ISERROR(SEARCH(("CARDIO"),(AJ45))))</formula>
    </cfRule>
    <cfRule type="containsText" priority="8184" operator="containsText" dxfId="7" text="ID">
      <formula>NOT(ISERROR(SEARCH(("ID"),(AJ45))))</formula>
    </cfRule>
    <cfRule type="containsText" priority="8185" operator="containsText" dxfId="7" text="NEURO">
      <formula>NOT(ISERROR(SEARCH(("NEURO"),(AJ45))))</formula>
    </cfRule>
    <cfRule type="containsText" priority="8186" operator="containsText" dxfId="6" text="NEURO">
      <formula>NOT(ISERROR(SEARCH(("NEURO"),(AJ45))))</formula>
    </cfRule>
    <cfRule type="containsText" priority="8187" operator="containsText" dxfId="5" text="NEURO">
      <formula>NOT(ISERROR(SEARCH(("NEURO"),(AJ45))))</formula>
    </cfRule>
    <cfRule type="containsText" priority="8188" operator="containsText" dxfId="0" text="ICU N">
      <formula>NOT(ISERROR(SEARCH(("ICU N"),(AJ45))))</formula>
    </cfRule>
    <cfRule type="containsText" priority="8189" operator="containsText" dxfId="3" text="ICU">
      <formula>NOT(ISERROR(SEARCH(("ICU"),(AJ45))))</formula>
    </cfRule>
    <cfRule type="containsText" priority="8190" operator="containsText" dxfId="0" text="SWING">
      <formula>NOT(ISERROR(SEARCH(("SWING"),(AJ45))))</formula>
    </cfRule>
    <cfRule type="containsText" priority="8191" operator="containsText" dxfId="0" text="NF">
      <formula>NOT(ISERROR(SEARCH(("NF"),(AJ45))))</formula>
    </cfRule>
    <cfRule type="containsText" priority="8192" operator="containsText" dxfId="0" text="ICU N">
      <formula>NOT(ISERROR(SEARCH(("ICU N"),(AJ45))))</formula>
    </cfRule>
  </conditionalFormatting>
  <conditionalFormatting sqref="AV43">
    <cfRule type="containsText" priority="8121" operator="containsText" dxfId="16" text="ED">
      <formula>NOT(ISERROR(SEARCH(("ED"),(AV43))))</formula>
    </cfRule>
    <cfRule type="containsText" priority="8122" operator="containsText" dxfId="15" text="GERIATRIC">
      <formula>NOT(ISERROR(SEARCH(("GERIATRIC"),(AV43))))</formula>
    </cfRule>
    <cfRule type="containsText" priority="8123" operator="containsText" dxfId="17" text="VACATION">
      <formula>NOT(ISERROR(SEARCH(("VACATION"),(AV43))))</formula>
    </cfRule>
    <cfRule type="containsText" priority="8124" operator="containsText" dxfId="7" text="PATH">
      <formula>NOT(ISERROR(SEARCH(("PATH"),(AV43))))</formula>
    </cfRule>
    <cfRule type="containsText" priority="8125" operator="containsText" dxfId="7" text="NEPHRO">
      <formula>NOT(ISERROR(SEARCH(("NEPHRO"),(AV43))))</formula>
    </cfRule>
    <cfRule type="containsText" priority="8126" operator="containsText" dxfId="7" text="PULM">
      <formula>NOT(ISERROR(SEARCH(("PULM"),(AV43))))</formula>
    </cfRule>
    <cfRule type="containsText" priority="8127" operator="containsText" dxfId="7" text="RADIOLOGY">
      <formula>NOT(ISERROR(SEARCH(("RADIOLOGY"),(AV43))))</formula>
    </cfRule>
    <cfRule type="containsText" priority="8128" operator="containsText" dxfId="7" text="HEM/ONC">
      <formula>NOT(ISERROR(SEARCH(("HEM/ONC"),(AV43))))</formula>
    </cfRule>
    <cfRule type="containsText" priority="8129" operator="containsText" dxfId="7" text="CARDIO">
      <formula>NOT(ISERROR(SEARCH(("CARDIO"),(AV43))))</formula>
    </cfRule>
    <cfRule type="containsText" priority="8130" operator="containsText" dxfId="7" text="ID">
      <formula>NOT(ISERROR(SEARCH(("ID"),(AV43))))</formula>
    </cfRule>
    <cfRule type="containsText" priority="8131" operator="containsText" dxfId="7" text="NEURO">
      <formula>NOT(ISERROR(SEARCH(("NEURO"),(AV43))))</formula>
    </cfRule>
    <cfRule type="containsText" priority="8132" operator="containsText" dxfId="6" text="NEURO">
      <formula>NOT(ISERROR(SEARCH(("NEURO"),(AV43))))</formula>
    </cfRule>
    <cfRule type="containsText" priority="8133" operator="containsText" dxfId="5" text="NEURO">
      <formula>NOT(ISERROR(SEARCH(("NEURO"),(AV43))))</formula>
    </cfRule>
    <cfRule type="containsText" priority="8134" operator="containsText" dxfId="0" text="ICU N">
      <formula>NOT(ISERROR(SEARCH(("ICU N"),(AV43))))</formula>
    </cfRule>
    <cfRule type="containsText" priority="8135" operator="containsText" dxfId="3" text="ICU">
      <formula>NOT(ISERROR(SEARCH(("ICU"),(AV43))))</formula>
    </cfRule>
    <cfRule type="containsText" priority="8136" operator="containsText" dxfId="0" text="SWING">
      <formula>NOT(ISERROR(SEARCH(("SWING"),(AV43))))</formula>
    </cfRule>
    <cfRule type="containsText" priority="8137" operator="containsText" dxfId="0" text="NF">
      <formula>NOT(ISERROR(SEARCH(("NF"),(AV43))))</formula>
    </cfRule>
    <cfRule type="containsText" priority="8138" operator="containsText" dxfId="0" text="ICU N">
      <formula>NOT(ISERROR(SEARCH(("ICU N"),(AV43))))</formula>
    </cfRule>
    <cfRule type="containsText" priority="8103" operator="containsText" dxfId="16" text="ED">
      <formula>NOT(ISERROR(SEARCH(("ED"),(AV43))))</formula>
    </cfRule>
    <cfRule type="containsText" priority="8104" operator="containsText" dxfId="15" text="GERIATRIC">
      <formula>NOT(ISERROR(SEARCH(("GERIATRIC"),(AV43))))</formula>
    </cfRule>
    <cfRule type="containsText" priority="8105" operator="containsText" dxfId="17" text="VACATION">
      <formula>NOT(ISERROR(SEARCH(("VACATION"),(AV43))))</formula>
    </cfRule>
    <cfRule type="containsText" priority="8106" operator="containsText" dxfId="7" text="PATH">
      <formula>NOT(ISERROR(SEARCH(("PATH"),(AV43))))</formula>
    </cfRule>
    <cfRule type="containsText" priority="8107" operator="containsText" dxfId="7" text="NEPHRO">
      <formula>NOT(ISERROR(SEARCH(("NEPHRO"),(AV43))))</formula>
    </cfRule>
    <cfRule type="containsText" priority="8108" operator="containsText" dxfId="7" text="PULM">
      <formula>NOT(ISERROR(SEARCH(("PULM"),(AV43))))</formula>
    </cfRule>
    <cfRule type="containsText" priority="8109" operator="containsText" dxfId="7" text="RADIOLOGY">
      <formula>NOT(ISERROR(SEARCH(("RADIOLOGY"),(AV43))))</formula>
    </cfRule>
    <cfRule type="containsText" priority="8110" operator="containsText" dxfId="7" text="HEM/ONC">
      <formula>NOT(ISERROR(SEARCH(("HEM/ONC"),(AV43))))</formula>
    </cfRule>
    <cfRule type="containsText" priority="8111" operator="containsText" dxfId="7" text="CARDIO">
      <formula>NOT(ISERROR(SEARCH(("CARDIO"),(AV43))))</formula>
    </cfRule>
    <cfRule type="containsText" priority="8112" operator="containsText" dxfId="7" text="ID">
      <formula>NOT(ISERROR(SEARCH(("ID"),(AV43))))</formula>
    </cfRule>
    <cfRule type="containsText" priority="8113" operator="containsText" dxfId="7" text="NEURO">
      <formula>NOT(ISERROR(SEARCH(("NEURO"),(AV43))))</formula>
    </cfRule>
    <cfRule type="containsText" priority="8114" operator="containsText" dxfId="6" text="NEURO">
      <formula>NOT(ISERROR(SEARCH(("NEURO"),(AV43))))</formula>
    </cfRule>
    <cfRule type="containsText" priority="8115" operator="containsText" dxfId="5" text="NEURO">
      <formula>NOT(ISERROR(SEARCH(("NEURO"),(AV43))))</formula>
    </cfRule>
    <cfRule type="containsText" priority="8116" operator="containsText" dxfId="0" text="ICU N">
      <formula>NOT(ISERROR(SEARCH(("ICU N"),(AV43))))</formula>
    </cfRule>
    <cfRule type="containsText" priority="8117" operator="containsText" dxfId="3" text="ICU">
      <formula>NOT(ISERROR(SEARCH(("ICU"),(AV43))))</formula>
    </cfRule>
    <cfRule type="containsText" priority="8118" operator="containsText" dxfId="0" text="SWING">
      <formula>NOT(ISERROR(SEARCH(("SWING"),(AV43))))</formula>
    </cfRule>
    <cfRule type="containsText" priority="8119" operator="containsText" dxfId="0" text="NF">
      <formula>NOT(ISERROR(SEARCH(("NF"),(AV43))))</formula>
    </cfRule>
    <cfRule type="containsText" priority="8120" operator="containsText" dxfId="0" text="ICU N">
      <formula>NOT(ISERROR(SEARCH(("ICU N"),(AV43))))</formula>
    </cfRule>
  </conditionalFormatting>
  <conditionalFormatting sqref="AA24">
    <cfRule type="containsText" priority="8065" operator="containsText" dxfId="16" text="ED">
      <formula>NOT(ISERROR(SEARCH(("ED"),(AA24))))</formula>
    </cfRule>
    <cfRule type="containsText" priority="8066" operator="containsText" dxfId="15" text="GERIATRIC">
      <formula>NOT(ISERROR(SEARCH(("GERIATRIC"),(AA24))))</formula>
    </cfRule>
    <cfRule type="containsText" priority="6884" operator="containsText" dxfId="16" text="ED">
      <formula>NOT(ISERROR(SEARCH(("ED"),(AA24))))</formula>
    </cfRule>
    <cfRule type="containsText" priority="6885" operator="containsText" dxfId="15" text="GERIATRIC">
      <formula>NOT(ISERROR(SEARCH(("GERIATRIC"),(AA24))))</formula>
    </cfRule>
  </conditionalFormatting>
  <conditionalFormatting sqref="Z44">
    <cfRule type="containsText" priority="8059" operator="containsText" dxfId="16" text="ED">
      <formula>NOT(ISERROR(SEARCH(("ED"),(Z44))))</formula>
    </cfRule>
    <cfRule type="containsText" priority="8060" operator="containsText" dxfId="17" text="VACATION">
      <formula>NOT(ISERROR(SEARCH(("VACATION"),(Z44))))</formula>
    </cfRule>
    <cfRule type="containsText" priority="8061" operator="containsText" dxfId="0" text="ICU N">
      <formula>NOT(ISERROR(SEARCH(("ICU N"),(Z44))))</formula>
    </cfRule>
  </conditionalFormatting>
  <conditionalFormatting sqref="AB6">
    <cfRule type="containsText" priority="8057" operator="containsText" dxfId="17" text="VACATION">
      <formula>NOT(ISERROR(SEARCH(("VACATION"),(AB6))))</formula>
    </cfRule>
    <cfRule type="containsText" priority="8058" operator="containsText" dxfId="0" text="ICU N">
      <formula>NOT(ISERROR(SEARCH(("ICU N"),(AB6))))</formula>
    </cfRule>
    <cfRule type="containsText" priority="4953" operator="containsText" dxfId="17" text="VACATION">
      <formula>NOT(ISERROR(SEARCH(("VACATION"),(AB6))))</formula>
    </cfRule>
    <cfRule type="containsText" priority="4954" operator="containsText" dxfId="0" text="ICU N">
      <formula>NOT(ISERROR(SEARCH(("ICU N"),(AB6))))</formula>
    </cfRule>
  </conditionalFormatting>
  <conditionalFormatting sqref="E24">
    <cfRule type="containsText" priority="7967" operator="containsText" dxfId="16" text="ED">
      <formula>NOT(ISERROR(SEARCH(("ED"),(E24))))</formula>
    </cfRule>
    <cfRule type="containsText" priority="7968" operator="containsText" dxfId="15" text="GERIATRIC">
      <formula>NOT(ISERROR(SEARCH(("GERIATRIC"),(E24))))</formula>
    </cfRule>
    <cfRule type="containsText" priority="7969" operator="containsText" dxfId="17" text="VACATION">
      <formula>NOT(ISERROR(SEARCH(("VACATION"),(E24))))</formula>
    </cfRule>
    <cfRule type="containsText" priority="7970" operator="containsText" dxfId="7" text="PATH">
      <formula>NOT(ISERROR(SEARCH(("PATH"),(E24))))</formula>
    </cfRule>
    <cfRule type="containsText" priority="7971" operator="containsText" dxfId="7" text="NEPHRO">
      <formula>NOT(ISERROR(SEARCH(("NEPHRO"),(E24))))</formula>
    </cfRule>
    <cfRule type="containsText" priority="7972" operator="containsText" dxfId="7" text="PULM">
      <formula>NOT(ISERROR(SEARCH(("PULM"),(E24))))</formula>
    </cfRule>
    <cfRule type="containsText" priority="7973" operator="containsText" dxfId="7" text="RADIOLOGY">
      <formula>NOT(ISERROR(SEARCH(("RADIOLOGY"),(E24))))</formula>
    </cfRule>
    <cfRule type="containsText" priority="7974" operator="containsText" dxfId="7" text="HEM/ONC">
      <formula>NOT(ISERROR(SEARCH(("HEM/ONC"),(E24))))</formula>
    </cfRule>
    <cfRule type="containsText" priority="7975" operator="containsText" dxfId="7" text="CARDIO">
      <formula>NOT(ISERROR(SEARCH(("CARDIO"),(E24))))</formula>
    </cfRule>
    <cfRule type="containsText" priority="7976" operator="containsText" dxfId="7" text="ID">
      <formula>NOT(ISERROR(SEARCH(("ID"),(E24))))</formula>
    </cfRule>
    <cfRule type="containsText" priority="7977" operator="containsText" dxfId="7" text="NEURO">
      <formula>NOT(ISERROR(SEARCH(("NEURO"),(E24))))</formula>
    </cfRule>
    <cfRule type="containsText" priority="7978" operator="containsText" dxfId="6" text="NEURO">
      <formula>NOT(ISERROR(SEARCH(("NEURO"),(E24))))</formula>
    </cfRule>
    <cfRule type="containsText" priority="7979" operator="containsText" dxfId="5" text="NEURO">
      <formula>NOT(ISERROR(SEARCH(("NEURO"),(E24))))</formula>
    </cfRule>
    <cfRule type="containsText" priority="7980" operator="containsText" dxfId="0" text="ICU N">
      <formula>NOT(ISERROR(SEARCH(("ICU N"),(E24))))</formula>
    </cfRule>
    <cfRule type="containsText" priority="7981" operator="containsText" dxfId="3" text="ICU">
      <formula>NOT(ISERROR(SEARCH(("ICU"),(E24))))</formula>
    </cfRule>
    <cfRule type="containsText" priority="7982" operator="containsText" dxfId="0" text="SWING">
      <formula>NOT(ISERROR(SEARCH(("SWING"),(E24))))</formula>
    </cfRule>
    <cfRule type="containsText" priority="7983" operator="containsText" dxfId="0" text="NF">
      <formula>NOT(ISERROR(SEARCH(("NF"),(E24))))</formula>
    </cfRule>
    <cfRule type="containsText" priority="7984" operator="containsText" dxfId="0" text="ICU N">
      <formula>NOT(ISERROR(SEARCH(("ICU N"),(E24))))</formula>
    </cfRule>
    <cfRule type="containsText" priority="7949" operator="containsText" dxfId="16" text="ED">
      <formula>NOT(ISERROR(SEARCH(("ED"),(E24))))</formula>
    </cfRule>
    <cfRule type="containsText" priority="7950" operator="containsText" dxfId="15" text="GERIATRIC">
      <formula>NOT(ISERROR(SEARCH(("GERIATRIC"),(E24))))</formula>
    </cfRule>
    <cfRule type="containsText" priority="7951" operator="containsText" dxfId="17" text="VACATION">
      <formula>NOT(ISERROR(SEARCH(("VACATION"),(E24))))</formula>
    </cfRule>
    <cfRule type="containsText" priority="7952" operator="containsText" dxfId="7" text="PATH">
      <formula>NOT(ISERROR(SEARCH(("PATH"),(E24))))</formula>
    </cfRule>
    <cfRule type="containsText" priority="7953" operator="containsText" dxfId="7" text="NEPHRO">
      <formula>NOT(ISERROR(SEARCH(("NEPHRO"),(E24))))</formula>
    </cfRule>
    <cfRule type="containsText" priority="7954" operator="containsText" dxfId="7" text="PULM">
      <formula>NOT(ISERROR(SEARCH(("PULM"),(E24))))</formula>
    </cfRule>
    <cfRule type="containsText" priority="7955" operator="containsText" dxfId="7" text="RADIOLOGY">
      <formula>NOT(ISERROR(SEARCH(("RADIOLOGY"),(E24))))</formula>
    </cfRule>
    <cfRule type="containsText" priority="7956" operator="containsText" dxfId="7" text="HEM/ONC">
      <formula>NOT(ISERROR(SEARCH(("HEM/ONC"),(E24))))</formula>
    </cfRule>
    <cfRule type="containsText" priority="7957" operator="containsText" dxfId="7" text="CARDIO">
      <formula>NOT(ISERROR(SEARCH(("CARDIO"),(E24))))</formula>
    </cfRule>
    <cfRule type="containsText" priority="7958" operator="containsText" dxfId="7" text="ID">
      <formula>NOT(ISERROR(SEARCH(("ID"),(E24))))</formula>
    </cfRule>
    <cfRule type="containsText" priority="7959" operator="containsText" dxfId="7" text="NEURO">
      <formula>NOT(ISERROR(SEARCH(("NEURO"),(E24))))</formula>
    </cfRule>
    <cfRule type="containsText" priority="7960" operator="containsText" dxfId="6" text="NEURO">
      <formula>NOT(ISERROR(SEARCH(("NEURO"),(E24))))</formula>
    </cfRule>
    <cfRule type="containsText" priority="7961" operator="containsText" dxfId="5" text="NEURO">
      <formula>NOT(ISERROR(SEARCH(("NEURO"),(E24))))</formula>
    </cfRule>
    <cfRule type="containsText" priority="7962" operator="containsText" dxfId="0" text="ICU N">
      <formula>NOT(ISERROR(SEARCH(("ICU N"),(E24))))</formula>
    </cfRule>
    <cfRule type="containsText" priority="7963" operator="containsText" dxfId="3" text="ICU">
      <formula>NOT(ISERROR(SEARCH(("ICU"),(E24))))</formula>
    </cfRule>
    <cfRule type="containsText" priority="7964" operator="containsText" dxfId="0" text="SWING">
      <formula>NOT(ISERROR(SEARCH(("SWING"),(E24))))</formula>
    </cfRule>
    <cfRule type="containsText" priority="7965" operator="containsText" dxfId="0" text="NF">
      <formula>NOT(ISERROR(SEARCH(("NF"),(E24))))</formula>
    </cfRule>
    <cfRule type="containsText" priority="7966" operator="containsText" dxfId="0" text="ICU N">
      <formula>NOT(ISERROR(SEARCH(("ICU N"),(E24))))</formula>
    </cfRule>
  </conditionalFormatting>
  <conditionalFormatting sqref="AL38">
    <cfRule type="containsText" priority="7859" operator="containsText" dxfId="16" text="ED">
      <formula>NOT(ISERROR(SEARCH(("ED"),(AL38))))</formula>
    </cfRule>
    <cfRule type="containsText" priority="7860" operator="containsText" dxfId="15" text="GERIATRIC">
      <formula>NOT(ISERROR(SEARCH(("GERIATRIC"),(AL38))))</formula>
    </cfRule>
    <cfRule type="containsText" priority="7861" operator="containsText" dxfId="17" text="VACATION">
      <formula>NOT(ISERROR(SEARCH(("VACATION"),(AL38))))</formula>
    </cfRule>
    <cfRule type="containsText" priority="7862" operator="containsText" dxfId="7" text="PATH">
      <formula>NOT(ISERROR(SEARCH(("PATH"),(AL38))))</formula>
    </cfRule>
    <cfRule type="containsText" priority="7863" operator="containsText" dxfId="7" text="NEPHRO">
      <formula>NOT(ISERROR(SEARCH(("NEPHRO"),(AL38))))</formula>
    </cfRule>
    <cfRule type="containsText" priority="7864" operator="containsText" dxfId="7" text="PULM">
      <formula>NOT(ISERROR(SEARCH(("PULM"),(AL38))))</formula>
    </cfRule>
    <cfRule type="containsText" priority="7865" operator="containsText" dxfId="7" text="RADIOLOGY">
      <formula>NOT(ISERROR(SEARCH(("RADIOLOGY"),(AL38))))</formula>
    </cfRule>
    <cfRule type="containsText" priority="7866" operator="containsText" dxfId="7" text="HEM/ONC">
      <formula>NOT(ISERROR(SEARCH(("HEM/ONC"),(AL38))))</formula>
    </cfRule>
    <cfRule type="containsText" priority="7867" operator="containsText" dxfId="7" text="CARDIO">
      <formula>NOT(ISERROR(SEARCH(("CARDIO"),(AL38))))</formula>
    </cfRule>
    <cfRule type="containsText" priority="7868" operator="containsText" dxfId="7" text="ID">
      <formula>NOT(ISERROR(SEARCH(("ID"),(AL38))))</formula>
    </cfRule>
    <cfRule type="containsText" priority="7869" operator="containsText" dxfId="7" text="NEURO">
      <formula>NOT(ISERROR(SEARCH(("NEURO"),(AL38))))</formula>
    </cfRule>
    <cfRule type="containsText" priority="7870" operator="containsText" dxfId="6" text="NEURO">
      <formula>NOT(ISERROR(SEARCH(("NEURO"),(AL38))))</formula>
    </cfRule>
    <cfRule type="containsText" priority="7871" operator="containsText" dxfId="5" text="NEURO">
      <formula>NOT(ISERROR(SEARCH(("NEURO"),(AL38))))</formula>
    </cfRule>
    <cfRule type="containsText" priority="7872" operator="containsText" dxfId="0" text="ICU N">
      <formula>NOT(ISERROR(SEARCH(("ICU N"),(AL38))))</formula>
    </cfRule>
    <cfRule type="containsText" priority="7873" operator="containsText" dxfId="3" text="ICU">
      <formula>NOT(ISERROR(SEARCH(("ICU"),(AL38))))</formula>
    </cfRule>
    <cfRule type="containsText" priority="7874" operator="containsText" dxfId="0" text="SWING">
      <formula>NOT(ISERROR(SEARCH(("SWING"),(AL38))))</formula>
    </cfRule>
    <cfRule type="containsText" priority="7875" operator="containsText" dxfId="0" text="NF">
      <formula>NOT(ISERROR(SEARCH(("NF"),(AL38))))</formula>
    </cfRule>
    <cfRule type="containsText" priority="7876" operator="containsText" dxfId="0" text="ICU N">
      <formula>NOT(ISERROR(SEARCH(("ICU N"),(AL38))))</formula>
    </cfRule>
    <cfRule type="containsText" priority="7841" operator="containsText" dxfId="16" text="ED">
      <formula>NOT(ISERROR(SEARCH(("ED"),(AL38))))</formula>
    </cfRule>
    <cfRule type="containsText" priority="7842" operator="containsText" dxfId="15" text="GERIATRIC">
      <formula>NOT(ISERROR(SEARCH(("GERIATRIC"),(AL38))))</formula>
    </cfRule>
    <cfRule type="containsText" priority="7843" operator="containsText" dxfId="17" text="VACATION">
      <formula>NOT(ISERROR(SEARCH(("VACATION"),(AL38))))</formula>
    </cfRule>
    <cfRule type="containsText" priority="7844" operator="containsText" dxfId="7" text="PATH">
      <formula>NOT(ISERROR(SEARCH(("PATH"),(AL38))))</formula>
    </cfRule>
    <cfRule type="containsText" priority="7845" operator="containsText" dxfId="7" text="NEPHRO">
      <formula>NOT(ISERROR(SEARCH(("NEPHRO"),(AL38))))</formula>
    </cfRule>
    <cfRule type="containsText" priority="7846" operator="containsText" dxfId="7" text="PULM">
      <formula>NOT(ISERROR(SEARCH(("PULM"),(AL38))))</formula>
    </cfRule>
    <cfRule type="containsText" priority="7847" operator="containsText" dxfId="7" text="RADIOLOGY">
      <formula>NOT(ISERROR(SEARCH(("RADIOLOGY"),(AL38))))</formula>
    </cfRule>
    <cfRule type="containsText" priority="7848" operator="containsText" dxfId="7" text="HEM/ONC">
      <formula>NOT(ISERROR(SEARCH(("HEM/ONC"),(AL38))))</formula>
    </cfRule>
    <cfRule type="containsText" priority="7849" operator="containsText" dxfId="7" text="CARDIO">
      <formula>NOT(ISERROR(SEARCH(("CARDIO"),(AL38))))</formula>
    </cfRule>
    <cfRule type="containsText" priority="7850" operator="containsText" dxfId="7" text="ID">
      <formula>NOT(ISERROR(SEARCH(("ID"),(AL38))))</formula>
    </cfRule>
    <cfRule type="containsText" priority="7851" operator="containsText" dxfId="7" text="NEURO">
      <formula>NOT(ISERROR(SEARCH(("NEURO"),(AL38))))</formula>
    </cfRule>
    <cfRule type="containsText" priority="7852" operator="containsText" dxfId="6" text="NEURO">
      <formula>NOT(ISERROR(SEARCH(("NEURO"),(AL38))))</formula>
    </cfRule>
    <cfRule type="containsText" priority="7853" operator="containsText" dxfId="5" text="NEURO">
      <formula>NOT(ISERROR(SEARCH(("NEURO"),(AL38))))</formula>
    </cfRule>
    <cfRule type="containsText" priority="7854" operator="containsText" dxfId="0" text="ICU N">
      <formula>NOT(ISERROR(SEARCH(("ICU N"),(AL38))))</formula>
    </cfRule>
    <cfRule type="containsText" priority="7855" operator="containsText" dxfId="3" text="ICU">
      <formula>NOT(ISERROR(SEARCH(("ICU"),(AL38))))</formula>
    </cfRule>
    <cfRule type="containsText" priority="7856" operator="containsText" dxfId="0" text="SWING">
      <formula>NOT(ISERROR(SEARCH(("SWING"),(AL38))))</formula>
    </cfRule>
    <cfRule type="containsText" priority="7857" operator="containsText" dxfId="0" text="NF">
      <formula>NOT(ISERROR(SEARCH(("NF"),(AL38))))</formula>
    </cfRule>
    <cfRule type="containsText" priority="7858" operator="containsText" dxfId="0" text="ICU N">
      <formula>NOT(ISERROR(SEARCH(("ICU N"),(AL38))))</formula>
    </cfRule>
  </conditionalFormatting>
  <conditionalFormatting sqref="AL45">
    <cfRule type="containsText" priority="7840" operator="containsText" dxfId="17" text="VACATION">
      <formula>NOT(ISERROR(SEARCH(("VACATION"),(AL45))))</formula>
    </cfRule>
    <cfRule type="containsText" priority="7839" operator="containsText" dxfId="17" text="VACATION">
      <formula>NOT(ISERROR(SEARCH(("VACATION"),(AL45))))</formula>
    </cfRule>
    <cfRule type="containsText" priority="7838" operator="containsText" dxfId="17" text="VACATION">
      <formula>NOT(ISERROR(SEARCH(("VACATION"),(AL45))))</formula>
    </cfRule>
  </conditionalFormatting>
  <conditionalFormatting sqref="AX14">
    <cfRule type="containsText" priority="7805" operator="containsText" dxfId="17" text="VACATION">
      <formula>NOT(ISERROR(SEARCH(("VACATION"),(AX14))))</formula>
    </cfRule>
    <cfRule type="containsText" priority="7806" operator="containsText" dxfId="16" text="ED">
      <formula>NOT(ISERROR(SEARCH(("ED"),(AX14))))</formula>
    </cfRule>
    <cfRule type="containsText" priority="7807" operator="containsText" dxfId="15" text="GERIATRIC">
      <formula>NOT(ISERROR(SEARCH(("GERIATRIC"),(AX14))))</formula>
    </cfRule>
    <cfRule type="containsText" priority="7808" operator="containsText" dxfId="7" text="PATH">
      <formula>NOT(ISERROR(SEARCH(("PATH"),(AX14))))</formula>
    </cfRule>
    <cfRule type="containsText" priority="7809" operator="containsText" dxfId="7" text="NEPHRO">
      <formula>NOT(ISERROR(SEARCH(("NEPHRO"),(AX14))))</formula>
    </cfRule>
    <cfRule type="containsText" priority="7810" operator="containsText" dxfId="7" text="PULM">
      <formula>NOT(ISERROR(SEARCH(("PULM"),(AX14))))</formula>
    </cfRule>
    <cfRule type="containsText" priority="7811" operator="containsText" dxfId="7" text="RADIOLOGY">
      <formula>NOT(ISERROR(SEARCH(("RADIOLOGY"),(AX14))))</formula>
    </cfRule>
    <cfRule type="containsText" priority="7812" operator="containsText" dxfId="7" text="HEM/ONC">
      <formula>NOT(ISERROR(SEARCH(("HEM/ONC"),(AX14))))</formula>
    </cfRule>
    <cfRule type="containsText" priority="7813" operator="containsText" dxfId="7" text="CARDIO">
      <formula>NOT(ISERROR(SEARCH(("CARDIO"),(AX14))))</formula>
    </cfRule>
    <cfRule type="containsText" priority="7814" operator="containsText" dxfId="7" text="ID">
      <formula>NOT(ISERROR(SEARCH(("ID"),(AX14))))</formula>
    </cfRule>
    <cfRule type="containsText" priority="7815" operator="containsText" dxfId="7" text="NEURO">
      <formula>NOT(ISERROR(SEARCH(("NEURO"),(AX14))))</formula>
    </cfRule>
    <cfRule type="containsText" priority="7816" operator="containsText" dxfId="6" text="NEURO">
      <formula>NOT(ISERROR(SEARCH(("NEURO"),(AX14))))</formula>
    </cfRule>
    <cfRule type="containsText" priority="7817" operator="containsText" dxfId="5" text="NEURO">
      <formula>NOT(ISERROR(SEARCH(("NEURO"),(AX14))))</formula>
    </cfRule>
    <cfRule type="containsText" priority="7818" operator="containsText" dxfId="0" text="ICU N">
      <formula>NOT(ISERROR(SEARCH(("ICU N"),(AX14))))</formula>
    </cfRule>
    <cfRule type="containsText" priority="7819" operator="containsText" dxfId="3" text="ICU">
      <formula>NOT(ISERROR(SEARCH(("ICU"),(AX14))))</formula>
    </cfRule>
    <cfRule type="containsText" priority="7820" operator="containsText" dxfId="0" text="SWING">
      <formula>NOT(ISERROR(SEARCH(("SWING"),(AX14))))</formula>
    </cfRule>
    <cfRule type="containsText" priority="7821" operator="containsText" dxfId="0" text="NF">
      <formula>NOT(ISERROR(SEARCH(("NF"),(AX14))))</formula>
    </cfRule>
    <cfRule type="containsText" priority="7804" operator="containsText" dxfId="0" text="ICU N">
      <formula>NOT(ISERROR(SEARCH(("ICU N"),(AX14))))</formula>
    </cfRule>
    <cfRule type="containsText" priority="7789" operator="containsText" dxfId="7" text="PATH">
      <formula>NOT(ISERROR(SEARCH(("PATH"),(AX14))))</formula>
    </cfRule>
    <cfRule type="containsText" priority="7790" operator="containsText" dxfId="7" text="NEPHRO">
      <formula>NOT(ISERROR(SEARCH(("NEPHRO"),(AX14))))</formula>
    </cfRule>
    <cfRule type="containsText" priority="7791" operator="containsText" dxfId="7" text="PULM">
      <formula>NOT(ISERROR(SEARCH(("PULM"),(AX14))))</formula>
    </cfRule>
    <cfRule type="containsText" priority="7792" operator="containsText" dxfId="7" text="RADIOLOGY">
      <formula>NOT(ISERROR(SEARCH(("RADIOLOGY"),(AX14))))</formula>
    </cfRule>
    <cfRule type="containsText" priority="7793" operator="containsText" dxfId="7" text="HEM/ONC">
      <formula>NOT(ISERROR(SEARCH(("HEM/ONC"),(AX14))))</formula>
    </cfRule>
    <cfRule type="containsText" priority="7794" operator="containsText" dxfId="7" text="CARDIO">
      <formula>NOT(ISERROR(SEARCH(("CARDIO"),(AX14))))</formula>
    </cfRule>
    <cfRule type="containsText" priority="7795" operator="containsText" dxfId="7" text="ID">
      <formula>NOT(ISERROR(SEARCH(("ID"),(AX14))))</formula>
    </cfRule>
    <cfRule type="containsText" priority="7796" operator="containsText" dxfId="7" text="NEURO">
      <formula>NOT(ISERROR(SEARCH(("NEURO"),(AX14))))</formula>
    </cfRule>
    <cfRule type="containsText" priority="7797" operator="containsText" dxfId="6" text="NEURO">
      <formula>NOT(ISERROR(SEARCH(("NEURO"),(AX14))))</formula>
    </cfRule>
    <cfRule type="containsText" priority="7798" operator="containsText" dxfId="5" text="NEURO">
      <formula>NOT(ISERROR(SEARCH(("NEURO"),(AX14))))</formula>
    </cfRule>
    <cfRule type="containsText" priority="7799" operator="containsText" dxfId="0" text="ICU N">
      <formula>NOT(ISERROR(SEARCH(("ICU N"),(AX14))))</formula>
    </cfRule>
    <cfRule type="containsText" priority="7800" operator="containsText" dxfId="3" text="ICU">
      <formula>NOT(ISERROR(SEARCH(("ICU"),(AX14))))</formula>
    </cfRule>
    <cfRule type="containsText" priority="7801" operator="containsText" dxfId="0" text="SWING">
      <formula>NOT(ISERROR(SEARCH(("SWING"),(AX14))))</formula>
    </cfRule>
    <cfRule type="containsText" priority="7802" operator="containsText" dxfId="0" text="NF">
      <formula>NOT(ISERROR(SEARCH(("NF"),(AX14))))</formula>
    </cfRule>
    <cfRule type="containsText" priority="7803" operator="containsText" dxfId="0" text="ICU N">
      <formula>NOT(ISERROR(SEARCH(("ICU N"),(AX14))))</formula>
    </cfRule>
  </conditionalFormatting>
  <conditionalFormatting sqref="AX31">
    <cfRule type="containsText" priority="7788" operator="containsText" dxfId="0" text="ICU N">
      <formula>NOT(ISERROR(SEARCH(("ICU N"),(AX31))))</formula>
    </cfRule>
    <cfRule type="containsText" priority="7773" operator="containsText" dxfId="7" text="PATH">
      <formula>NOT(ISERROR(SEARCH(("PATH"),(AX31))))</formula>
    </cfRule>
    <cfRule type="containsText" priority="7774" operator="containsText" dxfId="7" text="NEPHRO">
      <formula>NOT(ISERROR(SEARCH(("NEPHRO"),(AX31))))</formula>
    </cfRule>
    <cfRule type="containsText" priority="7775" operator="containsText" dxfId="7" text="PULM">
      <formula>NOT(ISERROR(SEARCH(("PULM"),(AX31))))</formula>
    </cfRule>
    <cfRule type="containsText" priority="7776" operator="containsText" dxfId="7" text="RADIOLOGY">
      <formula>NOT(ISERROR(SEARCH(("RADIOLOGY"),(AX31))))</formula>
    </cfRule>
    <cfRule type="containsText" priority="7777" operator="containsText" dxfId="7" text="HEM/ONC">
      <formula>NOT(ISERROR(SEARCH(("HEM/ONC"),(AX31))))</formula>
    </cfRule>
    <cfRule type="containsText" priority="7778" operator="containsText" dxfId="7" text="CARDIO">
      <formula>NOT(ISERROR(SEARCH(("CARDIO"),(AX31))))</formula>
    </cfRule>
    <cfRule type="containsText" priority="7779" operator="containsText" dxfId="7" text="ID">
      <formula>NOT(ISERROR(SEARCH(("ID"),(AX31))))</formula>
    </cfRule>
    <cfRule type="containsText" priority="7780" operator="containsText" dxfId="7" text="NEURO">
      <formula>NOT(ISERROR(SEARCH(("NEURO"),(AX31))))</formula>
    </cfRule>
    <cfRule type="containsText" priority="7781" operator="containsText" dxfId="6" text="NEURO">
      <formula>NOT(ISERROR(SEARCH(("NEURO"),(AX31))))</formula>
    </cfRule>
    <cfRule type="containsText" priority="7782" operator="containsText" dxfId="5" text="NEURO">
      <formula>NOT(ISERROR(SEARCH(("NEURO"),(AX31))))</formula>
    </cfRule>
    <cfRule type="containsText" priority="7783" operator="containsText" dxfId="0" text="ICU N">
      <formula>NOT(ISERROR(SEARCH(("ICU N"),(AX31))))</formula>
    </cfRule>
    <cfRule type="containsText" priority="7784" operator="containsText" dxfId="3" text="ICU">
      <formula>NOT(ISERROR(SEARCH(("ICU"),(AX31))))</formula>
    </cfRule>
    <cfRule type="containsText" priority="7785" operator="containsText" dxfId="0" text="SWING">
      <formula>NOT(ISERROR(SEARCH(("SWING"),(AX31))))</formula>
    </cfRule>
    <cfRule type="containsText" priority="7786" operator="containsText" dxfId="0" text="NF">
      <formula>NOT(ISERROR(SEARCH(("NF"),(AX31))))</formula>
    </cfRule>
    <cfRule type="containsText" priority="7787" operator="containsText" dxfId="0" text="ICU N">
      <formula>NOT(ISERROR(SEARCH(("ICU N"),(AX31))))</formula>
    </cfRule>
  </conditionalFormatting>
  <conditionalFormatting sqref="AX34">
    <cfRule type="containsText" priority="7772" operator="containsText" dxfId="0" text="ICU N">
      <formula>NOT(ISERROR(SEARCH(("ICU N"),(AX34))))</formula>
    </cfRule>
    <cfRule type="containsText" priority="7757" operator="containsText" dxfId="7" text="PATH">
      <formula>NOT(ISERROR(SEARCH(("PATH"),(AX34))))</formula>
    </cfRule>
    <cfRule type="containsText" priority="7758" operator="containsText" dxfId="7" text="NEPHRO">
      <formula>NOT(ISERROR(SEARCH(("NEPHRO"),(AX34))))</formula>
    </cfRule>
    <cfRule type="containsText" priority="7759" operator="containsText" dxfId="7" text="PULM">
      <formula>NOT(ISERROR(SEARCH(("PULM"),(AX34))))</formula>
    </cfRule>
    <cfRule type="containsText" priority="7760" operator="containsText" dxfId="7" text="RADIOLOGY">
      <formula>NOT(ISERROR(SEARCH(("RADIOLOGY"),(AX34))))</formula>
    </cfRule>
    <cfRule type="containsText" priority="7761" operator="containsText" dxfId="7" text="HEM/ONC">
      <formula>NOT(ISERROR(SEARCH(("HEM/ONC"),(AX34))))</formula>
    </cfRule>
    <cfRule type="containsText" priority="7762" operator="containsText" dxfId="7" text="CARDIO">
      <formula>NOT(ISERROR(SEARCH(("CARDIO"),(AX34))))</formula>
    </cfRule>
    <cfRule type="containsText" priority="7763" operator="containsText" dxfId="7" text="ID">
      <formula>NOT(ISERROR(SEARCH(("ID"),(AX34))))</formula>
    </cfRule>
    <cfRule type="containsText" priority="7764" operator="containsText" dxfId="7" text="NEURO">
      <formula>NOT(ISERROR(SEARCH(("NEURO"),(AX34))))</formula>
    </cfRule>
    <cfRule type="containsText" priority="7765" operator="containsText" dxfId="6" text="NEURO">
      <formula>NOT(ISERROR(SEARCH(("NEURO"),(AX34))))</formula>
    </cfRule>
    <cfRule type="containsText" priority="7766" operator="containsText" dxfId="5" text="NEURO">
      <formula>NOT(ISERROR(SEARCH(("NEURO"),(AX34))))</formula>
    </cfRule>
    <cfRule type="containsText" priority="7767" operator="containsText" dxfId="0" text="ICU N">
      <formula>NOT(ISERROR(SEARCH(("ICU N"),(AX34))))</formula>
    </cfRule>
    <cfRule type="containsText" priority="7768" operator="containsText" dxfId="3" text="ICU">
      <formula>NOT(ISERROR(SEARCH(("ICU"),(AX34))))</formula>
    </cfRule>
    <cfRule type="containsText" priority="7769" operator="containsText" dxfId="0" text="SWING">
      <formula>NOT(ISERROR(SEARCH(("SWING"),(AX34))))</formula>
    </cfRule>
    <cfRule type="containsText" priority="7770" operator="containsText" dxfId="0" text="NF">
      <formula>NOT(ISERROR(SEARCH(("NF"),(AX34))))</formula>
    </cfRule>
    <cfRule type="containsText" priority="7771" operator="containsText" dxfId="0" text="ICU N">
      <formula>NOT(ISERROR(SEARCH(("ICU N"),(AX34))))</formula>
    </cfRule>
  </conditionalFormatting>
  <conditionalFormatting sqref="AM43">
    <cfRule type="containsText" priority="7701" operator="containsText" dxfId="16" text="ED">
      <formula>NOT(ISERROR(SEARCH(("ED"),(AM43))))</formula>
    </cfRule>
    <cfRule type="containsText" priority="7702" operator="containsText" dxfId="15" text="GERIATRIC">
      <formula>NOT(ISERROR(SEARCH(("GERIATRIC"),(AM43))))</formula>
    </cfRule>
    <cfRule type="containsText" priority="7703" operator="containsText" dxfId="17" text="VACATION">
      <formula>NOT(ISERROR(SEARCH(("VACATION"),(AM43))))</formula>
    </cfRule>
    <cfRule type="containsText" priority="7704" operator="containsText" dxfId="7" text="PATH">
      <formula>NOT(ISERROR(SEARCH(("PATH"),(AM43))))</formula>
    </cfRule>
    <cfRule type="containsText" priority="7705" operator="containsText" dxfId="7" text="NEPHRO">
      <formula>NOT(ISERROR(SEARCH(("NEPHRO"),(AM43))))</formula>
    </cfRule>
    <cfRule type="containsText" priority="7706" operator="containsText" dxfId="7" text="PULM">
      <formula>NOT(ISERROR(SEARCH(("PULM"),(AM43))))</formula>
    </cfRule>
    <cfRule type="containsText" priority="7707" operator="containsText" dxfId="7" text="RADIOLOGY">
      <formula>NOT(ISERROR(SEARCH(("RADIOLOGY"),(AM43))))</formula>
    </cfRule>
    <cfRule type="containsText" priority="7708" operator="containsText" dxfId="7" text="HEM/ONC">
      <formula>NOT(ISERROR(SEARCH(("HEM/ONC"),(AM43))))</formula>
    </cfRule>
    <cfRule type="containsText" priority="7709" operator="containsText" dxfId="7" text="CARDIO">
      <formula>NOT(ISERROR(SEARCH(("CARDIO"),(AM43))))</formula>
    </cfRule>
    <cfRule type="containsText" priority="7710" operator="containsText" dxfId="7" text="ID">
      <formula>NOT(ISERROR(SEARCH(("ID"),(AM43))))</formula>
    </cfRule>
    <cfRule type="containsText" priority="7711" operator="containsText" dxfId="7" text="NEURO">
      <formula>NOT(ISERROR(SEARCH(("NEURO"),(AM43))))</formula>
    </cfRule>
    <cfRule type="containsText" priority="7712" operator="containsText" dxfId="6" text="NEURO">
      <formula>NOT(ISERROR(SEARCH(("NEURO"),(AM43))))</formula>
    </cfRule>
    <cfRule type="containsText" priority="7713" operator="containsText" dxfId="5" text="NEURO">
      <formula>NOT(ISERROR(SEARCH(("NEURO"),(AM43))))</formula>
    </cfRule>
    <cfRule type="containsText" priority="7714" operator="containsText" dxfId="0" text="ICU N">
      <formula>NOT(ISERROR(SEARCH(("ICU N"),(AM43))))</formula>
    </cfRule>
    <cfRule type="containsText" priority="7715" operator="containsText" dxfId="3" text="ICU">
      <formula>NOT(ISERROR(SEARCH(("ICU"),(AM43))))</formula>
    </cfRule>
    <cfRule type="containsText" priority="7716" operator="containsText" dxfId="0" text="SWING">
      <formula>NOT(ISERROR(SEARCH(("SWING"),(AM43))))</formula>
    </cfRule>
    <cfRule type="containsText" priority="7717" operator="containsText" dxfId="0" text="NF">
      <formula>NOT(ISERROR(SEARCH(("NF"),(AM43))))</formula>
    </cfRule>
    <cfRule type="containsText" priority="7718" operator="containsText" dxfId="0" text="ICU N">
      <formula>NOT(ISERROR(SEARCH(("ICU N"),(AM43))))</formula>
    </cfRule>
    <cfRule type="containsText" priority="7683" operator="containsText" dxfId="16" text="ED">
      <formula>NOT(ISERROR(SEARCH(("ED"),(AM43))))</formula>
    </cfRule>
    <cfRule type="containsText" priority="7684" operator="containsText" dxfId="15" text="GERIATRIC">
      <formula>NOT(ISERROR(SEARCH(("GERIATRIC"),(AM43))))</formula>
    </cfRule>
    <cfRule type="containsText" priority="7685" operator="containsText" dxfId="17" text="VACATION">
      <formula>NOT(ISERROR(SEARCH(("VACATION"),(AM43))))</formula>
    </cfRule>
    <cfRule type="containsText" priority="7686" operator="containsText" dxfId="7" text="PATH">
      <formula>NOT(ISERROR(SEARCH(("PATH"),(AM43))))</formula>
    </cfRule>
    <cfRule type="containsText" priority="7687" operator="containsText" dxfId="7" text="NEPHRO">
      <formula>NOT(ISERROR(SEARCH(("NEPHRO"),(AM43))))</formula>
    </cfRule>
    <cfRule type="containsText" priority="7688" operator="containsText" dxfId="7" text="PULM">
      <formula>NOT(ISERROR(SEARCH(("PULM"),(AM43))))</formula>
    </cfRule>
    <cfRule type="containsText" priority="7689" operator="containsText" dxfId="7" text="RADIOLOGY">
      <formula>NOT(ISERROR(SEARCH(("RADIOLOGY"),(AM43))))</formula>
    </cfRule>
    <cfRule type="containsText" priority="7690" operator="containsText" dxfId="7" text="HEM/ONC">
      <formula>NOT(ISERROR(SEARCH(("HEM/ONC"),(AM43))))</formula>
    </cfRule>
    <cfRule type="containsText" priority="7691" operator="containsText" dxfId="7" text="CARDIO">
      <formula>NOT(ISERROR(SEARCH(("CARDIO"),(AM43))))</formula>
    </cfRule>
    <cfRule type="containsText" priority="7692" operator="containsText" dxfId="7" text="ID">
      <formula>NOT(ISERROR(SEARCH(("ID"),(AM43))))</formula>
    </cfRule>
    <cfRule type="containsText" priority="7693" operator="containsText" dxfId="7" text="NEURO">
      <formula>NOT(ISERROR(SEARCH(("NEURO"),(AM43))))</formula>
    </cfRule>
    <cfRule type="containsText" priority="7694" operator="containsText" dxfId="6" text="NEURO">
      <formula>NOT(ISERROR(SEARCH(("NEURO"),(AM43))))</formula>
    </cfRule>
    <cfRule type="containsText" priority="7695" operator="containsText" dxfId="5" text="NEURO">
      <formula>NOT(ISERROR(SEARCH(("NEURO"),(AM43))))</formula>
    </cfRule>
    <cfRule type="containsText" priority="7696" operator="containsText" dxfId="0" text="ICU N">
      <formula>NOT(ISERROR(SEARCH(("ICU N"),(AM43))))</formula>
    </cfRule>
    <cfRule type="containsText" priority="7697" operator="containsText" dxfId="3" text="ICU">
      <formula>NOT(ISERROR(SEARCH(("ICU"),(AM43))))</formula>
    </cfRule>
    <cfRule type="containsText" priority="7698" operator="containsText" dxfId="0" text="SWING">
      <formula>NOT(ISERROR(SEARCH(("SWING"),(AM43))))</formula>
    </cfRule>
    <cfRule type="containsText" priority="7699" operator="containsText" dxfId="0" text="NF">
      <formula>NOT(ISERROR(SEARCH(("NF"),(AM43))))</formula>
    </cfRule>
    <cfRule type="containsText" priority="7700" operator="containsText" dxfId="0" text="ICU N">
      <formula>NOT(ISERROR(SEARCH(("ICU N"),(AM43))))</formula>
    </cfRule>
  </conditionalFormatting>
  <conditionalFormatting sqref="AP38">
    <cfRule type="containsText" priority="7523" operator="containsText" dxfId="16" text="ED">
      <formula>NOT(ISERROR(SEARCH(("ED"),(AP38))))</formula>
    </cfRule>
    <cfRule type="containsText" priority="7524" operator="containsText" dxfId="15" text="GERIATRIC">
      <formula>NOT(ISERROR(SEARCH(("GERIATRIC"),(AP38))))</formula>
    </cfRule>
    <cfRule type="containsText" priority="7525" operator="containsText" dxfId="17" text="VACATION">
      <formula>NOT(ISERROR(SEARCH(("VACATION"),(AP38))))</formula>
    </cfRule>
    <cfRule type="containsText" priority="7526" operator="containsText" dxfId="7" text="PATH">
      <formula>NOT(ISERROR(SEARCH(("PATH"),(AP38))))</formula>
    </cfRule>
    <cfRule type="containsText" priority="7527" operator="containsText" dxfId="7" text="NEPHRO">
      <formula>NOT(ISERROR(SEARCH(("NEPHRO"),(AP38))))</formula>
    </cfRule>
    <cfRule type="containsText" priority="7528" operator="containsText" dxfId="7" text="PULM">
      <formula>NOT(ISERROR(SEARCH(("PULM"),(AP38))))</formula>
    </cfRule>
    <cfRule type="containsText" priority="7529" operator="containsText" dxfId="7" text="RADIOLOGY">
      <formula>NOT(ISERROR(SEARCH(("RADIOLOGY"),(AP38))))</formula>
    </cfRule>
    <cfRule type="containsText" priority="7530" operator="containsText" dxfId="7" text="HEM/ONC">
      <formula>NOT(ISERROR(SEARCH(("HEM/ONC"),(AP38))))</formula>
    </cfRule>
    <cfRule type="containsText" priority="7531" operator="containsText" dxfId="7" text="CARDIO">
      <formula>NOT(ISERROR(SEARCH(("CARDIO"),(AP38))))</formula>
    </cfRule>
    <cfRule type="containsText" priority="7532" operator="containsText" dxfId="7" text="ID">
      <formula>NOT(ISERROR(SEARCH(("ID"),(AP38))))</formula>
    </cfRule>
    <cfRule type="containsText" priority="7533" operator="containsText" dxfId="7" text="NEURO">
      <formula>NOT(ISERROR(SEARCH(("NEURO"),(AP38))))</formula>
    </cfRule>
    <cfRule type="containsText" priority="7534" operator="containsText" dxfId="6" text="NEURO">
      <formula>NOT(ISERROR(SEARCH(("NEURO"),(AP38))))</formula>
    </cfRule>
    <cfRule type="containsText" priority="7535" operator="containsText" dxfId="5" text="NEURO">
      <formula>NOT(ISERROR(SEARCH(("NEURO"),(AP38))))</formula>
    </cfRule>
    <cfRule type="containsText" priority="7536" operator="containsText" dxfId="0" text="ICU N">
      <formula>NOT(ISERROR(SEARCH(("ICU N"),(AP38))))</formula>
    </cfRule>
    <cfRule type="containsText" priority="7537" operator="containsText" dxfId="3" text="ICU">
      <formula>NOT(ISERROR(SEARCH(("ICU"),(AP38))))</formula>
    </cfRule>
    <cfRule type="containsText" priority="7538" operator="containsText" dxfId="0" text="SWING">
      <formula>NOT(ISERROR(SEARCH(("SWING"),(AP38))))</formula>
    </cfRule>
    <cfRule type="containsText" priority="7539" operator="containsText" dxfId="0" text="NF">
      <formula>NOT(ISERROR(SEARCH(("NF"),(AP38))))</formula>
    </cfRule>
    <cfRule type="containsText" priority="7540" operator="containsText" dxfId="0" text="ICU N">
      <formula>NOT(ISERROR(SEARCH(("ICU N"),(AP38))))</formula>
    </cfRule>
    <cfRule type="containsText" priority="7505" operator="containsText" dxfId="16" text="ED">
      <formula>NOT(ISERROR(SEARCH(("ED"),(AP38))))</formula>
    </cfRule>
    <cfRule type="containsText" priority="7506" operator="containsText" dxfId="15" text="GERIATRIC">
      <formula>NOT(ISERROR(SEARCH(("GERIATRIC"),(AP38))))</formula>
    </cfRule>
    <cfRule type="containsText" priority="7507" operator="containsText" dxfId="17" text="VACATION">
      <formula>NOT(ISERROR(SEARCH(("VACATION"),(AP38))))</formula>
    </cfRule>
    <cfRule type="containsText" priority="7508" operator="containsText" dxfId="7" text="PATH">
      <formula>NOT(ISERROR(SEARCH(("PATH"),(AP38))))</formula>
    </cfRule>
    <cfRule type="containsText" priority="7509" operator="containsText" dxfId="7" text="NEPHRO">
      <formula>NOT(ISERROR(SEARCH(("NEPHRO"),(AP38))))</formula>
    </cfRule>
    <cfRule type="containsText" priority="7510" operator="containsText" dxfId="7" text="PULM">
      <formula>NOT(ISERROR(SEARCH(("PULM"),(AP38))))</formula>
    </cfRule>
    <cfRule type="containsText" priority="7511" operator="containsText" dxfId="7" text="RADIOLOGY">
      <formula>NOT(ISERROR(SEARCH(("RADIOLOGY"),(AP38))))</formula>
    </cfRule>
    <cfRule type="containsText" priority="7512" operator="containsText" dxfId="7" text="HEM/ONC">
      <formula>NOT(ISERROR(SEARCH(("HEM/ONC"),(AP38))))</formula>
    </cfRule>
    <cfRule type="containsText" priority="7513" operator="containsText" dxfId="7" text="CARDIO">
      <formula>NOT(ISERROR(SEARCH(("CARDIO"),(AP38))))</formula>
    </cfRule>
    <cfRule type="containsText" priority="7514" operator="containsText" dxfId="7" text="ID">
      <formula>NOT(ISERROR(SEARCH(("ID"),(AP38))))</formula>
    </cfRule>
    <cfRule type="containsText" priority="7515" operator="containsText" dxfId="7" text="NEURO">
      <formula>NOT(ISERROR(SEARCH(("NEURO"),(AP38))))</formula>
    </cfRule>
    <cfRule type="containsText" priority="7516" operator="containsText" dxfId="6" text="NEURO">
      <formula>NOT(ISERROR(SEARCH(("NEURO"),(AP38))))</formula>
    </cfRule>
    <cfRule type="containsText" priority="7517" operator="containsText" dxfId="5" text="NEURO">
      <formula>NOT(ISERROR(SEARCH(("NEURO"),(AP38))))</formula>
    </cfRule>
    <cfRule type="containsText" priority="7518" operator="containsText" dxfId="0" text="ICU N">
      <formula>NOT(ISERROR(SEARCH(("ICU N"),(AP38))))</formula>
    </cfRule>
    <cfRule type="containsText" priority="7519" operator="containsText" dxfId="3" text="ICU">
      <formula>NOT(ISERROR(SEARCH(("ICU"),(AP38))))</formula>
    </cfRule>
    <cfRule type="containsText" priority="7520" operator="containsText" dxfId="0" text="SWING">
      <formula>NOT(ISERROR(SEARCH(("SWING"),(AP38))))</formula>
    </cfRule>
    <cfRule type="containsText" priority="7521" operator="containsText" dxfId="0" text="NF">
      <formula>NOT(ISERROR(SEARCH(("NF"),(AP38))))</formula>
    </cfRule>
    <cfRule type="containsText" priority="7522" operator="containsText" dxfId="0" text="ICU N">
      <formula>NOT(ISERROR(SEARCH(("ICU N"),(AP38))))</formula>
    </cfRule>
  </conditionalFormatting>
  <conditionalFormatting sqref="H7">
    <cfRule type="containsText" priority="7470" operator="containsText" dxfId="16" text="ED">
      <formula>NOT(ISERROR(SEARCH(("ED"),(H7))))</formula>
    </cfRule>
    <cfRule type="containsText" priority="7471" operator="containsText" dxfId="15" text="GERIATRIC">
      <formula>NOT(ISERROR(SEARCH(("GERIATRIC"),(H7))))</formula>
    </cfRule>
    <cfRule type="containsText" priority="7472" operator="containsText" dxfId="17" text="VACATION">
      <formula>NOT(ISERROR(SEARCH(("VACATION"),(H7))))</formula>
    </cfRule>
    <cfRule type="containsText" priority="7473" operator="containsText" dxfId="7" text="PATH">
      <formula>NOT(ISERROR(SEARCH(("PATH"),(H7))))</formula>
    </cfRule>
    <cfRule type="containsText" priority="7474" operator="containsText" dxfId="7" text="NEPHRO">
      <formula>NOT(ISERROR(SEARCH(("NEPHRO"),(H7))))</formula>
    </cfRule>
    <cfRule type="containsText" priority="7475" operator="containsText" dxfId="7" text="PULM">
      <formula>NOT(ISERROR(SEARCH(("PULM"),(H7))))</formula>
    </cfRule>
    <cfRule type="containsText" priority="7476" operator="containsText" dxfId="7" text="RADIOLOGY">
      <formula>NOT(ISERROR(SEARCH(("RADIOLOGY"),(H7))))</formula>
    </cfRule>
    <cfRule type="containsText" priority="7477" operator="containsText" dxfId="7" text="HEM/ONC">
      <formula>NOT(ISERROR(SEARCH(("HEM/ONC"),(H7))))</formula>
    </cfRule>
    <cfRule type="containsText" priority="7478" operator="containsText" dxfId="7" text="CARDIO">
      <formula>NOT(ISERROR(SEARCH(("CARDIO"),(H7))))</formula>
    </cfRule>
    <cfRule type="containsText" priority="7479" operator="containsText" dxfId="7" text="ID">
      <formula>NOT(ISERROR(SEARCH(("ID"),(H7))))</formula>
    </cfRule>
    <cfRule type="containsText" priority="7480" operator="containsText" dxfId="7" text="NEURO">
      <formula>NOT(ISERROR(SEARCH(("NEURO"),(H7))))</formula>
    </cfRule>
    <cfRule type="containsText" priority="7481" operator="containsText" dxfId="6" text="NEURO">
      <formula>NOT(ISERROR(SEARCH(("NEURO"),(H7))))</formula>
    </cfRule>
    <cfRule type="containsText" priority="7482" operator="containsText" dxfId="5" text="NEURO">
      <formula>NOT(ISERROR(SEARCH(("NEURO"),(H7))))</formula>
    </cfRule>
    <cfRule type="containsText" priority="7483" operator="containsText" dxfId="0" text="ICU N">
      <formula>NOT(ISERROR(SEARCH(("ICU N"),(H7))))</formula>
    </cfRule>
    <cfRule type="containsText" priority="7484" operator="containsText" dxfId="3" text="ICU">
      <formula>NOT(ISERROR(SEARCH(("ICU"),(H7))))</formula>
    </cfRule>
    <cfRule type="containsText" priority="7485" operator="containsText" dxfId="0" text="SWING">
      <formula>NOT(ISERROR(SEARCH(("SWING"),(H7))))</formula>
    </cfRule>
    <cfRule type="containsText" priority="7486" operator="containsText" dxfId="0" text="NF">
      <formula>NOT(ISERROR(SEARCH(("NF"),(H7))))</formula>
    </cfRule>
    <cfRule type="containsText" priority="7487" operator="containsText" dxfId="0" text="ICU N">
      <formula>NOT(ISERROR(SEARCH(("ICU N"),(H7))))</formula>
    </cfRule>
    <cfRule type="containsText" priority="7452" operator="containsText" dxfId="16" text="ED">
      <formula>NOT(ISERROR(SEARCH(("ED"),(H7))))</formula>
    </cfRule>
    <cfRule type="containsText" priority="7453" operator="containsText" dxfId="15" text="GERIATRIC">
      <formula>NOT(ISERROR(SEARCH(("GERIATRIC"),(H7))))</formula>
    </cfRule>
    <cfRule type="containsText" priority="7454" operator="containsText" dxfId="17" text="VACATION">
      <formula>NOT(ISERROR(SEARCH(("VACATION"),(H7))))</formula>
    </cfRule>
    <cfRule type="containsText" priority="7455" operator="containsText" dxfId="7" text="PATH">
      <formula>NOT(ISERROR(SEARCH(("PATH"),(H7))))</formula>
    </cfRule>
    <cfRule type="containsText" priority="7456" operator="containsText" dxfId="7" text="NEPHRO">
      <formula>NOT(ISERROR(SEARCH(("NEPHRO"),(H7))))</formula>
    </cfRule>
    <cfRule type="containsText" priority="7457" operator="containsText" dxfId="7" text="PULM">
      <formula>NOT(ISERROR(SEARCH(("PULM"),(H7))))</formula>
    </cfRule>
    <cfRule type="containsText" priority="7458" operator="containsText" dxfId="7" text="RADIOLOGY">
      <formula>NOT(ISERROR(SEARCH(("RADIOLOGY"),(H7))))</formula>
    </cfRule>
    <cfRule type="containsText" priority="7459" operator="containsText" dxfId="7" text="HEM/ONC">
      <formula>NOT(ISERROR(SEARCH(("HEM/ONC"),(H7))))</formula>
    </cfRule>
    <cfRule type="containsText" priority="7460" operator="containsText" dxfId="7" text="CARDIO">
      <formula>NOT(ISERROR(SEARCH(("CARDIO"),(H7))))</formula>
    </cfRule>
    <cfRule type="containsText" priority="7461" operator="containsText" dxfId="7" text="ID">
      <formula>NOT(ISERROR(SEARCH(("ID"),(H7))))</formula>
    </cfRule>
    <cfRule type="containsText" priority="7462" operator="containsText" dxfId="7" text="NEURO">
      <formula>NOT(ISERROR(SEARCH(("NEURO"),(H7))))</formula>
    </cfRule>
    <cfRule type="containsText" priority="7463" operator="containsText" dxfId="6" text="NEURO">
      <formula>NOT(ISERROR(SEARCH(("NEURO"),(H7))))</formula>
    </cfRule>
    <cfRule type="containsText" priority="7464" operator="containsText" dxfId="5" text="NEURO">
      <formula>NOT(ISERROR(SEARCH(("NEURO"),(H7))))</formula>
    </cfRule>
    <cfRule type="containsText" priority="7465" operator="containsText" dxfId="0" text="ICU N">
      <formula>NOT(ISERROR(SEARCH(("ICU N"),(H7))))</formula>
    </cfRule>
    <cfRule type="containsText" priority="7466" operator="containsText" dxfId="3" text="ICU">
      <formula>NOT(ISERROR(SEARCH(("ICU"),(H7))))</formula>
    </cfRule>
    <cfRule type="containsText" priority="7467" operator="containsText" dxfId="0" text="SWING">
      <formula>NOT(ISERROR(SEARCH(("SWING"),(H7))))</formula>
    </cfRule>
    <cfRule type="containsText" priority="7468" operator="containsText" dxfId="0" text="NF">
      <formula>NOT(ISERROR(SEARCH(("NF"),(H7))))</formula>
    </cfRule>
    <cfRule type="containsText" priority="7469" operator="containsText" dxfId="0" text="ICU N">
      <formula>NOT(ISERROR(SEARCH(("ICU N"),(H7))))</formula>
    </cfRule>
  </conditionalFormatting>
  <conditionalFormatting sqref="H24">
    <cfRule type="containsText" priority="7434" operator="containsText" dxfId="16" text="ED">
      <formula>NOT(ISERROR(SEARCH(("ED"),(H24))))</formula>
    </cfRule>
    <cfRule type="containsText" priority="7435" operator="containsText" dxfId="15" text="GERIATRIC">
      <formula>NOT(ISERROR(SEARCH(("GERIATRIC"),(H24))))</formula>
    </cfRule>
    <cfRule type="containsText" priority="7436" operator="containsText" dxfId="17" text="VACATION">
      <formula>NOT(ISERROR(SEARCH(("VACATION"),(H24))))</formula>
    </cfRule>
    <cfRule type="containsText" priority="7437" operator="containsText" dxfId="7" text="PATH">
      <formula>NOT(ISERROR(SEARCH(("PATH"),(H24))))</formula>
    </cfRule>
    <cfRule type="containsText" priority="7438" operator="containsText" dxfId="7" text="NEPHRO">
      <formula>NOT(ISERROR(SEARCH(("NEPHRO"),(H24))))</formula>
    </cfRule>
    <cfRule type="containsText" priority="7439" operator="containsText" dxfId="7" text="PULM">
      <formula>NOT(ISERROR(SEARCH(("PULM"),(H24))))</formula>
    </cfRule>
    <cfRule type="containsText" priority="7440" operator="containsText" dxfId="7" text="RADIOLOGY">
      <formula>NOT(ISERROR(SEARCH(("RADIOLOGY"),(H24))))</formula>
    </cfRule>
    <cfRule type="containsText" priority="7441" operator="containsText" dxfId="7" text="HEM/ONC">
      <formula>NOT(ISERROR(SEARCH(("HEM/ONC"),(H24))))</formula>
    </cfRule>
    <cfRule type="containsText" priority="7442" operator="containsText" dxfId="7" text="CARDIO">
      <formula>NOT(ISERROR(SEARCH(("CARDIO"),(H24))))</formula>
    </cfRule>
    <cfRule type="containsText" priority="7443" operator="containsText" dxfId="7" text="ID">
      <formula>NOT(ISERROR(SEARCH(("ID"),(H24))))</formula>
    </cfRule>
    <cfRule type="containsText" priority="7444" operator="containsText" dxfId="7" text="NEURO">
      <formula>NOT(ISERROR(SEARCH(("NEURO"),(H24))))</formula>
    </cfRule>
    <cfRule type="containsText" priority="7445" operator="containsText" dxfId="6" text="NEURO">
      <formula>NOT(ISERROR(SEARCH(("NEURO"),(H24))))</formula>
    </cfRule>
    <cfRule type="containsText" priority="7446" operator="containsText" dxfId="5" text="NEURO">
      <formula>NOT(ISERROR(SEARCH(("NEURO"),(H24))))</formula>
    </cfRule>
    <cfRule type="containsText" priority="7447" operator="containsText" dxfId="0" text="ICU N">
      <formula>NOT(ISERROR(SEARCH(("ICU N"),(H24))))</formula>
    </cfRule>
    <cfRule type="containsText" priority="7448" operator="containsText" dxfId="3" text="ICU">
      <formula>NOT(ISERROR(SEARCH(("ICU"),(H24))))</formula>
    </cfRule>
    <cfRule type="containsText" priority="7449" operator="containsText" dxfId="0" text="SWING">
      <formula>NOT(ISERROR(SEARCH(("SWING"),(H24))))</formula>
    </cfRule>
    <cfRule type="containsText" priority="7450" operator="containsText" dxfId="0" text="NF">
      <formula>NOT(ISERROR(SEARCH(("NF"),(H24))))</formula>
    </cfRule>
    <cfRule type="containsText" priority="7451" operator="containsText" dxfId="0" text="ICU N">
      <formula>NOT(ISERROR(SEARCH(("ICU N"),(H24))))</formula>
    </cfRule>
  </conditionalFormatting>
  <conditionalFormatting sqref="E42">
    <cfRule type="containsText" priority="7416" operator="containsText" dxfId="16" text="ED">
      <formula>NOT(ISERROR(SEARCH(("ED"),(E42))))</formula>
    </cfRule>
    <cfRule type="containsText" priority="7417" operator="containsText" dxfId="15" text="GERIATRIC">
      <formula>NOT(ISERROR(SEARCH(("GERIATRIC"),(E42))))</formula>
    </cfRule>
    <cfRule type="containsText" priority="7418" operator="containsText" dxfId="17" text="VACATION">
      <formula>NOT(ISERROR(SEARCH(("VACATION"),(E42))))</formula>
    </cfRule>
    <cfRule type="containsText" priority="7419" operator="containsText" dxfId="7" text="PATH">
      <formula>NOT(ISERROR(SEARCH(("PATH"),(E42))))</formula>
    </cfRule>
    <cfRule type="containsText" priority="7420" operator="containsText" dxfId="7" text="NEPHRO">
      <formula>NOT(ISERROR(SEARCH(("NEPHRO"),(E42))))</formula>
    </cfRule>
    <cfRule type="containsText" priority="7421" operator="containsText" dxfId="7" text="PULM">
      <formula>NOT(ISERROR(SEARCH(("PULM"),(E42))))</formula>
    </cfRule>
    <cfRule type="containsText" priority="7422" operator="containsText" dxfId="7" text="RADIOLOGY">
      <formula>NOT(ISERROR(SEARCH(("RADIOLOGY"),(E42))))</formula>
    </cfRule>
    <cfRule type="containsText" priority="7423" operator="containsText" dxfId="7" text="HEM/ONC">
      <formula>NOT(ISERROR(SEARCH(("HEM/ONC"),(E42))))</formula>
    </cfRule>
    <cfRule type="containsText" priority="7424" operator="containsText" dxfId="7" text="CARDIO">
      <formula>NOT(ISERROR(SEARCH(("CARDIO"),(E42))))</formula>
    </cfRule>
    <cfRule type="containsText" priority="7425" operator="containsText" dxfId="7" text="ID">
      <formula>NOT(ISERROR(SEARCH(("ID"),(E42))))</formula>
    </cfRule>
    <cfRule type="containsText" priority="7426" operator="containsText" dxfId="7" text="NEURO">
      <formula>NOT(ISERROR(SEARCH(("NEURO"),(E42))))</formula>
    </cfRule>
    <cfRule type="containsText" priority="7427" operator="containsText" dxfId="6" text="NEURO">
      <formula>NOT(ISERROR(SEARCH(("NEURO"),(E42))))</formula>
    </cfRule>
    <cfRule type="containsText" priority="7428" operator="containsText" dxfId="5" text="NEURO">
      <formula>NOT(ISERROR(SEARCH(("NEURO"),(E42))))</formula>
    </cfRule>
    <cfRule type="containsText" priority="7429" operator="containsText" dxfId="0" text="ICU N">
      <formula>NOT(ISERROR(SEARCH(("ICU N"),(E42))))</formula>
    </cfRule>
    <cfRule type="containsText" priority="7430" operator="containsText" dxfId="3" text="ICU">
      <formula>NOT(ISERROR(SEARCH(("ICU"),(E42))))</formula>
    </cfRule>
    <cfRule type="containsText" priority="7431" operator="containsText" dxfId="0" text="SWING">
      <formula>NOT(ISERROR(SEARCH(("SWING"),(E42))))</formula>
    </cfRule>
    <cfRule type="containsText" priority="7432" operator="containsText" dxfId="0" text="NF">
      <formula>NOT(ISERROR(SEARCH(("NF"),(E42))))</formula>
    </cfRule>
    <cfRule type="containsText" priority="7433" operator="containsText" dxfId="0" text="ICU N">
      <formula>NOT(ISERROR(SEARCH(("ICU N"),(E42))))</formula>
    </cfRule>
    <cfRule type="containsText" priority="7398" operator="containsText" dxfId="16" text="ED">
      <formula>NOT(ISERROR(SEARCH(("ED"),(E42))))</formula>
    </cfRule>
    <cfRule type="containsText" priority="7399" operator="containsText" dxfId="15" text="GERIATRIC">
      <formula>NOT(ISERROR(SEARCH(("GERIATRIC"),(E42))))</formula>
    </cfRule>
    <cfRule type="containsText" priority="7400" operator="containsText" dxfId="17" text="VACATION">
      <formula>NOT(ISERROR(SEARCH(("VACATION"),(E42))))</formula>
    </cfRule>
    <cfRule type="containsText" priority="7401" operator="containsText" dxfId="7" text="PATH">
      <formula>NOT(ISERROR(SEARCH(("PATH"),(E42))))</formula>
    </cfRule>
    <cfRule type="containsText" priority="7402" operator="containsText" dxfId="7" text="NEPHRO">
      <formula>NOT(ISERROR(SEARCH(("NEPHRO"),(E42))))</formula>
    </cfRule>
    <cfRule type="containsText" priority="7403" operator="containsText" dxfId="7" text="PULM">
      <formula>NOT(ISERROR(SEARCH(("PULM"),(E42))))</formula>
    </cfRule>
    <cfRule type="containsText" priority="7404" operator="containsText" dxfId="7" text="RADIOLOGY">
      <formula>NOT(ISERROR(SEARCH(("RADIOLOGY"),(E42))))</formula>
    </cfRule>
    <cfRule type="containsText" priority="7405" operator="containsText" dxfId="7" text="HEM/ONC">
      <formula>NOT(ISERROR(SEARCH(("HEM/ONC"),(E42))))</formula>
    </cfRule>
    <cfRule type="containsText" priority="7406" operator="containsText" dxfId="7" text="CARDIO">
      <formula>NOT(ISERROR(SEARCH(("CARDIO"),(E42))))</formula>
    </cfRule>
    <cfRule type="containsText" priority="7407" operator="containsText" dxfId="7" text="ID">
      <formula>NOT(ISERROR(SEARCH(("ID"),(E42))))</formula>
    </cfRule>
    <cfRule type="containsText" priority="7408" operator="containsText" dxfId="7" text="NEURO">
      <formula>NOT(ISERROR(SEARCH(("NEURO"),(E42))))</formula>
    </cfRule>
    <cfRule type="containsText" priority="7409" operator="containsText" dxfId="6" text="NEURO">
      <formula>NOT(ISERROR(SEARCH(("NEURO"),(E42))))</formula>
    </cfRule>
    <cfRule type="containsText" priority="7410" operator="containsText" dxfId="5" text="NEURO">
      <formula>NOT(ISERROR(SEARCH(("NEURO"),(E42))))</formula>
    </cfRule>
    <cfRule type="containsText" priority="7411" operator="containsText" dxfId="0" text="ICU N">
      <formula>NOT(ISERROR(SEARCH(("ICU N"),(E42))))</formula>
    </cfRule>
    <cfRule type="containsText" priority="7412" operator="containsText" dxfId="3" text="ICU">
      <formula>NOT(ISERROR(SEARCH(("ICU"),(E42))))</formula>
    </cfRule>
    <cfRule type="containsText" priority="7413" operator="containsText" dxfId="0" text="SWING">
      <formula>NOT(ISERROR(SEARCH(("SWING"),(E42))))</formula>
    </cfRule>
    <cfRule type="containsText" priority="7414" operator="containsText" dxfId="0" text="NF">
      <formula>NOT(ISERROR(SEARCH(("NF"),(E42))))</formula>
    </cfRule>
    <cfRule type="containsText" priority="7415" operator="containsText" dxfId="0" text="ICU N">
      <formula>NOT(ISERROR(SEARCH(("ICU N"),(E42))))</formula>
    </cfRule>
  </conditionalFormatting>
  <conditionalFormatting sqref="D37:E37">
    <cfRule type="containsText" priority="7381" operator="containsText" dxfId="17" text="VACATION">
      <formula>NOT(ISERROR(SEARCH(("VACATION"),(D37))))</formula>
    </cfRule>
    <cfRule type="containsText" priority="7382" operator="containsText" dxfId="16" text="ED">
      <formula>NOT(ISERROR(SEARCH(("ED"),(D37))))</formula>
    </cfRule>
    <cfRule type="containsText" priority="7383" operator="containsText" dxfId="15" text="GERIATRIC">
      <formula>NOT(ISERROR(SEARCH(("GERIATRIC"),(D37))))</formula>
    </cfRule>
    <cfRule type="containsText" priority="7384" operator="containsText" dxfId="7" text="PATH">
      <formula>NOT(ISERROR(SEARCH(("PATH"),(D37))))</formula>
    </cfRule>
    <cfRule type="containsText" priority="7385" operator="containsText" dxfId="7" text="NEPHRO">
      <formula>NOT(ISERROR(SEARCH(("NEPHRO"),(D37))))</formula>
    </cfRule>
    <cfRule type="containsText" priority="7386" operator="containsText" dxfId="7" text="PULM">
      <formula>NOT(ISERROR(SEARCH(("PULM"),(D37))))</formula>
    </cfRule>
    <cfRule type="containsText" priority="7387" operator="containsText" dxfId="7" text="RADIOLOGY">
      <formula>NOT(ISERROR(SEARCH(("RADIOLOGY"),(D37))))</formula>
    </cfRule>
    <cfRule type="containsText" priority="7388" operator="containsText" dxfId="7" text="HEM/ONC">
      <formula>NOT(ISERROR(SEARCH(("HEM/ONC"),(D37))))</formula>
    </cfRule>
    <cfRule type="containsText" priority="7389" operator="containsText" dxfId="7" text="CARDIO">
      <formula>NOT(ISERROR(SEARCH(("CARDIO"),(D37))))</formula>
    </cfRule>
    <cfRule type="containsText" priority="7390" operator="containsText" dxfId="7" text="ID">
      <formula>NOT(ISERROR(SEARCH(("ID"),(D37))))</formula>
    </cfRule>
    <cfRule type="containsText" priority="7391" operator="containsText" dxfId="7" text="NEURO">
      <formula>NOT(ISERROR(SEARCH(("NEURO"),(D37))))</formula>
    </cfRule>
    <cfRule type="containsText" priority="7392" operator="containsText" dxfId="6" text="NEURO">
      <formula>NOT(ISERROR(SEARCH(("NEURO"),(D37))))</formula>
    </cfRule>
    <cfRule type="containsText" priority="7393" operator="containsText" dxfId="5" text="NEURO">
      <formula>NOT(ISERROR(SEARCH(("NEURO"),(D37))))</formula>
    </cfRule>
    <cfRule type="containsText" priority="7394" operator="containsText" dxfId="0" text="ICU N">
      <formula>NOT(ISERROR(SEARCH(("ICU N"),(D37))))</formula>
    </cfRule>
    <cfRule type="containsText" priority="7395" operator="containsText" dxfId="3" text="ICU">
      <formula>NOT(ISERROR(SEARCH(("ICU"),(D37))))</formula>
    </cfRule>
    <cfRule type="containsText" priority="7396" operator="containsText" dxfId="0" text="SWING">
      <formula>NOT(ISERROR(SEARCH(("SWING"),(D37))))</formula>
    </cfRule>
    <cfRule type="containsText" priority="7397" operator="containsText" dxfId="0" text="NF">
      <formula>NOT(ISERROR(SEARCH(("NF"),(D37))))</formula>
    </cfRule>
    <cfRule type="containsText" priority="7363" operator="containsText" dxfId="16" text="ED">
      <formula>NOT(ISERROR(SEARCH(("ED"),(D37))))</formula>
    </cfRule>
    <cfRule type="containsText" priority="7364" operator="containsText" dxfId="15" text="GERIATRIC">
      <formula>NOT(ISERROR(SEARCH(("GERIATRIC"),(D37))))</formula>
    </cfRule>
    <cfRule type="containsText" priority="7365" operator="containsText" dxfId="17" text="VACATION">
      <formula>NOT(ISERROR(SEARCH(("VACATION"),(D37))))</formula>
    </cfRule>
    <cfRule type="containsText" priority="7366" operator="containsText" dxfId="7" text="PATH">
      <formula>NOT(ISERROR(SEARCH(("PATH"),(D37))))</formula>
    </cfRule>
    <cfRule type="containsText" priority="7367" operator="containsText" dxfId="7" text="NEPHRO">
      <formula>NOT(ISERROR(SEARCH(("NEPHRO"),(D37))))</formula>
    </cfRule>
    <cfRule type="containsText" priority="7368" operator="containsText" dxfId="7" text="PULM">
      <formula>NOT(ISERROR(SEARCH(("PULM"),(D37))))</formula>
    </cfRule>
    <cfRule type="containsText" priority="7369" operator="containsText" dxfId="7" text="RADIOLOGY">
      <formula>NOT(ISERROR(SEARCH(("RADIOLOGY"),(D37))))</formula>
    </cfRule>
    <cfRule type="containsText" priority="7370" operator="containsText" dxfId="7" text="HEM/ONC">
      <formula>NOT(ISERROR(SEARCH(("HEM/ONC"),(D37))))</formula>
    </cfRule>
    <cfRule type="containsText" priority="7371" operator="containsText" dxfId="7" text="CARDIO">
      <formula>NOT(ISERROR(SEARCH(("CARDIO"),(D37))))</formula>
    </cfRule>
    <cfRule type="containsText" priority="7372" operator="containsText" dxfId="7" text="ID">
      <formula>NOT(ISERROR(SEARCH(("ID"),(D37))))</formula>
    </cfRule>
    <cfRule type="containsText" priority="7373" operator="containsText" dxfId="7" text="NEURO">
      <formula>NOT(ISERROR(SEARCH(("NEURO"),(D37))))</formula>
    </cfRule>
    <cfRule type="containsText" priority="7374" operator="containsText" dxfId="6" text="NEURO">
      <formula>NOT(ISERROR(SEARCH(("NEURO"),(D37))))</formula>
    </cfRule>
    <cfRule type="containsText" priority="7375" operator="containsText" dxfId="5" text="NEURO">
      <formula>NOT(ISERROR(SEARCH(("NEURO"),(D37))))</formula>
    </cfRule>
    <cfRule type="containsText" priority="7376" operator="containsText" dxfId="0" text="ICU N">
      <formula>NOT(ISERROR(SEARCH(("ICU N"),(D37))))</formula>
    </cfRule>
    <cfRule type="containsText" priority="7377" operator="containsText" dxfId="3" text="ICU">
      <formula>NOT(ISERROR(SEARCH(("ICU"),(D37))))</formula>
    </cfRule>
    <cfRule type="containsText" priority="7378" operator="containsText" dxfId="0" text="SWING">
      <formula>NOT(ISERROR(SEARCH(("SWING"),(D37))))</formula>
    </cfRule>
    <cfRule type="containsText" priority="7379" operator="containsText" dxfId="0" text="NF">
      <formula>NOT(ISERROR(SEARCH(("NF"),(D37))))</formula>
    </cfRule>
    <cfRule type="containsText" priority="7380" operator="containsText" dxfId="0" text="ICU N">
      <formula>NOT(ISERROR(SEARCH(("ICU N"),(D37))))</formula>
    </cfRule>
  </conditionalFormatting>
  <conditionalFormatting sqref="AI37">
    <cfRule type="containsText" priority="7345" operator="containsText" dxfId="16" text="ED">
      <formula>NOT(ISERROR(SEARCH(("ED"),(AI37))))</formula>
    </cfRule>
    <cfRule type="containsText" priority="7346" operator="containsText" dxfId="15" text="GERIATRIC">
      <formula>NOT(ISERROR(SEARCH(("GERIATRIC"),(AI37))))</formula>
    </cfRule>
    <cfRule type="containsText" priority="7347" operator="containsText" dxfId="17" text="VACATION">
      <formula>NOT(ISERROR(SEARCH(("VACATION"),(AI37))))</formula>
    </cfRule>
    <cfRule type="containsText" priority="7348" operator="containsText" dxfId="7" text="PATH">
      <formula>NOT(ISERROR(SEARCH(("PATH"),(AI37))))</formula>
    </cfRule>
    <cfRule type="containsText" priority="7349" operator="containsText" dxfId="7" text="NEPHRO">
      <formula>NOT(ISERROR(SEARCH(("NEPHRO"),(AI37))))</formula>
    </cfRule>
    <cfRule type="containsText" priority="7350" operator="containsText" dxfId="7" text="PULM">
      <formula>NOT(ISERROR(SEARCH(("PULM"),(AI37))))</formula>
    </cfRule>
    <cfRule type="containsText" priority="7351" operator="containsText" dxfId="7" text="RADIOLOGY">
      <formula>NOT(ISERROR(SEARCH(("RADIOLOGY"),(AI37))))</formula>
    </cfRule>
    <cfRule type="containsText" priority="7352" operator="containsText" dxfId="7" text="HEM/ONC">
      <formula>NOT(ISERROR(SEARCH(("HEM/ONC"),(AI37))))</formula>
    </cfRule>
    <cfRule type="containsText" priority="7353" operator="containsText" dxfId="7" text="CARDIO">
      <formula>NOT(ISERROR(SEARCH(("CARDIO"),(AI37))))</formula>
    </cfRule>
    <cfRule type="containsText" priority="7354" operator="containsText" dxfId="7" text="ID">
      <formula>NOT(ISERROR(SEARCH(("ID"),(AI37))))</formula>
    </cfRule>
    <cfRule type="containsText" priority="7355" operator="containsText" dxfId="7" text="NEURO">
      <formula>NOT(ISERROR(SEARCH(("NEURO"),(AI37))))</formula>
    </cfRule>
    <cfRule type="containsText" priority="7356" operator="containsText" dxfId="6" text="NEURO">
      <formula>NOT(ISERROR(SEARCH(("NEURO"),(AI37))))</formula>
    </cfRule>
    <cfRule type="containsText" priority="7357" operator="containsText" dxfId="5" text="NEURO">
      <formula>NOT(ISERROR(SEARCH(("NEURO"),(AI37))))</formula>
    </cfRule>
    <cfRule type="containsText" priority="7358" operator="containsText" dxfId="0" text="ICU N">
      <formula>NOT(ISERROR(SEARCH(("ICU N"),(AI37))))</formula>
    </cfRule>
    <cfRule type="containsText" priority="7359" operator="containsText" dxfId="3" text="ICU">
      <formula>NOT(ISERROR(SEARCH(("ICU"),(AI37))))</formula>
    </cfRule>
    <cfRule type="containsText" priority="7360" operator="containsText" dxfId="0" text="SWING">
      <formula>NOT(ISERROR(SEARCH(("SWING"),(AI37))))</formula>
    </cfRule>
    <cfRule type="containsText" priority="7361" operator="containsText" dxfId="0" text="NF">
      <formula>NOT(ISERROR(SEARCH(("NF"),(AI37))))</formula>
    </cfRule>
    <cfRule type="containsText" priority="7362" operator="containsText" dxfId="0" text="ICU N">
      <formula>NOT(ISERROR(SEARCH(("ICU N"),(AI37))))</formula>
    </cfRule>
    <cfRule type="containsText" priority="7327" operator="containsText" dxfId="16" text="ED">
      <formula>NOT(ISERROR(SEARCH(("ED"),(AI37))))</formula>
    </cfRule>
    <cfRule type="containsText" priority="7328" operator="containsText" dxfId="15" text="GERIATRIC">
      <formula>NOT(ISERROR(SEARCH(("GERIATRIC"),(AI37))))</formula>
    </cfRule>
    <cfRule type="containsText" priority="7329" operator="containsText" dxfId="17" text="VACATION">
      <formula>NOT(ISERROR(SEARCH(("VACATION"),(AI37))))</formula>
    </cfRule>
    <cfRule type="containsText" priority="7330" operator="containsText" dxfId="7" text="PATH">
      <formula>NOT(ISERROR(SEARCH(("PATH"),(AI37))))</formula>
    </cfRule>
    <cfRule type="containsText" priority="7331" operator="containsText" dxfId="7" text="NEPHRO">
      <formula>NOT(ISERROR(SEARCH(("NEPHRO"),(AI37))))</formula>
    </cfRule>
    <cfRule type="containsText" priority="7332" operator="containsText" dxfId="7" text="PULM">
      <formula>NOT(ISERROR(SEARCH(("PULM"),(AI37))))</formula>
    </cfRule>
    <cfRule type="containsText" priority="7333" operator="containsText" dxfId="7" text="RADIOLOGY">
      <formula>NOT(ISERROR(SEARCH(("RADIOLOGY"),(AI37))))</formula>
    </cfRule>
    <cfRule type="containsText" priority="7334" operator="containsText" dxfId="7" text="HEM/ONC">
      <formula>NOT(ISERROR(SEARCH(("HEM/ONC"),(AI37))))</formula>
    </cfRule>
    <cfRule type="containsText" priority="7335" operator="containsText" dxfId="7" text="CARDIO">
      <formula>NOT(ISERROR(SEARCH(("CARDIO"),(AI37))))</formula>
    </cfRule>
    <cfRule type="containsText" priority="7336" operator="containsText" dxfId="7" text="ID">
      <formula>NOT(ISERROR(SEARCH(("ID"),(AI37))))</formula>
    </cfRule>
    <cfRule type="containsText" priority="7337" operator="containsText" dxfId="7" text="NEURO">
      <formula>NOT(ISERROR(SEARCH(("NEURO"),(AI37))))</formula>
    </cfRule>
    <cfRule type="containsText" priority="7338" operator="containsText" dxfId="6" text="NEURO">
      <formula>NOT(ISERROR(SEARCH(("NEURO"),(AI37))))</formula>
    </cfRule>
    <cfRule type="containsText" priority="7339" operator="containsText" dxfId="5" text="NEURO">
      <formula>NOT(ISERROR(SEARCH(("NEURO"),(AI37))))</formula>
    </cfRule>
    <cfRule type="containsText" priority="7340" operator="containsText" dxfId="0" text="ICU N">
      <formula>NOT(ISERROR(SEARCH(("ICU N"),(AI37))))</formula>
    </cfRule>
    <cfRule type="containsText" priority="7341" operator="containsText" dxfId="3" text="ICU">
      <formula>NOT(ISERROR(SEARCH(("ICU"),(AI37))))</formula>
    </cfRule>
    <cfRule type="containsText" priority="7342" operator="containsText" dxfId="0" text="SWING">
      <formula>NOT(ISERROR(SEARCH(("SWING"),(AI37))))</formula>
    </cfRule>
    <cfRule type="containsText" priority="7343" operator="containsText" dxfId="0" text="NF">
      <formula>NOT(ISERROR(SEARCH(("NF"),(AI37))))</formula>
    </cfRule>
    <cfRule type="containsText" priority="7344" operator="containsText" dxfId="0" text="ICU N">
      <formula>NOT(ISERROR(SEARCH(("ICU N"),(AI37))))</formula>
    </cfRule>
  </conditionalFormatting>
  <conditionalFormatting sqref="AS42">
    <cfRule type="containsText" priority="7305" operator="containsText" dxfId="16" text="ED">
      <formula>NOT(ISERROR(SEARCH(("ED"),(AS42))))</formula>
    </cfRule>
    <cfRule type="containsText" priority="7306" operator="containsText" dxfId="15" text="GERIATRIC">
      <formula>NOT(ISERROR(SEARCH(("GERIATRIC"),(AS42))))</formula>
    </cfRule>
    <cfRule type="containsText" priority="7307" operator="containsText" dxfId="17" text="VACATION">
      <formula>NOT(ISERROR(SEARCH(("VACATION"),(AS42))))</formula>
    </cfRule>
    <cfRule type="containsText" priority="7308" operator="containsText" dxfId="7" text="PATH">
      <formula>NOT(ISERROR(SEARCH(("PATH"),(AS42))))</formula>
    </cfRule>
    <cfRule type="containsText" priority="7309" operator="containsText" dxfId="7" text="NEPHRO">
      <formula>NOT(ISERROR(SEARCH(("NEPHRO"),(AS42))))</formula>
    </cfRule>
    <cfRule type="containsText" priority="7310" operator="containsText" dxfId="7" text="PULM">
      <formula>NOT(ISERROR(SEARCH(("PULM"),(AS42))))</formula>
    </cfRule>
    <cfRule type="containsText" priority="7311" operator="containsText" dxfId="7" text="RADIOLOGY">
      <formula>NOT(ISERROR(SEARCH(("RADIOLOGY"),(AS42))))</formula>
    </cfRule>
    <cfRule type="containsText" priority="7312" operator="containsText" dxfId="7" text="HEM/ONC">
      <formula>NOT(ISERROR(SEARCH(("HEM/ONC"),(AS42))))</formula>
    </cfRule>
    <cfRule type="containsText" priority="7313" operator="containsText" dxfId="7" text="CARDIO">
      <formula>NOT(ISERROR(SEARCH(("CARDIO"),(AS42))))</formula>
    </cfRule>
    <cfRule type="containsText" priority="7314" operator="containsText" dxfId="7" text="ID">
      <formula>NOT(ISERROR(SEARCH(("ID"),(AS42))))</formula>
    </cfRule>
    <cfRule type="containsText" priority="7315" operator="containsText" dxfId="7" text="NEURO">
      <formula>NOT(ISERROR(SEARCH(("NEURO"),(AS42))))</formula>
    </cfRule>
    <cfRule type="containsText" priority="7316" operator="containsText" dxfId="6" text="NEURO">
      <formula>NOT(ISERROR(SEARCH(("NEURO"),(AS42))))</formula>
    </cfRule>
    <cfRule type="containsText" priority="7317" operator="containsText" dxfId="5" text="NEURO">
      <formula>NOT(ISERROR(SEARCH(("NEURO"),(AS42))))</formula>
    </cfRule>
    <cfRule type="containsText" priority="7318" operator="containsText" dxfId="0" text="ICU N">
      <formula>NOT(ISERROR(SEARCH(("ICU N"),(AS42))))</formula>
    </cfRule>
    <cfRule type="containsText" priority="7319" operator="containsText" dxfId="3" text="ICU">
      <formula>NOT(ISERROR(SEARCH(("ICU"),(AS42))))</formula>
    </cfRule>
    <cfRule type="containsText" priority="7320" operator="containsText" dxfId="0" text="SWING">
      <formula>NOT(ISERROR(SEARCH(("SWING"),(AS42))))</formula>
    </cfRule>
    <cfRule type="containsText" priority="7321" operator="containsText" dxfId="0" text="NF">
      <formula>NOT(ISERROR(SEARCH(("NF"),(AS42))))</formula>
    </cfRule>
    <cfRule type="containsText" priority="7322" operator="containsText" dxfId="0" text="ICU N">
      <formula>NOT(ISERROR(SEARCH(("ICU N"),(AS42))))</formula>
    </cfRule>
    <cfRule type="containsText" priority="7287" operator="containsText" dxfId="16" text="ED">
      <formula>NOT(ISERROR(SEARCH(("ED"),(AS42))))</formula>
    </cfRule>
    <cfRule type="containsText" priority="7288" operator="containsText" dxfId="15" text="GERIATRIC">
      <formula>NOT(ISERROR(SEARCH(("GERIATRIC"),(AS42))))</formula>
    </cfRule>
    <cfRule type="containsText" priority="7289" operator="containsText" dxfId="17" text="VACATION">
      <formula>NOT(ISERROR(SEARCH(("VACATION"),(AS42))))</formula>
    </cfRule>
    <cfRule type="containsText" priority="7290" operator="containsText" dxfId="7" text="PATH">
      <formula>NOT(ISERROR(SEARCH(("PATH"),(AS42))))</formula>
    </cfRule>
    <cfRule type="containsText" priority="7291" operator="containsText" dxfId="7" text="NEPHRO">
      <formula>NOT(ISERROR(SEARCH(("NEPHRO"),(AS42))))</formula>
    </cfRule>
    <cfRule type="containsText" priority="7292" operator="containsText" dxfId="7" text="PULM">
      <formula>NOT(ISERROR(SEARCH(("PULM"),(AS42))))</formula>
    </cfRule>
    <cfRule type="containsText" priority="7293" operator="containsText" dxfId="7" text="RADIOLOGY">
      <formula>NOT(ISERROR(SEARCH(("RADIOLOGY"),(AS42))))</formula>
    </cfRule>
    <cfRule type="containsText" priority="7294" operator="containsText" dxfId="7" text="HEM/ONC">
      <formula>NOT(ISERROR(SEARCH(("HEM/ONC"),(AS42))))</formula>
    </cfRule>
    <cfRule type="containsText" priority="7295" operator="containsText" dxfId="7" text="CARDIO">
      <formula>NOT(ISERROR(SEARCH(("CARDIO"),(AS42))))</formula>
    </cfRule>
    <cfRule type="containsText" priority="7296" operator="containsText" dxfId="7" text="ID">
      <formula>NOT(ISERROR(SEARCH(("ID"),(AS42))))</formula>
    </cfRule>
    <cfRule type="containsText" priority="7297" operator="containsText" dxfId="7" text="NEURO">
      <formula>NOT(ISERROR(SEARCH(("NEURO"),(AS42))))</formula>
    </cfRule>
    <cfRule type="containsText" priority="7298" operator="containsText" dxfId="6" text="NEURO">
      <formula>NOT(ISERROR(SEARCH(("NEURO"),(AS42))))</formula>
    </cfRule>
    <cfRule type="containsText" priority="7299" operator="containsText" dxfId="5" text="NEURO">
      <formula>NOT(ISERROR(SEARCH(("NEURO"),(AS42))))</formula>
    </cfRule>
    <cfRule type="containsText" priority="7300" operator="containsText" dxfId="0" text="ICU N">
      <formula>NOT(ISERROR(SEARCH(("ICU N"),(AS42))))</formula>
    </cfRule>
    <cfRule type="containsText" priority="7301" operator="containsText" dxfId="3" text="ICU">
      <formula>NOT(ISERROR(SEARCH(("ICU"),(AS42))))</formula>
    </cfRule>
    <cfRule type="containsText" priority="7302" operator="containsText" dxfId="0" text="SWING">
      <formula>NOT(ISERROR(SEARCH(("SWING"),(AS42))))</formula>
    </cfRule>
    <cfRule type="containsText" priority="7303" operator="containsText" dxfId="0" text="NF">
      <formula>NOT(ISERROR(SEARCH(("NF"),(AS42))))</formula>
    </cfRule>
    <cfRule type="containsText" priority="7304" operator="containsText" dxfId="0" text="ICU N">
      <formula>NOT(ISERROR(SEARCH(("ICU N"),(AS42))))</formula>
    </cfRule>
  </conditionalFormatting>
  <conditionalFormatting sqref="AT41:AT42">
    <cfRule type="containsText" priority="7269" operator="containsText" dxfId="17" text="VACATION">
      <formula>NOT(ISERROR(SEARCH(("VACATION"),(AT41))))</formula>
    </cfRule>
    <cfRule type="containsText" priority="7270" operator="containsText" dxfId="16" text="ED">
      <formula>NOT(ISERROR(SEARCH(("ED"),(AT41))))</formula>
    </cfRule>
    <cfRule type="containsText" priority="7271" operator="containsText" dxfId="15" text="GERIATRIC">
      <formula>NOT(ISERROR(SEARCH(("GERIATRIC"),(AT41))))</formula>
    </cfRule>
    <cfRule type="containsText" priority="7272" operator="containsText" dxfId="7" text="PATH">
      <formula>NOT(ISERROR(SEARCH(("PATH"),(AT41))))</formula>
    </cfRule>
    <cfRule type="containsText" priority="7273" operator="containsText" dxfId="7" text="NEPHRO">
      <formula>NOT(ISERROR(SEARCH(("NEPHRO"),(AT41))))</formula>
    </cfRule>
    <cfRule type="containsText" priority="7274" operator="containsText" dxfId="7" text="PULM">
      <formula>NOT(ISERROR(SEARCH(("PULM"),(AT41))))</formula>
    </cfRule>
    <cfRule type="containsText" priority="7275" operator="containsText" dxfId="7" text="RADIOLOGY">
      <formula>NOT(ISERROR(SEARCH(("RADIOLOGY"),(AT41))))</formula>
    </cfRule>
    <cfRule type="containsText" priority="7276" operator="containsText" dxfId="7" text="HEM/ONC">
      <formula>NOT(ISERROR(SEARCH(("HEM/ONC"),(AT41))))</formula>
    </cfRule>
    <cfRule type="containsText" priority="7277" operator="containsText" dxfId="7" text="CARDIO">
      <formula>NOT(ISERROR(SEARCH(("CARDIO"),(AT41))))</formula>
    </cfRule>
    <cfRule type="containsText" priority="7278" operator="containsText" dxfId="7" text="ID">
      <formula>NOT(ISERROR(SEARCH(("ID"),(AT41))))</formula>
    </cfRule>
    <cfRule type="containsText" priority="7279" operator="containsText" dxfId="7" text="NEURO">
      <formula>NOT(ISERROR(SEARCH(("NEURO"),(AT41))))</formula>
    </cfRule>
    <cfRule type="containsText" priority="7280" operator="containsText" dxfId="6" text="NEURO">
      <formula>NOT(ISERROR(SEARCH(("NEURO"),(AT41))))</formula>
    </cfRule>
    <cfRule type="containsText" priority="7281" operator="containsText" dxfId="5" text="NEURO">
      <formula>NOT(ISERROR(SEARCH(("NEURO"),(AT41))))</formula>
    </cfRule>
    <cfRule type="containsText" priority="7282" operator="containsText" dxfId="0" text="ICU N">
      <formula>NOT(ISERROR(SEARCH(("ICU N"),(AT41))))</formula>
    </cfRule>
    <cfRule type="containsText" priority="7283" operator="containsText" dxfId="3" text="ICU">
      <formula>NOT(ISERROR(SEARCH(("ICU"),(AT41))))</formula>
    </cfRule>
    <cfRule type="containsText" priority="7284" operator="containsText" dxfId="0" text="SWING">
      <formula>NOT(ISERROR(SEARCH(("SWING"),(AT41))))</formula>
    </cfRule>
    <cfRule type="containsText" priority="7285" operator="containsText" dxfId="0" text="NF">
      <formula>NOT(ISERROR(SEARCH(("NF"),(AT41))))</formula>
    </cfRule>
    <cfRule type="containsText" priority="7286" operator="containsText" dxfId="0" text="ICU N">
      <formula>NOT(ISERROR(SEARCH(("ICU N"),(AT41))))</formula>
    </cfRule>
    <cfRule type="containsText" priority="7254" operator="containsText" dxfId="7" text="PATH">
      <formula>NOT(ISERROR(SEARCH(("PATH"),(AT41))))</formula>
    </cfRule>
    <cfRule type="containsText" priority="7255" operator="containsText" dxfId="7" text="NEPHRO">
      <formula>NOT(ISERROR(SEARCH(("NEPHRO"),(AT41))))</formula>
    </cfRule>
    <cfRule type="containsText" priority="7256" operator="containsText" dxfId="7" text="PULM">
      <formula>NOT(ISERROR(SEARCH(("PULM"),(AT41))))</formula>
    </cfRule>
    <cfRule type="containsText" priority="7257" operator="containsText" dxfId="7" text="RADIOLOGY">
      <formula>NOT(ISERROR(SEARCH(("RADIOLOGY"),(AT41))))</formula>
    </cfRule>
    <cfRule type="containsText" priority="7258" operator="containsText" dxfId="7" text="HEM/ONC">
      <formula>NOT(ISERROR(SEARCH(("HEM/ONC"),(AT41))))</formula>
    </cfRule>
    <cfRule type="containsText" priority="7259" operator="containsText" dxfId="7" text="CARDIO">
      <formula>NOT(ISERROR(SEARCH(("CARDIO"),(AT41))))</formula>
    </cfRule>
    <cfRule type="containsText" priority="7260" operator="containsText" dxfId="7" text="ID">
      <formula>NOT(ISERROR(SEARCH(("ID"),(AT41))))</formula>
    </cfRule>
    <cfRule type="containsText" priority="7261" operator="containsText" dxfId="7" text="NEURO">
      <formula>NOT(ISERROR(SEARCH(("NEURO"),(AT41))))</formula>
    </cfRule>
    <cfRule type="containsText" priority="7262" operator="containsText" dxfId="6" text="NEURO">
      <formula>NOT(ISERROR(SEARCH(("NEURO"),(AT41))))</formula>
    </cfRule>
    <cfRule type="containsText" priority="7263" operator="containsText" dxfId="5" text="NEURO">
      <formula>NOT(ISERROR(SEARCH(("NEURO"),(AT41))))</formula>
    </cfRule>
    <cfRule type="containsText" priority="7264" operator="containsText" dxfId="0" text="ICU N">
      <formula>NOT(ISERROR(SEARCH(("ICU N"),(AT41))))</formula>
    </cfRule>
    <cfRule type="containsText" priority="7265" operator="containsText" dxfId="3" text="ICU">
      <formula>NOT(ISERROR(SEARCH(("ICU"),(AT41))))</formula>
    </cfRule>
    <cfRule type="containsText" priority="7266" operator="containsText" dxfId="0" text="SWING">
      <formula>NOT(ISERROR(SEARCH(("SWING"),(AT41))))</formula>
    </cfRule>
    <cfRule type="containsText" priority="7267" operator="containsText" dxfId="0" text="NF">
      <formula>NOT(ISERROR(SEARCH(("NF"),(AT41))))</formula>
    </cfRule>
    <cfRule type="containsText" priority="7268" operator="containsText" dxfId="0" text="ICU N">
      <formula>NOT(ISERROR(SEARCH(("ICU N"),(AT41))))</formula>
    </cfRule>
  </conditionalFormatting>
  <conditionalFormatting sqref="AS11">
    <cfRule type="containsText" priority="7250" operator="containsText" dxfId="17" text="VACATION">
      <formula>NOT(ISERROR(SEARCH(("VACATION"),(AS11))))</formula>
    </cfRule>
    <cfRule type="containsText" priority="7251" operator="containsText" dxfId="16" text="ED">
      <formula>NOT(ISERROR(SEARCH(("ED"),(AS11))))</formula>
    </cfRule>
    <cfRule type="containsText" priority="7252" operator="containsText" dxfId="15" text="GERIATRIC">
      <formula>NOT(ISERROR(SEARCH(("GERIATRIC"),(AS11))))</formula>
    </cfRule>
    <cfRule type="containsText" priority="7253" operator="containsText" dxfId="0" text="ICU N">
      <formula>NOT(ISERROR(SEARCH(("ICU N"),(AS11))))</formula>
    </cfRule>
    <cfRule type="containsText" priority="7235" operator="containsText" dxfId="7" text="PATH">
      <formula>NOT(ISERROR(SEARCH(("PATH"),(AS11))))</formula>
    </cfRule>
    <cfRule type="containsText" priority="7236" operator="containsText" dxfId="7" text="NEPHRO">
      <formula>NOT(ISERROR(SEARCH(("NEPHRO"),(AS11))))</formula>
    </cfRule>
    <cfRule type="containsText" priority="7237" operator="containsText" dxfId="7" text="PULM">
      <formula>NOT(ISERROR(SEARCH(("PULM"),(AS11))))</formula>
    </cfRule>
    <cfRule type="containsText" priority="7238" operator="containsText" dxfId="7" text="RADIOLOGY">
      <formula>NOT(ISERROR(SEARCH(("RADIOLOGY"),(AS11))))</formula>
    </cfRule>
    <cfRule type="containsText" priority="7239" operator="containsText" dxfId="7" text="HEM/ONC">
      <formula>NOT(ISERROR(SEARCH(("HEM/ONC"),(AS11))))</formula>
    </cfRule>
    <cfRule type="containsText" priority="7240" operator="containsText" dxfId="7" text="CARDIO">
      <formula>NOT(ISERROR(SEARCH(("CARDIO"),(AS11))))</formula>
    </cfRule>
    <cfRule type="containsText" priority="7241" operator="containsText" dxfId="7" text="ID">
      <formula>NOT(ISERROR(SEARCH(("ID"),(AS11))))</formula>
    </cfRule>
    <cfRule type="containsText" priority="7242" operator="containsText" dxfId="7" text="NEURO">
      <formula>NOT(ISERROR(SEARCH(("NEURO"),(AS11))))</formula>
    </cfRule>
    <cfRule type="containsText" priority="7243" operator="containsText" dxfId="6" text="NEURO">
      <formula>NOT(ISERROR(SEARCH(("NEURO"),(AS11))))</formula>
    </cfRule>
    <cfRule type="containsText" priority="7244" operator="containsText" dxfId="5" text="NEURO">
      <formula>NOT(ISERROR(SEARCH(("NEURO"),(AS11))))</formula>
    </cfRule>
    <cfRule type="containsText" priority="7245" operator="containsText" dxfId="0" text="ICU N">
      <formula>NOT(ISERROR(SEARCH(("ICU N"),(AS11))))</formula>
    </cfRule>
    <cfRule type="containsText" priority="7246" operator="containsText" dxfId="3" text="ICU">
      <formula>NOT(ISERROR(SEARCH(("ICU"),(AS11))))</formula>
    </cfRule>
    <cfRule type="containsText" priority="7247" operator="containsText" dxfId="0" text="SWING">
      <formula>NOT(ISERROR(SEARCH(("SWING"),(AS11))))</formula>
    </cfRule>
    <cfRule type="containsText" priority="7248" operator="containsText" dxfId="0" text="NF">
      <formula>NOT(ISERROR(SEARCH(("NF"),(AS11))))</formula>
    </cfRule>
    <cfRule type="containsText" priority="7249" operator="containsText" dxfId="0" text="ICU N">
      <formula>NOT(ISERROR(SEARCH(("ICU N"),(AS11))))</formula>
    </cfRule>
  </conditionalFormatting>
  <conditionalFormatting sqref="BC17">
    <cfRule type="containsText" priority="7166" operator="containsText" dxfId="0" text="ICU N">
      <formula>NOT(ISERROR(SEARCH(("ICU N"),(BC17))))</formula>
    </cfRule>
    <cfRule type="containsText" priority="7165" operator="containsText" dxfId="0" text="ICU N">
      <formula>NOT(ISERROR(SEARCH(("ICU N"),(BC17))))</formula>
    </cfRule>
    <cfRule type="containsText" priority="7164" operator="containsText" dxfId="0" text="ICU N">
      <formula>NOT(ISERROR(SEARCH(("ICU N"),(BC17))))</formula>
    </cfRule>
    <cfRule type="containsText" priority="6547" operator="containsText" dxfId="0" text="ICU N">
      <formula>NOT(ISERROR(SEARCH(("ICU N"),(BC17))))</formula>
    </cfRule>
    <cfRule type="containsText" priority="6546" operator="containsText" dxfId="0" text="ICU N">
      <formula>NOT(ISERROR(SEARCH(("ICU N"),(BC17))))</formula>
    </cfRule>
  </conditionalFormatting>
  <conditionalFormatting sqref="AV46">
    <cfRule type="containsText" priority="7145" operator="containsText" dxfId="17" text="VACATION">
      <formula>NOT(ISERROR(SEARCH(("VACATION"),(AV46))))</formula>
    </cfRule>
    <cfRule type="containsText" priority="7146" operator="containsText" dxfId="0" text="ICU N">
      <formula>NOT(ISERROR(SEARCH(("ICU N"),(AV46))))</formula>
    </cfRule>
  </conditionalFormatting>
  <conditionalFormatting sqref="Z16">
    <cfRule type="containsText" priority="7143" operator="containsText" dxfId="17" text="VACATION">
      <formula>NOT(ISERROR(SEARCH(("VACATION"),(Z16))))</formula>
    </cfRule>
    <cfRule type="containsText" priority="7144" operator="containsText" dxfId="0" text="ICU N">
      <formula>NOT(ISERROR(SEARCH(("ICU N"),(Z16))))</formula>
    </cfRule>
  </conditionalFormatting>
  <conditionalFormatting sqref="Y23">
    <cfRule type="containsText" priority="7126" operator="containsText" dxfId="17" text="VACATION">
      <formula>NOT(ISERROR(SEARCH(("VACATION"),(Y23))))</formula>
    </cfRule>
    <cfRule type="containsText" priority="7127" operator="containsText" dxfId="16" text="ED">
      <formula>NOT(ISERROR(SEARCH(("ED"),(Y23))))</formula>
    </cfRule>
    <cfRule type="containsText" priority="7128" operator="containsText" dxfId="15" text="GERIATRIC">
      <formula>NOT(ISERROR(SEARCH(("GERIATRIC"),(Y23))))</formula>
    </cfRule>
    <cfRule type="containsText" priority="7129" operator="containsText" dxfId="7" text="PATH">
      <formula>NOT(ISERROR(SEARCH(("PATH"),(Y23))))</formula>
    </cfRule>
    <cfRule type="containsText" priority="7130" operator="containsText" dxfId="7" text="NEPHRO">
      <formula>NOT(ISERROR(SEARCH(("NEPHRO"),(Y23))))</formula>
    </cfRule>
    <cfRule type="containsText" priority="7131" operator="containsText" dxfId="7" text="PULM">
      <formula>NOT(ISERROR(SEARCH(("PULM"),(Y23))))</formula>
    </cfRule>
    <cfRule type="containsText" priority="7132" operator="containsText" dxfId="7" text="RADIOLOGY">
      <formula>NOT(ISERROR(SEARCH(("RADIOLOGY"),(Y23))))</formula>
    </cfRule>
    <cfRule type="containsText" priority="7133" operator="containsText" dxfId="7" text="HEM/ONC">
      <formula>NOT(ISERROR(SEARCH(("HEM/ONC"),(Y23))))</formula>
    </cfRule>
    <cfRule type="containsText" priority="7134" operator="containsText" dxfId="7" text="CARDIO">
      <formula>NOT(ISERROR(SEARCH(("CARDIO"),(Y23))))</formula>
    </cfRule>
    <cfRule type="containsText" priority="7135" operator="containsText" dxfId="7" text="ID">
      <formula>NOT(ISERROR(SEARCH(("ID"),(Y23))))</formula>
    </cfRule>
    <cfRule type="containsText" priority="7136" operator="containsText" dxfId="7" text="NEURO">
      <formula>NOT(ISERROR(SEARCH(("NEURO"),(Y23))))</formula>
    </cfRule>
    <cfRule type="containsText" priority="7137" operator="containsText" dxfId="6" text="NEURO">
      <formula>NOT(ISERROR(SEARCH(("NEURO"),(Y23))))</formula>
    </cfRule>
    <cfRule type="containsText" priority="7138" operator="containsText" dxfId="5" text="NEURO">
      <formula>NOT(ISERROR(SEARCH(("NEURO"),(Y23))))</formula>
    </cfRule>
    <cfRule type="containsText" priority="7139" operator="containsText" dxfId="0" text="ICU N">
      <formula>NOT(ISERROR(SEARCH(("ICU N"),(Y23))))</formula>
    </cfRule>
    <cfRule type="containsText" priority="7140" operator="containsText" dxfId="3" text="ICU">
      <formula>NOT(ISERROR(SEARCH(("ICU"),(Y23))))</formula>
    </cfRule>
    <cfRule type="containsText" priority="7141" operator="containsText" dxfId="0" text="SWING">
      <formula>NOT(ISERROR(SEARCH(("SWING"),(Y23))))</formula>
    </cfRule>
    <cfRule type="containsText" priority="7142" operator="containsText" dxfId="0" text="NF">
      <formula>NOT(ISERROR(SEARCH(("NF"),(Y23))))</formula>
    </cfRule>
  </conditionalFormatting>
  <conditionalFormatting sqref="AX11">
    <cfRule type="containsText" priority="7072" operator="containsText" dxfId="16" text="ED">
      <formula>NOT(ISERROR(SEARCH(("ED"),(AX11))))</formula>
    </cfRule>
    <cfRule type="containsText" priority="7073" operator="containsText" dxfId="15" text="GERIATRIC">
      <formula>NOT(ISERROR(SEARCH(("GERIATRIC"),(AX11))))</formula>
    </cfRule>
    <cfRule type="containsText" priority="7074" operator="containsText" dxfId="17" text="VACATION">
      <formula>NOT(ISERROR(SEARCH(("VACATION"),(AX11))))</formula>
    </cfRule>
    <cfRule type="containsText" priority="7075" operator="containsText" dxfId="7" text="PATH">
      <formula>NOT(ISERROR(SEARCH(("PATH"),(AX11))))</formula>
    </cfRule>
    <cfRule type="containsText" priority="7076" operator="containsText" dxfId="7" text="NEPHRO">
      <formula>NOT(ISERROR(SEARCH(("NEPHRO"),(AX11))))</formula>
    </cfRule>
    <cfRule type="containsText" priority="7077" operator="containsText" dxfId="7" text="PULM">
      <formula>NOT(ISERROR(SEARCH(("PULM"),(AX11))))</formula>
    </cfRule>
    <cfRule type="containsText" priority="7078" operator="containsText" dxfId="7" text="RADIOLOGY">
      <formula>NOT(ISERROR(SEARCH(("RADIOLOGY"),(AX11))))</formula>
    </cfRule>
    <cfRule type="containsText" priority="7079" operator="containsText" dxfId="7" text="HEM/ONC">
      <formula>NOT(ISERROR(SEARCH(("HEM/ONC"),(AX11))))</formula>
    </cfRule>
    <cfRule type="containsText" priority="7080" operator="containsText" dxfId="7" text="CARDIO">
      <formula>NOT(ISERROR(SEARCH(("CARDIO"),(AX11))))</formula>
    </cfRule>
    <cfRule type="containsText" priority="7081" operator="containsText" dxfId="7" text="ID">
      <formula>NOT(ISERROR(SEARCH(("ID"),(AX11))))</formula>
    </cfRule>
    <cfRule type="containsText" priority="7082" operator="containsText" dxfId="7" text="NEURO">
      <formula>NOT(ISERROR(SEARCH(("NEURO"),(AX11))))</formula>
    </cfRule>
    <cfRule type="containsText" priority="7083" operator="containsText" dxfId="6" text="NEURO">
      <formula>NOT(ISERROR(SEARCH(("NEURO"),(AX11))))</formula>
    </cfRule>
    <cfRule type="containsText" priority="7084" operator="containsText" dxfId="5" text="NEURO">
      <formula>NOT(ISERROR(SEARCH(("NEURO"),(AX11))))</formula>
    </cfRule>
    <cfRule type="containsText" priority="7085" operator="containsText" dxfId="0" text="ICU N">
      <formula>NOT(ISERROR(SEARCH(("ICU N"),(AX11))))</formula>
    </cfRule>
    <cfRule type="containsText" priority="7086" operator="containsText" dxfId="3" text="ICU">
      <formula>NOT(ISERROR(SEARCH(("ICU"),(AX11))))</formula>
    </cfRule>
    <cfRule type="containsText" priority="7087" operator="containsText" dxfId="0" text="SWING">
      <formula>NOT(ISERROR(SEARCH(("SWING"),(AX11))))</formula>
    </cfRule>
    <cfRule type="containsText" priority="7088" operator="containsText" dxfId="0" text="NF">
      <formula>NOT(ISERROR(SEARCH(("NF"),(AX11))))</formula>
    </cfRule>
    <cfRule type="containsText" priority="7089" operator="containsText" dxfId="0" text="ICU N">
      <formula>NOT(ISERROR(SEARCH(("ICU N"),(AX11))))</formula>
    </cfRule>
    <cfRule type="containsText" priority="7054" operator="containsText" dxfId="16" text="ED">
      <formula>NOT(ISERROR(SEARCH(("ED"),(AX11))))</formula>
    </cfRule>
    <cfRule type="containsText" priority="7055" operator="containsText" dxfId="15" text="GERIATRIC">
      <formula>NOT(ISERROR(SEARCH(("GERIATRIC"),(AX11))))</formula>
    </cfRule>
    <cfRule type="containsText" priority="7056" operator="containsText" dxfId="17" text="VACATION">
      <formula>NOT(ISERROR(SEARCH(("VACATION"),(AX11))))</formula>
    </cfRule>
    <cfRule type="containsText" priority="7057" operator="containsText" dxfId="7" text="PATH">
      <formula>NOT(ISERROR(SEARCH(("PATH"),(AX11))))</formula>
    </cfRule>
    <cfRule type="containsText" priority="7058" operator="containsText" dxfId="7" text="NEPHRO">
      <formula>NOT(ISERROR(SEARCH(("NEPHRO"),(AX11))))</formula>
    </cfRule>
    <cfRule type="containsText" priority="7059" operator="containsText" dxfId="7" text="PULM">
      <formula>NOT(ISERROR(SEARCH(("PULM"),(AX11))))</formula>
    </cfRule>
    <cfRule type="containsText" priority="7060" operator="containsText" dxfId="7" text="RADIOLOGY">
      <formula>NOT(ISERROR(SEARCH(("RADIOLOGY"),(AX11))))</formula>
    </cfRule>
    <cfRule type="containsText" priority="7061" operator="containsText" dxfId="7" text="HEM/ONC">
      <formula>NOT(ISERROR(SEARCH(("HEM/ONC"),(AX11))))</formula>
    </cfRule>
    <cfRule type="containsText" priority="7062" operator="containsText" dxfId="7" text="CARDIO">
      <formula>NOT(ISERROR(SEARCH(("CARDIO"),(AX11))))</formula>
    </cfRule>
    <cfRule type="containsText" priority="7063" operator="containsText" dxfId="7" text="ID">
      <formula>NOT(ISERROR(SEARCH(("ID"),(AX11))))</formula>
    </cfRule>
    <cfRule type="containsText" priority="7064" operator="containsText" dxfId="7" text="NEURO">
      <formula>NOT(ISERROR(SEARCH(("NEURO"),(AX11))))</formula>
    </cfRule>
    <cfRule type="containsText" priority="7065" operator="containsText" dxfId="6" text="NEURO">
      <formula>NOT(ISERROR(SEARCH(("NEURO"),(AX11))))</formula>
    </cfRule>
    <cfRule type="containsText" priority="7066" operator="containsText" dxfId="5" text="NEURO">
      <formula>NOT(ISERROR(SEARCH(("NEURO"),(AX11))))</formula>
    </cfRule>
    <cfRule type="containsText" priority="7067" operator="containsText" dxfId="0" text="ICU N">
      <formula>NOT(ISERROR(SEARCH(("ICU N"),(AX11))))</formula>
    </cfRule>
    <cfRule type="containsText" priority="7068" operator="containsText" dxfId="3" text="ICU">
      <formula>NOT(ISERROR(SEARCH(("ICU"),(AX11))))</formula>
    </cfRule>
    <cfRule type="containsText" priority="7069" operator="containsText" dxfId="0" text="SWING">
      <formula>NOT(ISERROR(SEARCH(("SWING"),(AX11))))</formula>
    </cfRule>
    <cfRule type="containsText" priority="7070" operator="containsText" dxfId="0" text="NF">
      <formula>NOT(ISERROR(SEARCH(("NF"),(AX11))))</formula>
    </cfRule>
    <cfRule type="containsText" priority="7071" operator="containsText" dxfId="0" text="ICU N">
      <formula>NOT(ISERROR(SEARCH(("ICU N"),(AX11))))</formula>
    </cfRule>
  </conditionalFormatting>
  <conditionalFormatting sqref="AR11">
    <cfRule type="containsText" priority="7036" operator="containsText" dxfId="16" text="ED">
      <formula>NOT(ISERROR(SEARCH(("ED"),(AR11))))</formula>
    </cfRule>
    <cfRule type="containsText" priority="7037" operator="containsText" dxfId="15" text="GERIATRIC">
      <formula>NOT(ISERROR(SEARCH(("GERIATRIC"),(AR11))))</formula>
    </cfRule>
    <cfRule type="containsText" priority="7038" operator="containsText" dxfId="17" text="VACATION">
      <formula>NOT(ISERROR(SEARCH(("VACATION"),(AR11))))</formula>
    </cfRule>
    <cfRule type="containsText" priority="7039" operator="containsText" dxfId="7" text="PATH">
      <formula>NOT(ISERROR(SEARCH(("PATH"),(AR11))))</formula>
    </cfRule>
    <cfRule type="containsText" priority="7040" operator="containsText" dxfId="7" text="NEPHRO">
      <formula>NOT(ISERROR(SEARCH(("NEPHRO"),(AR11))))</formula>
    </cfRule>
    <cfRule type="containsText" priority="7041" operator="containsText" dxfId="7" text="PULM">
      <formula>NOT(ISERROR(SEARCH(("PULM"),(AR11))))</formula>
    </cfRule>
    <cfRule type="containsText" priority="7042" operator="containsText" dxfId="7" text="RADIOLOGY">
      <formula>NOT(ISERROR(SEARCH(("RADIOLOGY"),(AR11))))</formula>
    </cfRule>
    <cfRule type="containsText" priority="7043" operator="containsText" dxfId="7" text="HEM/ONC">
      <formula>NOT(ISERROR(SEARCH(("HEM/ONC"),(AR11))))</formula>
    </cfRule>
    <cfRule type="containsText" priority="7044" operator="containsText" dxfId="7" text="CARDIO">
      <formula>NOT(ISERROR(SEARCH(("CARDIO"),(AR11))))</formula>
    </cfRule>
    <cfRule type="containsText" priority="7045" operator="containsText" dxfId="7" text="ID">
      <formula>NOT(ISERROR(SEARCH(("ID"),(AR11))))</formula>
    </cfRule>
    <cfRule type="containsText" priority="7046" operator="containsText" dxfId="7" text="NEURO">
      <formula>NOT(ISERROR(SEARCH(("NEURO"),(AR11))))</formula>
    </cfRule>
    <cfRule type="containsText" priority="7047" operator="containsText" dxfId="6" text="NEURO">
      <formula>NOT(ISERROR(SEARCH(("NEURO"),(AR11))))</formula>
    </cfRule>
    <cfRule type="containsText" priority="7048" operator="containsText" dxfId="5" text="NEURO">
      <formula>NOT(ISERROR(SEARCH(("NEURO"),(AR11))))</formula>
    </cfRule>
    <cfRule type="containsText" priority="7049" operator="containsText" dxfId="0" text="ICU N">
      <formula>NOT(ISERROR(SEARCH(("ICU N"),(AR11))))</formula>
    </cfRule>
    <cfRule type="containsText" priority="7050" operator="containsText" dxfId="3" text="ICU">
      <formula>NOT(ISERROR(SEARCH(("ICU"),(AR11))))</formula>
    </cfRule>
    <cfRule type="containsText" priority="7051" operator="containsText" dxfId="0" text="SWING">
      <formula>NOT(ISERROR(SEARCH(("SWING"),(AR11))))</formula>
    </cfRule>
    <cfRule type="containsText" priority="7052" operator="containsText" dxfId="0" text="NF">
      <formula>NOT(ISERROR(SEARCH(("NF"),(AR11))))</formula>
    </cfRule>
    <cfRule type="containsText" priority="7053" operator="containsText" dxfId="0" text="ICU N">
      <formula>NOT(ISERROR(SEARCH(("ICU N"),(AR11))))</formula>
    </cfRule>
    <cfRule type="containsText" priority="7018" operator="containsText" dxfId="16" text="ED">
      <formula>NOT(ISERROR(SEARCH(("ED"),(AR11))))</formula>
    </cfRule>
    <cfRule type="containsText" priority="7019" operator="containsText" dxfId="15" text="GERIATRIC">
      <formula>NOT(ISERROR(SEARCH(("GERIATRIC"),(AR11))))</formula>
    </cfRule>
    <cfRule type="containsText" priority="7020" operator="containsText" dxfId="17" text="VACATION">
      <formula>NOT(ISERROR(SEARCH(("VACATION"),(AR11))))</formula>
    </cfRule>
    <cfRule type="containsText" priority="7021" operator="containsText" dxfId="7" text="PATH">
      <formula>NOT(ISERROR(SEARCH(("PATH"),(AR11))))</formula>
    </cfRule>
    <cfRule type="containsText" priority="7022" operator="containsText" dxfId="7" text="NEPHRO">
      <formula>NOT(ISERROR(SEARCH(("NEPHRO"),(AR11))))</formula>
    </cfRule>
    <cfRule type="containsText" priority="7023" operator="containsText" dxfId="7" text="PULM">
      <formula>NOT(ISERROR(SEARCH(("PULM"),(AR11))))</formula>
    </cfRule>
    <cfRule type="containsText" priority="7024" operator="containsText" dxfId="7" text="RADIOLOGY">
      <formula>NOT(ISERROR(SEARCH(("RADIOLOGY"),(AR11))))</formula>
    </cfRule>
    <cfRule type="containsText" priority="7025" operator="containsText" dxfId="7" text="HEM/ONC">
      <formula>NOT(ISERROR(SEARCH(("HEM/ONC"),(AR11))))</formula>
    </cfRule>
    <cfRule type="containsText" priority="7026" operator="containsText" dxfId="7" text="CARDIO">
      <formula>NOT(ISERROR(SEARCH(("CARDIO"),(AR11))))</formula>
    </cfRule>
    <cfRule type="containsText" priority="7027" operator="containsText" dxfId="7" text="ID">
      <formula>NOT(ISERROR(SEARCH(("ID"),(AR11))))</formula>
    </cfRule>
    <cfRule type="containsText" priority="7028" operator="containsText" dxfId="7" text="NEURO">
      <formula>NOT(ISERROR(SEARCH(("NEURO"),(AR11))))</formula>
    </cfRule>
    <cfRule type="containsText" priority="7029" operator="containsText" dxfId="6" text="NEURO">
      <formula>NOT(ISERROR(SEARCH(("NEURO"),(AR11))))</formula>
    </cfRule>
    <cfRule type="containsText" priority="7030" operator="containsText" dxfId="5" text="NEURO">
      <formula>NOT(ISERROR(SEARCH(("NEURO"),(AR11))))</formula>
    </cfRule>
    <cfRule type="containsText" priority="7031" operator="containsText" dxfId="0" text="ICU N">
      <formula>NOT(ISERROR(SEARCH(("ICU N"),(AR11))))</formula>
    </cfRule>
    <cfRule type="containsText" priority="7032" operator="containsText" dxfId="3" text="ICU">
      <formula>NOT(ISERROR(SEARCH(("ICU"),(AR11))))</formula>
    </cfRule>
    <cfRule type="containsText" priority="7033" operator="containsText" dxfId="0" text="SWING">
      <formula>NOT(ISERROR(SEARCH(("SWING"),(AR11))))</formula>
    </cfRule>
    <cfRule type="containsText" priority="7034" operator="containsText" dxfId="0" text="NF">
      <formula>NOT(ISERROR(SEARCH(("NF"),(AR11))))</formula>
    </cfRule>
    <cfRule type="containsText" priority="7035" operator="containsText" dxfId="0" text="ICU N">
      <formula>NOT(ISERROR(SEARCH(("ICU N"),(AR11))))</formula>
    </cfRule>
  </conditionalFormatting>
  <conditionalFormatting sqref="AX7">
    <cfRule type="containsText" priority="6965" operator="containsText" dxfId="17" text="VACATION">
      <formula>NOT(ISERROR(SEARCH(("VACATION"),(AX7))))</formula>
    </cfRule>
    <cfRule type="containsText" priority="6966" operator="containsText" dxfId="16" text="ED">
      <formula>NOT(ISERROR(SEARCH(("ED"),(AX7))))</formula>
    </cfRule>
    <cfRule type="containsText" priority="6967" operator="containsText" dxfId="15" text="GERIATRIC">
      <formula>NOT(ISERROR(SEARCH(("GERIATRIC"),(AX7))))</formula>
    </cfRule>
    <cfRule type="containsText" priority="6968" operator="containsText" dxfId="7" text="PATH">
      <formula>NOT(ISERROR(SEARCH(("PATH"),(AX7))))</formula>
    </cfRule>
    <cfRule type="containsText" priority="6969" operator="containsText" dxfId="7" text="NEPHRO">
      <formula>NOT(ISERROR(SEARCH(("NEPHRO"),(AX7))))</formula>
    </cfRule>
    <cfRule type="containsText" priority="6970" operator="containsText" dxfId="7" text="PULM">
      <formula>NOT(ISERROR(SEARCH(("PULM"),(AX7))))</formula>
    </cfRule>
    <cfRule type="containsText" priority="6971" operator="containsText" dxfId="7" text="RADIOLOGY">
      <formula>NOT(ISERROR(SEARCH(("RADIOLOGY"),(AX7))))</formula>
    </cfRule>
    <cfRule type="containsText" priority="6972" operator="containsText" dxfId="7" text="HEM/ONC">
      <formula>NOT(ISERROR(SEARCH(("HEM/ONC"),(AX7))))</formula>
    </cfRule>
    <cfRule type="containsText" priority="6973" operator="containsText" dxfId="7" text="CARDIO">
      <formula>NOT(ISERROR(SEARCH(("CARDIO"),(AX7))))</formula>
    </cfRule>
    <cfRule type="containsText" priority="6974" operator="containsText" dxfId="7" text="ID">
      <formula>NOT(ISERROR(SEARCH(("ID"),(AX7))))</formula>
    </cfRule>
    <cfRule type="containsText" priority="6975" operator="containsText" dxfId="7" text="NEURO">
      <formula>NOT(ISERROR(SEARCH(("NEURO"),(AX7))))</formula>
    </cfRule>
    <cfRule type="containsText" priority="6976" operator="containsText" dxfId="6" text="NEURO">
      <formula>NOT(ISERROR(SEARCH(("NEURO"),(AX7))))</formula>
    </cfRule>
    <cfRule type="containsText" priority="6977" operator="containsText" dxfId="5" text="NEURO">
      <formula>NOT(ISERROR(SEARCH(("NEURO"),(AX7))))</formula>
    </cfRule>
    <cfRule type="containsText" priority="6978" operator="containsText" dxfId="0" text="ICU N">
      <formula>NOT(ISERROR(SEARCH(("ICU N"),(AX7))))</formula>
    </cfRule>
    <cfRule type="containsText" priority="6979" operator="containsText" dxfId="3" text="ICU">
      <formula>NOT(ISERROR(SEARCH(("ICU"),(AX7))))</formula>
    </cfRule>
    <cfRule type="containsText" priority="6980" operator="containsText" dxfId="0" text="SWING">
      <formula>NOT(ISERROR(SEARCH(("SWING"),(AX7))))</formula>
    </cfRule>
    <cfRule type="containsText" priority="6981" operator="containsText" dxfId="0" text="NF">
      <formula>NOT(ISERROR(SEARCH(("NF"),(AX7))))</formula>
    </cfRule>
  </conditionalFormatting>
  <conditionalFormatting sqref="V23:V24">
    <cfRule type="containsText" priority="6964" operator="containsText" dxfId="17" text="VACATION">
      <formula>NOT(ISERROR(SEARCH(("VACATION"),(V23))))</formula>
    </cfRule>
  </conditionalFormatting>
  <conditionalFormatting sqref="BB11:BB13">
    <cfRule type="containsText" priority="6782" operator="containsText" dxfId="0" text="ICU N">
      <formula>NOT(ISERROR(SEARCH(("ICU N"),(BB11))))</formula>
    </cfRule>
  </conditionalFormatting>
  <conditionalFormatting sqref="BB23">
    <cfRule type="containsText" priority="6781" operator="containsText" dxfId="0" text="ICU N">
      <formula>NOT(ISERROR(SEARCH(("ICU N"),(BB23))))</formula>
    </cfRule>
  </conditionalFormatting>
  <conditionalFormatting sqref="E35">
    <cfRule type="containsText" priority="6713" operator="containsText" dxfId="15" text="GERIATRIC">
      <formula>NOT(ISERROR(SEARCH(("GERIATRIC"),(E35))))</formula>
    </cfRule>
    <cfRule type="containsText" priority="6714" operator="containsText" dxfId="7" text="PATH">
      <formula>NOT(ISERROR(SEARCH(("PATH"),(E35))))</formula>
    </cfRule>
    <cfRule type="containsText" priority="6715" operator="containsText" dxfId="7" text="NEPHRO">
      <formula>NOT(ISERROR(SEARCH(("NEPHRO"),(E35))))</formula>
    </cfRule>
    <cfRule type="containsText" priority="6716" operator="containsText" dxfId="7" text="PULM">
      <formula>NOT(ISERROR(SEARCH(("PULM"),(E35))))</formula>
    </cfRule>
    <cfRule type="containsText" priority="6717" operator="containsText" dxfId="7" text="RADIOLOGY">
      <formula>NOT(ISERROR(SEARCH(("RADIOLOGY"),(E35))))</formula>
    </cfRule>
    <cfRule type="containsText" priority="6718" operator="containsText" dxfId="7" text="HEM/ONC">
      <formula>NOT(ISERROR(SEARCH(("HEM/ONC"),(E35))))</formula>
    </cfRule>
    <cfRule type="containsText" priority="6719" operator="containsText" dxfId="7" text="CARDIO">
      <formula>NOT(ISERROR(SEARCH(("CARDIO"),(E35))))</formula>
    </cfRule>
    <cfRule type="containsText" priority="6720" operator="containsText" dxfId="7" text="ID">
      <formula>NOT(ISERROR(SEARCH(("ID"),(E35))))</formula>
    </cfRule>
    <cfRule type="containsText" priority="6721" operator="containsText" dxfId="7" text="NEURO">
      <formula>NOT(ISERROR(SEARCH(("NEURO"),(E35))))</formula>
    </cfRule>
    <cfRule type="containsText" priority="6722" operator="containsText" dxfId="6" text="NEURO">
      <formula>NOT(ISERROR(SEARCH(("NEURO"),(E35))))</formula>
    </cfRule>
    <cfRule type="containsText" priority="6723" operator="containsText" dxfId="5" text="NEURO">
      <formula>NOT(ISERROR(SEARCH(("NEURO"),(E35))))</formula>
    </cfRule>
    <cfRule type="containsText" priority="6724" operator="containsText" dxfId="0" text="ICU N">
      <formula>NOT(ISERROR(SEARCH(("ICU N"),(E35))))</formula>
    </cfRule>
    <cfRule type="containsText" priority="6725" operator="containsText" dxfId="3" text="ICU">
      <formula>NOT(ISERROR(SEARCH(("ICU"),(E35))))</formula>
    </cfRule>
    <cfRule type="containsText" priority="6726" operator="containsText" dxfId="0" text="SWING">
      <formula>NOT(ISERROR(SEARCH(("SWING"),(E35))))</formula>
    </cfRule>
    <cfRule type="containsText" priority="6727" operator="containsText" dxfId="0" text="NF">
      <formula>NOT(ISERROR(SEARCH(("NF"),(E35))))</formula>
    </cfRule>
    <cfRule type="containsText" priority="6711" operator="containsText" dxfId="17" text="VACATION">
      <formula>NOT(ISERROR(SEARCH(("VACATION"),(E35))))</formula>
    </cfRule>
    <cfRule type="containsText" priority="6712" operator="containsText" dxfId="16" text="ED">
      <formula>NOT(ISERROR(SEARCH(("ED"),(E35))))</formula>
    </cfRule>
  </conditionalFormatting>
  <conditionalFormatting sqref="F16">
    <cfRule type="containsText" priority="6694" operator="containsText" dxfId="17" text="VACATION">
      <formula>NOT(ISERROR(SEARCH(("VACATION"),(F16))))</formula>
    </cfRule>
    <cfRule type="containsText" priority="6695" operator="containsText" dxfId="16" text="ED">
      <formula>NOT(ISERROR(SEARCH(("ED"),(F16))))</formula>
    </cfRule>
    <cfRule type="containsText" priority="6696" operator="containsText" dxfId="15" text="GERIATRIC">
      <formula>NOT(ISERROR(SEARCH(("GERIATRIC"),(F16))))</formula>
    </cfRule>
    <cfRule type="containsText" priority="6697" operator="containsText" dxfId="7" text="PATH">
      <formula>NOT(ISERROR(SEARCH(("PATH"),(F16))))</formula>
    </cfRule>
    <cfRule type="containsText" priority="6698" operator="containsText" dxfId="7" text="NEPHRO">
      <formula>NOT(ISERROR(SEARCH(("NEPHRO"),(F16))))</formula>
    </cfRule>
    <cfRule type="containsText" priority="6699" operator="containsText" dxfId="7" text="PULM">
      <formula>NOT(ISERROR(SEARCH(("PULM"),(F16))))</formula>
    </cfRule>
    <cfRule type="containsText" priority="6700" operator="containsText" dxfId="7" text="RADIOLOGY">
      <formula>NOT(ISERROR(SEARCH(("RADIOLOGY"),(F16))))</formula>
    </cfRule>
    <cfRule type="containsText" priority="6701" operator="containsText" dxfId="7" text="HEM/ONC">
      <formula>NOT(ISERROR(SEARCH(("HEM/ONC"),(F16))))</formula>
    </cfRule>
    <cfRule type="containsText" priority="6702" operator="containsText" dxfId="7" text="CARDIO">
      <formula>NOT(ISERROR(SEARCH(("CARDIO"),(F16))))</formula>
    </cfRule>
    <cfRule type="containsText" priority="6703" operator="containsText" dxfId="7" text="ID">
      <formula>NOT(ISERROR(SEARCH(("ID"),(F16))))</formula>
    </cfRule>
    <cfRule type="containsText" priority="6704" operator="containsText" dxfId="7" text="NEURO">
      <formula>NOT(ISERROR(SEARCH(("NEURO"),(F16))))</formula>
    </cfRule>
    <cfRule type="containsText" priority="6705" operator="containsText" dxfId="6" text="NEURO">
      <formula>NOT(ISERROR(SEARCH(("NEURO"),(F16))))</formula>
    </cfRule>
    <cfRule type="containsText" priority="6706" operator="containsText" dxfId="5" text="NEURO">
      <formula>NOT(ISERROR(SEARCH(("NEURO"),(F16))))</formula>
    </cfRule>
    <cfRule type="containsText" priority="6707" operator="containsText" dxfId="0" text="ICU N">
      <formula>NOT(ISERROR(SEARCH(("ICU N"),(F16))))</formula>
    </cfRule>
    <cfRule type="containsText" priority="6708" operator="containsText" dxfId="3" text="ICU">
      <formula>NOT(ISERROR(SEARCH(("ICU"),(F16))))</formula>
    </cfRule>
    <cfRule type="containsText" priority="6709" operator="containsText" dxfId="0" text="SWING">
      <formula>NOT(ISERROR(SEARCH(("SWING"),(F16))))</formula>
    </cfRule>
    <cfRule type="containsText" priority="6710" operator="containsText" dxfId="0" text="NF">
      <formula>NOT(ISERROR(SEARCH(("NF"),(F16))))</formula>
    </cfRule>
  </conditionalFormatting>
  <conditionalFormatting sqref="G16">
    <cfRule type="containsText" priority="6692" operator="containsText" dxfId="17" text="VACATION">
      <formula>NOT(ISERROR(SEARCH(("VACATION"),(G16))))</formula>
    </cfRule>
    <cfRule type="containsText" priority="6693" operator="containsText" dxfId="0" text="ICU N">
      <formula>NOT(ISERROR(SEARCH(("ICU N"),(G16))))</formula>
    </cfRule>
  </conditionalFormatting>
  <conditionalFormatting sqref="H6">
    <cfRule type="containsText" priority="6690" operator="containsText" dxfId="17" text="VACATION">
      <formula>NOT(ISERROR(SEARCH(("VACATION"),(H6))))</formula>
    </cfRule>
    <cfRule type="containsText" priority="6691" operator="containsText" dxfId="0" text="ICU N">
      <formula>NOT(ISERROR(SEARCH(("ICU N"),(H6))))</formula>
    </cfRule>
  </conditionalFormatting>
  <conditionalFormatting sqref="AB26">
    <cfRule type="containsText" priority="6674" operator="containsText" dxfId="16" text="ED">
      <formula>NOT(ISERROR(SEARCH(("ED"),(AB26))))</formula>
    </cfRule>
    <cfRule type="containsText" priority="6675" operator="containsText" dxfId="15" text="GERIATRIC">
      <formula>NOT(ISERROR(SEARCH(("GERIATRIC"),(AB26))))</formula>
    </cfRule>
    <cfRule type="containsText" priority="6676" operator="containsText" dxfId="17" text="VACATION">
      <formula>NOT(ISERROR(SEARCH(("VACATION"),(AB26))))</formula>
    </cfRule>
    <cfRule type="containsText" priority="6677" operator="containsText" dxfId="7" text="PATH">
      <formula>NOT(ISERROR(SEARCH(("PATH"),(AB26))))</formula>
    </cfRule>
    <cfRule type="containsText" priority="6678" operator="containsText" dxfId="7" text="NEPHRO">
      <formula>NOT(ISERROR(SEARCH(("NEPHRO"),(AB26))))</formula>
    </cfRule>
    <cfRule type="containsText" priority="6679" operator="containsText" dxfId="7" text="PULM">
      <formula>NOT(ISERROR(SEARCH(("PULM"),(AB26))))</formula>
    </cfRule>
    <cfRule type="containsText" priority="6680" operator="containsText" dxfId="7" text="RADIOLOGY">
      <formula>NOT(ISERROR(SEARCH(("RADIOLOGY"),(AB26))))</formula>
    </cfRule>
    <cfRule type="containsText" priority="6681" operator="containsText" dxfId="7" text="HEM/ONC">
      <formula>NOT(ISERROR(SEARCH(("HEM/ONC"),(AB26))))</formula>
    </cfRule>
    <cfRule type="containsText" priority="6682" operator="containsText" dxfId="7" text="CARDIO">
      <formula>NOT(ISERROR(SEARCH(("CARDIO"),(AB26))))</formula>
    </cfRule>
    <cfRule type="containsText" priority="6683" operator="containsText" dxfId="7" text="ID">
      <formula>NOT(ISERROR(SEARCH(("ID"),(AB26))))</formula>
    </cfRule>
    <cfRule type="containsText" priority="6684" operator="containsText" dxfId="7" text="NEURO">
      <formula>NOT(ISERROR(SEARCH(("NEURO"),(AB26))))</formula>
    </cfRule>
    <cfRule type="containsText" priority="6685" operator="containsText" dxfId="0" text="ICU N">
      <formula>NOT(ISERROR(SEARCH(("ICU N"),(AB26))))</formula>
    </cfRule>
    <cfRule type="containsText" priority="6686" operator="containsText" dxfId="3" text="ICU">
      <formula>NOT(ISERROR(SEARCH(("ICU"),(AB26))))</formula>
    </cfRule>
    <cfRule type="containsText" priority="6687" operator="containsText" dxfId="0" text="SWING">
      <formula>NOT(ISERROR(SEARCH(("SWING"),(AB26))))</formula>
    </cfRule>
    <cfRule type="containsText" priority="6688" operator="containsText" dxfId="0" text="NF">
      <formula>NOT(ISERROR(SEARCH(("NF"),(AB26))))</formula>
    </cfRule>
    <cfRule type="containsText" priority="6689" operator="containsText" dxfId="0" text="ICU N">
      <formula>NOT(ISERROR(SEARCH(("ICU N"),(AB26))))</formula>
    </cfRule>
  </conditionalFormatting>
  <conditionalFormatting sqref="AK23">
    <cfRule type="containsText" priority="6656" operator="containsText" dxfId="16" text="ED">
      <formula>NOT(ISERROR(SEARCH(("ED"),(AK23))))</formula>
    </cfRule>
    <cfRule type="containsText" priority="6657" operator="containsText" dxfId="15" text="GERIATRIC">
      <formula>NOT(ISERROR(SEARCH(("GERIATRIC"),(AK23))))</formula>
    </cfRule>
    <cfRule type="containsText" priority="6658" operator="containsText" dxfId="17" text="VACATION">
      <formula>NOT(ISERROR(SEARCH(("VACATION"),(AK23))))</formula>
    </cfRule>
    <cfRule type="containsText" priority="6659" operator="containsText" dxfId="7" text="PATH">
      <formula>NOT(ISERROR(SEARCH(("PATH"),(AK23))))</formula>
    </cfRule>
    <cfRule type="containsText" priority="6660" operator="containsText" dxfId="7" text="NEPHRO">
      <formula>NOT(ISERROR(SEARCH(("NEPHRO"),(AK23))))</formula>
    </cfRule>
    <cfRule type="containsText" priority="6661" operator="containsText" dxfId="7" text="PULM">
      <formula>NOT(ISERROR(SEARCH(("PULM"),(AK23))))</formula>
    </cfRule>
    <cfRule type="containsText" priority="6662" operator="containsText" dxfId="7" text="RADIOLOGY">
      <formula>NOT(ISERROR(SEARCH(("RADIOLOGY"),(AK23))))</formula>
    </cfRule>
    <cfRule type="containsText" priority="6663" operator="containsText" dxfId="7" text="HEM/ONC">
      <formula>NOT(ISERROR(SEARCH(("HEM/ONC"),(AK23))))</formula>
    </cfRule>
    <cfRule type="containsText" priority="6664" operator="containsText" dxfId="7" text="CARDIO">
      <formula>NOT(ISERROR(SEARCH(("CARDIO"),(AK23))))</formula>
    </cfRule>
    <cfRule type="containsText" priority="6665" operator="containsText" dxfId="7" text="ID">
      <formula>NOT(ISERROR(SEARCH(("ID"),(AK23))))</formula>
    </cfRule>
    <cfRule type="containsText" priority="6666" operator="containsText" dxfId="7" text="NEURO">
      <formula>NOT(ISERROR(SEARCH(("NEURO"),(AK23))))</formula>
    </cfRule>
    <cfRule type="containsText" priority="6667" operator="containsText" dxfId="6" text="NEURO">
      <formula>NOT(ISERROR(SEARCH(("NEURO"),(AK23))))</formula>
    </cfRule>
    <cfRule type="containsText" priority="6668" operator="containsText" dxfId="5" text="NEURO">
      <formula>NOT(ISERROR(SEARCH(("NEURO"),(AK23))))</formula>
    </cfRule>
    <cfRule type="containsText" priority="6669" operator="containsText" dxfId="0" text="ICU N">
      <formula>NOT(ISERROR(SEARCH(("ICU N"),(AK23))))</formula>
    </cfRule>
    <cfRule type="containsText" priority="6670" operator="containsText" dxfId="3" text="ICU">
      <formula>NOT(ISERROR(SEARCH(("ICU"),(AK23))))</formula>
    </cfRule>
    <cfRule type="containsText" priority="6671" operator="containsText" dxfId="0" text="SWING">
      <formula>NOT(ISERROR(SEARCH(("SWING"),(AK23))))</formula>
    </cfRule>
    <cfRule type="containsText" priority="6672" operator="containsText" dxfId="0" text="NF">
      <formula>NOT(ISERROR(SEARCH(("NF"),(AK23))))</formula>
    </cfRule>
    <cfRule type="containsText" priority="6673" operator="containsText" dxfId="0" text="ICU N">
      <formula>NOT(ISERROR(SEARCH(("ICU N"),(AK23))))</formula>
    </cfRule>
    <cfRule type="containsText" priority="6638" operator="containsText" dxfId="16" text="ED">
      <formula>NOT(ISERROR(SEARCH(("ED"),(AK23))))</formula>
    </cfRule>
    <cfRule type="containsText" priority="6639" operator="containsText" dxfId="15" text="GERIATRIC">
      <formula>NOT(ISERROR(SEARCH(("GERIATRIC"),(AK23))))</formula>
    </cfRule>
    <cfRule type="containsText" priority="6640" operator="containsText" dxfId="17" text="VACATION">
      <formula>NOT(ISERROR(SEARCH(("VACATION"),(AK23))))</formula>
    </cfRule>
    <cfRule type="containsText" priority="6641" operator="containsText" dxfId="7" text="PATH">
      <formula>NOT(ISERROR(SEARCH(("PATH"),(AK23))))</formula>
    </cfRule>
    <cfRule type="containsText" priority="6642" operator="containsText" dxfId="7" text="NEPHRO">
      <formula>NOT(ISERROR(SEARCH(("NEPHRO"),(AK23))))</formula>
    </cfRule>
    <cfRule type="containsText" priority="6643" operator="containsText" dxfId="7" text="PULM">
      <formula>NOT(ISERROR(SEARCH(("PULM"),(AK23))))</formula>
    </cfRule>
    <cfRule type="containsText" priority="6644" operator="containsText" dxfId="7" text="RADIOLOGY">
      <formula>NOT(ISERROR(SEARCH(("RADIOLOGY"),(AK23))))</formula>
    </cfRule>
    <cfRule type="containsText" priority="6645" operator="containsText" dxfId="7" text="HEM/ONC">
      <formula>NOT(ISERROR(SEARCH(("HEM/ONC"),(AK23))))</formula>
    </cfRule>
    <cfRule type="containsText" priority="6646" operator="containsText" dxfId="7" text="CARDIO">
      <formula>NOT(ISERROR(SEARCH(("CARDIO"),(AK23))))</formula>
    </cfRule>
    <cfRule type="containsText" priority="6647" operator="containsText" dxfId="7" text="ID">
      <formula>NOT(ISERROR(SEARCH(("ID"),(AK23))))</formula>
    </cfRule>
    <cfRule type="containsText" priority="6648" operator="containsText" dxfId="7" text="NEURO">
      <formula>NOT(ISERROR(SEARCH(("NEURO"),(AK23))))</formula>
    </cfRule>
    <cfRule type="containsText" priority="6649" operator="containsText" dxfId="6" text="NEURO">
      <formula>NOT(ISERROR(SEARCH(("NEURO"),(AK23))))</formula>
    </cfRule>
    <cfRule type="containsText" priority="6650" operator="containsText" dxfId="5" text="NEURO">
      <formula>NOT(ISERROR(SEARCH(("NEURO"),(AK23))))</formula>
    </cfRule>
    <cfRule type="containsText" priority="6651" operator="containsText" dxfId="0" text="ICU N">
      <formula>NOT(ISERROR(SEARCH(("ICU N"),(AK23))))</formula>
    </cfRule>
    <cfRule type="containsText" priority="6652" operator="containsText" dxfId="3" text="ICU">
      <formula>NOT(ISERROR(SEARCH(("ICU"),(AK23))))</formula>
    </cfRule>
    <cfRule type="containsText" priority="6653" operator="containsText" dxfId="0" text="SWING">
      <formula>NOT(ISERROR(SEARCH(("SWING"),(AK23))))</formula>
    </cfRule>
    <cfRule type="containsText" priority="6654" operator="containsText" dxfId="0" text="NF">
      <formula>NOT(ISERROR(SEARCH(("NF"),(AK23))))</formula>
    </cfRule>
    <cfRule type="containsText" priority="6655" operator="containsText" dxfId="0" text="ICU N">
      <formula>NOT(ISERROR(SEARCH(("ICU N"),(AK23))))</formula>
    </cfRule>
  </conditionalFormatting>
  <conditionalFormatting sqref="G25">
    <cfRule type="containsText" priority="6566" operator="containsText" dxfId="16" text="ED">
      <formula>NOT(ISERROR(SEARCH(("ED"),(G25))))</formula>
    </cfRule>
    <cfRule type="containsText" priority="6567" operator="containsText" dxfId="15" text="GERIATRIC">
      <formula>NOT(ISERROR(SEARCH(("GERIATRIC"),(G25))))</formula>
    </cfRule>
    <cfRule type="containsText" priority="6568" operator="containsText" dxfId="17" text="VACATION">
      <formula>NOT(ISERROR(SEARCH(("VACATION"),(G25))))</formula>
    </cfRule>
    <cfRule type="containsText" priority="6569" operator="containsText" dxfId="7" text="PATH">
      <formula>NOT(ISERROR(SEARCH(("PATH"),(G25))))</formula>
    </cfRule>
    <cfRule type="containsText" priority="6570" operator="containsText" dxfId="7" text="NEPHRO">
      <formula>NOT(ISERROR(SEARCH(("NEPHRO"),(G25))))</formula>
    </cfRule>
    <cfRule type="containsText" priority="6571" operator="containsText" dxfId="7" text="PULM">
      <formula>NOT(ISERROR(SEARCH(("PULM"),(G25))))</formula>
    </cfRule>
    <cfRule type="containsText" priority="6572" operator="containsText" dxfId="7" text="RADIOLOGY">
      <formula>NOT(ISERROR(SEARCH(("RADIOLOGY"),(G25))))</formula>
    </cfRule>
    <cfRule type="containsText" priority="6573" operator="containsText" dxfId="7" text="HEM/ONC">
      <formula>NOT(ISERROR(SEARCH(("HEM/ONC"),(G25))))</formula>
    </cfRule>
    <cfRule type="containsText" priority="6574" operator="containsText" dxfId="7" text="CARDIO">
      <formula>NOT(ISERROR(SEARCH(("CARDIO"),(G25))))</formula>
    </cfRule>
    <cfRule type="containsText" priority="6575" operator="containsText" dxfId="7" text="ID">
      <formula>NOT(ISERROR(SEARCH(("ID"),(G25))))</formula>
    </cfRule>
    <cfRule type="containsText" priority="6576" operator="containsText" dxfId="7" text="NEURO">
      <formula>NOT(ISERROR(SEARCH(("NEURO"),(G25))))</formula>
    </cfRule>
    <cfRule type="containsText" priority="6577" operator="containsText" dxfId="6" text="NEURO">
      <formula>NOT(ISERROR(SEARCH(("NEURO"),(G25))))</formula>
    </cfRule>
    <cfRule type="containsText" priority="6578" operator="containsText" dxfId="5" text="NEURO">
      <formula>NOT(ISERROR(SEARCH(("NEURO"),(G25))))</formula>
    </cfRule>
    <cfRule type="containsText" priority="6579" operator="containsText" dxfId="0" text="ICU N">
      <formula>NOT(ISERROR(SEARCH(("ICU N"),(G25))))</formula>
    </cfRule>
    <cfRule type="containsText" priority="6580" operator="containsText" dxfId="3" text="ICU">
      <formula>NOT(ISERROR(SEARCH(("ICU"),(G25))))</formula>
    </cfRule>
    <cfRule type="containsText" priority="6581" operator="containsText" dxfId="0" text="SWING">
      <formula>NOT(ISERROR(SEARCH(("SWING"),(G25))))</formula>
    </cfRule>
    <cfRule type="containsText" priority="6582" operator="containsText" dxfId="0" text="NF">
      <formula>NOT(ISERROR(SEARCH(("NF"),(G25))))</formula>
    </cfRule>
    <cfRule type="containsText" priority="6583" operator="containsText" dxfId="0" text="ICU N">
      <formula>NOT(ISERROR(SEARCH(("ICU N"),(G25))))</formula>
    </cfRule>
    <cfRule type="containsText" priority="6548" operator="containsText" dxfId="16" text="ED">
      <formula>NOT(ISERROR(SEARCH(("ED"),(G25))))</formula>
    </cfRule>
    <cfRule type="containsText" priority="6549" operator="containsText" dxfId="15" text="GERIATRIC">
      <formula>NOT(ISERROR(SEARCH(("GERIATRIC"),(G25))))</formula>
    </cfRule>
    <cfRule type="containsText" priority="6550" operator="containsText" dxfId="17" text="VACATION">
      <formula>NOT(ISERROR(SEARCH(("VACATION"),(G25))))</formula>
    </cfRule>
    <cfRule type="containsText" priority="6551" operator="containsText" dxfId="7" text="PATH">
      <formula>NOT(ISERROR(SEARCH(("PATH"),(G25))))</formula>
    </cfRule>
    <cfRule type="containsText" priority="6552" operator="containsText" dxfId="7" text="NEPHRO">
      <formula>NOT(ISERROR(SEARCH(("NEPHRO"),(G25))))</formula>
    </cfRule>
    <cfRule type="containsText" priority="6553" operator="containsText" dxfId="7" text="PULM">
      <formula>NOT(ISERROR(SEARCH(("PULM"),(G25))))</formula>
    </cfRule>
    <cfRule type="containsText" priority="6554" operator="containsText" dxfId="7" text="RADIOLOGY">
      <formula>NOT(ISERROR(SEARCH(("RADIOLOGY"),(G25))))</formula>
    </cfRule>
    <cfRule type="containsText" priority="6555" operator="containsText" dxfId="7" text="HEM/ONC">
      <formula>NOT(ISERROR(SEARCH(("HEM/ONC"),(G25))))</formula>
    </cfRule>
    <cfRule type="containsText" priority="6556" operator="containsText" dxfId="7" text="CARDIO">
      <formula>NOT(ISERROR(SEARCH(("CARDIO"),(G25))))</formula>
    </cfRule>
    <cfRule type="containsText" priority="6557" operator="containsText" dxfId="7" text="ID">
      <formula>NOT(ISERROR(SEARCH(("ID"),(G25))))</formula>
    </cfRule>
    <cfRule type="containsText" priority="6558" operator="containsText" dxfId="7" text="NEURO">
      <formula>NOT(ISERROR(SEARCH(("NEURO"),(G25))))</formula>
    </cfRule>
    <cfRule type="containsText" priority="6559" operator="containsText" dxfId="6" text="NEURO">
      <formula>NOT(ISERROR(SEARCH(("NEURO"),(G25))))</formula>
    </cfRule>
    <cfRule type="containsText" priority="6560" operator="containsText" dxfId="5" text="NEURO">
      <formula>NOT(ISERROR(SEARCH(("NEURO"),(G25))))</formula>
    </cfRule>
    <cfRule type="containsText" priority="6561" operator="containsText" dxfId="0" text="ICU N">
      <formula>NOT(ISERROR(SEARCH(("ICU N"),(G25))))</formula>
    </cfRule>
    <cfRule type="containsText" priority="6562" operator="containsText" dxfId="3" text="ICU">
      <formula>NOT(ISERROR(SEARCH(("ICU"),(G25))))</formula>
    </cfRule>
    <cfRule type="containsText" priority="6563" operator="containsText" dxfId="0" text="SWING">
      <formula>NOT(ISERROR(SEARCH(("SWING"),(G25))))</formula>
    </cfRule>
    <cfRule type="containsText" priority="6564" operator="containsText" dxfId="0" text="NF">
      <formula>NOT(ISERROR(SEARCH(("NF"),(G25))))</formula>
    </cfRule>
    <cfRule type="containsText" priority="6565" operator="containsText" dxfId="0" text="ICU N">
      <formula>NOT(ISERROR(SEARCH(("ICU N"),(G25))))</formula>
    </cfRule>
  </conditionalFormatting>
  <conditionalFormatting sqref="V22:W22">
    <cfRule type="containsText" priority="6529" operator="containsText" dxfId="17" text="VACATION">
      <formula>NOT(ISERROR(SEARCH(("VACATION"),(V22))))</formula>
    </cfRule>
    <cfRule type="containsText" priority="6530" operator="containsText" dxfId="16" text="ED">
      <formula>NOT(ISERROR(SEARCH(("ED"),(V22))))</formula>
    </cfRule>
    <cfRule type="containsText" priority="6531" operator="containsText" dxfId="15" text="GERIATRIC">
      <formula>NOT(ISERROR(SEARCH(("GERIATRIC"),(V22))))</formula>
    </cfRule>
    <cfRule type="containsText" priority="6532" operator="containsText" dxfId="7" text="PATH">
      <formula>NOT(ISERROR(SEARCH(("PATH"),(V22))))</formula>
    </cfRule>
    <cfRule type="containsText" priority="6533" operator="containsText" dxfId="7" text="NEPHRO">
      <formula>NOT(ISERROR(SEARCH(("NEPHRO"),(V22))))</formula>
    </cfRule>
    <cfRule type="containsText" priority="6534" operator="containsText" dxfId="7" text="PULM">
      <formula>NOT(ISERROR(SEARCH(("PULM"),(V22))))</formula>
    </cfRule>
    <cfRule type="containsText" priority="6535" operator="containsText" dxfId="7" text="RADIOLOGY">
      <formula>NOT(ISERROR(SEARCH(("RADIOLOGY"),(V22))))</formula>
    </cfRule>
    <cfRule type="containsText" priority="6536" operator="containsText" dxfId="7" text="HEM/ONC">
      <formula>NOT(ISERROR(SEARCH(("HEM/ONC"),(V22))))</formula>
    </cfRule>
    <cfRule type="containsText" priority="6537" operator="containsText" dxfId="7" text="CARDIO">
      <formula>NOT(ISERROR(SEARCH(("CARDIO"),(V22))))</formula>
    </cfRule>
    <cfRule type="containsText" priority="6538" operator="containsText" dxfId="7" text="ID">
      <formula>NOT(ISERROR(SEARCH(("ID"),(V22))))</formula>
    </cfRule>
    <cfRule type="containsText" priority="6539" operator="containsText" dxfId="7" text="NEURO">
      <formula>NOT(ISERROR(SEARCH(("NEURO"),(V22))))</formula>
    </cfRule>
    <cfRule type="containsText" priority="6540" operator="containsText" dxfId="6" text="NEURO">
      <formula>NOT(ISERROR(SEARCH(("NEURO"),(V22))))</formula>
    </cfRule>
    <cfRule type="containsText" priority="6541" operator="containsText" dxfId="5" text="NEURO">
      <formula>NOT(ISERROR(SEARCH(("NEURO"),(V22))))</formula>
    </cfRule>
    <cfRule type="containsText" priority="6542" operator="containsText" dxfId="0" text="ICU N">
      <formula>NOT(ISERROR(SEARCH(("ICU N"),(V22))))</formula>
    </cfRule>
    <cfRule type="containsText" priority="6543" operator="containsText" dxfId="3" text="ICU">
      <formula>NOT(ISERROR(SEARCH(("ICU"),(V22))))</formula>
    </cfRule>
    <cfRule type="containsText" priority="6544" operator="containsText" dxfId="0" text="SWING">
      <formula>NOT(ISERROR(SEARCH(("SWING"),(V22))))</formula>
    </cfRule>
    <cfRule type="containsText" priority="6545" operator="containsText" dxfId="0" text="NF">
      <formula>NOT(ISERROR(SEARCH(("NF"),(V22))))</formula>
    </cfRule>
  </conditionalFormatting>
  <conditionalFormatting sqref="AK45">
    <cfRule type="containsText" priority="6495" operator="containsText" dxfId="17" text="VACATION">
      <formula>NOT(ISERROR(SEARCH(("VACATION"),(AK45))))</formula>
    </cfRule>
    <cfRule type="containsText" priority="6496" operator="containsText" dxfId="16" text="ED">
      <formula>NOT(ISERROR(SEARCH(("ED"),(AK45))))</formula>
    </cfRule>
    <cfRule type="containsText" priority="6497" operator="containsText" dxfId="15" text="GERIATRIC">
      <formula>NOT(ISERROR(SEARCH(("GERIATRIC"),(AK45))))</formula>
    </cfRule>
    <cfRule type="containsText" priority="6498" operator="containsText" dxfId="7" text="PATH">
      <formula>NOT(ISERROR(SEARCH(("PATH"),(AK45))))</formula>
    </cfRule>
    <cfRule type="containsText" priority="6499" operator="containsText" dxfId="7" text="NEPHRO">
      <formula>NOT(ISERROR(SEARCH(("NEPHRO"),(AK45))))</formula>
    </cfRule>
    <cfRule type="containsText" priority="6500" operator="containsText" dxfId="7" text="PULM">
      <formula>NOT(ISERROR(SEARCH(("PULM"),(AK45))))</formula>
    </cfRule>
    <cfRule type="containsText" priority="6501" operator="containsText" dxfId="7" text="RADIOLOGY">
      <formula>NOT(ISERROR(SEARCH(("RADIOLOGY"),(AK45))))</formula>
    </cfRule>
    <cfRule type="containsText" priority="6502" operator="containsText" dxfId="7" text="HEM/ONC">
      <formula>NOT(ISERROR(SEARCH(("HEM/ONC"),(AK45))))</formula>
    </cfRule>
    <cfRule type="containsText" priority="6503" operator="containsText" dxfId="7" text="CARDIO">
      <formula>NOT(ISERROR(SEARCH(("CARDIO"),(AK45))))</formula>
    </cfRule>
    <cfRule type="containsText" priority="6504" operator="containsText" dxfId="7" text="ID">
      <formula>NOT(ISERROR(SEARCH(("ID"),(AK45))))</formula>
    </cfRule>
    <cfRule type="containsText" priority="6505" operator="containsText" dxfId="7" text="NEURO">
      <formula>NOT(ISERROR(SEARCH(("NEURO"),(AK45))))</formula>
    </cfRule>
    <cfRule type="containsText" priority="6506" operator="containsText" dxfId="6" text="NEURO">
      <formula>NOT(ISERROR(SEARCH(("NEURO"),(AK45))))</formula>
    </cfRule>
    <cfRule type="containsText" priority="6507" operator="containsText" dxfId="5" text="NEURO">
      <formula>NOT(ISERROR(SEARCH(("NEURO"),(AK45))))</formula>
    </cfRule>
    <cfRule type="containsText" priority="6508" operator="containsText" dxfId="0" text="ICU N">
      <formula>NOT(ISERROR(SEARCH(("ICU N"),(AK45))))</formula>
    </cfRule>
    <cfRule type="containsText" priority="6509" operator="containsText" dxfId="3" text="ICU">
      <formula>NOT(ISERROR(SEARCH(("ICU"),(AK45))))</formula>
    </cfRule>
    <cfRule type="containsText" priority="6510" operator="containsText" dxfId="0" text="SWING">
      <formula>NOT(ISERROR(SEARCH(("SWING"),(AK45))))</formula>
    </cfRule>
    <cfRule type="containsText" priority="6511" operator="containsText" dxfId="0" text="NF">
      <formula>NOT(ISERROR(SEARCH(("NF"),(AK45))))</formula>
    </cfRule>
  </conditionalFormatting>
  <conditionalFormatting sqref="AL40">
    <cfRule type="containsText" priority="6494" operator="containsText" dxfId="17" text="VACATION">
      <formula>NOT(ISERROR(SEARCH(("VACATION"),(AL40))))</formula>
    </cfRule>
  </conditionalFormatting>
  <conditionalFormatting sqref="AO39">
    <cfRule type="containsText" priority="6479" operator="containsText" dxfId="7" text="PATH">
      <formula>NOT(ISERROR(SEARCH(("PATH"),(AO39))))</formula>
    </cfRule>
    <cfRule type="containsText" priority="6480" operator="containsText" dxfId="7" text="NEPHRO">
      <formula>NOT(ISERROR(SEARCH(("NEPHRO"),(AO39))))</formula>
    </cfRule>
    <cfRule type="containsText" priority="6481" operator="containsText" dxfId="7" text="PULM">
      <formula>NOT(ISERROR(SEARCH(("PULM"),(AO39))))</formula>
    </cfRule>
    <cfRule type="containsText" priority="6482" operator="containsText" dxfId="7" text="RADIOLOGY">
      <formula>NOT(ISERROR(SEARCH(("RADIOLOGY"),(AO39))))</formula>
    </cfRule>
    <cfRule type="containsText" priority="6483" operator="containsText" dxfId="7" text="HEM/ONC">
      <formula>NOT(ISERROR(SEARCH(("HEM/ONC"),(AO39))))</formula>
    </cfRule>
    <cfRule type="containsText" priority="6484" operator="containsText" dxfId="7" text="CARDIO">
      <formula>NOT(ISERROR(SEARCH(("CARDIO"),(AO39))))</formula>
    </cfRule>
    <cfRule type="containsText" priority="6485" operator="containsText" dxfId="7" text="ID">
      <formula>NOT(ISERROR(SEARCH(("ID"),(AO39))))</formula>
    </cfRule>
    <cfRule type="containsText" priority="6486" operator="containsText" dxfId="7" text="NEURO">
      <formula>NOT(ISERROR(SEARCH(("NEURO"),(AO39))))</formula>
    </cfRule>
    <cfRule type="containsText" priority="6487" operator="containsText" dxfId="6" text="NEURO">
      <formula>NOT(ISERROR(SEARCH(("NEURO"),(AO39))))</formula>
    </cfRule>
    <cfRule type="containsText" priority="6488" operator="containsText" dxfId="5" text="NEURO">
      <formula>NOT(ISERROR(SEARCH(("NEURO"),(AO39))))</formula>
    </cfRule>
    <cfRule type="containsText" priority="6489" operator="containsText" dxfId="0" text="ICU N">
      <formula>NOT(ISERROR(SEARCH(("ICU N"),(AO39))))</formula>
    </cfRule>
    <cfRule type="containsText" priority="6490" operator="containsText" dxfId="3" text="ICU">
      <formula>NOT(ISERROR(SEARCH(("ICU"),(AO39))))</formula>
    </cfRule>
    <cfRule type="containsText" priority="6491" operator="containsText" dxfId="0" text="SWING">
      <formula>NOT(ISERROR(SEARCH(("SWING"),(AO39))))</formula>
    </cfRule>
    <cfRule type="containsText" priority="6492" operator="containsText" dxfId="0" text="NF">
      <formula>NOT(ISERROR(SEARCH(("NF"),(AO39))))</formula>
    </cfRule>
    <cfRule type="containsText" priority="6493" operator="containsText" dxfId="0" text="ICU N">
      <formula>NOT(ISERROR(SEARCH(("ICU N"),(AO39))))</formula>
    </cfRule>
    <cfRule type="containsText" priority="6465" operator="containsText" dxfId="7" text="PATH">
      <formula>NOT(ISERROR(SEARCH(("PATH"),(AO39))))</formula>
    </cfRule>
    <cfRule type="containsText" priority="6466" operator="containsText" dxfId="7" text="NEPHRO">
      <formula>NOT(ISERROR(SEARCH(("NEPHRO"),(AO39))))</formula>
    </cfRule>
    <cfRule type="containsText" priority="6467" operator="containsText" dxfId="7" text="PULM">
      <formula>NOT(ISERROR(SEARCH(("PULM"),(AO39))))</formula>
    </cfRule>
    <cfRule type="containsText" priority="6468" operator="containsText" dxfId="7" text="RADIOLOGY">
      <formula>NOT(ISERROR(SEARCH(("RADIOLOGY"),(AO39))))</formula>
    </cfRule>
    <cfRule type="containsText" priority="6469" operator="containsText" dxfId="7" text="HEM/ONC">
      <formula>NOT(ISERROR(SEARCH(("HEM/ONC"),(AO39))))</formula>
    </cfRule>
    <cfRule type="containsText" priority="6470" operator="containsText" dxfId="7" text="CARDIO">
      <formula>NOT(ISERROR(SEARCH(("CARDIO"),(AO39))))</formula>
    </cfRule>
    <cfRule type="containsText" priority="6471" operator="containsText" dxfId="7" text="ID">
      <formula>NOT(ISERROR(SEARCH(("ID"),(AO39))))</formula>
    </cfRule>
    <cfRule type="containsText" priority="6472" operator="containsText" dxfId="7" text="NEURO">
      <formula>NOT(ISERROR(SEARCH(("NEURO"),(AO39))))</formula>
    </cfRule>
    <cfRule type="containsText" priority="6473" operator="containsText" dxfId="6" text="NEURO">
      <formula>NOT(ISERROR(SEARCH(("NEURO"),(AO39))))</formula>
    </cfRule>
    <cfRule type="containsText" priority="6474" operator="containsText" dxfId="5" text="NEURO">
      <formula>NOT(ISERROR(SEARCH(("NEURO"),(AO39))))</formula>
    </cfRule>
    <cfRule type="containsText" priority="6475" operator="containsText" dxfId="0" text="ICU N">
      <formula>NOT(ISERROR(SEARCH(("ICU N"),(AO39))))</formula>
    </cfRule>
    <cfRule type="containsText" priority="6476" operator="containsText" dxfId="3" text="ICU">
      <formula>NOT(ISERROR(SEARCH(("ICU"),(AO39))))</formula>
    </cfRule>
    <cfRule type="containsText" priority="6477" operator="containsText" dxfId="0" text="SWING">
      <formula>NOT(ISERROR(SEARCH(("SWING"),(AO39))))</formula>
    </cfRule>
    <cfRule type="containsText" priority="6478" operator="containsText" dxfId="0" text="NF">
      <formula>NOT(ISERROR(SEARCH(("NF"),(AO39))))</formula>
    </cfRule>
  </conditionalFormatting>
  <conditionalFormatting sqref="AR36">
    <cfRule type="containsText" priority="6450" operator="containsText" dxfId="7" text="PATH">
      <formula>NOT(ISERROR(SEARCH(("PATH"),(AR36))))</formula>
    </cfRule>
    <cfRule type="containsText" priority="6451" operator="containsText" dxfId="7" text="NEPHRO">
      <formula>NOT(ISERROR(SEARCH(("NEPHRO"),(AR36))))</formula>
    </cfRule>
    <cfRule type="containsText" priority="6452" operator="containsText" dxfId="7" text="PULM">
      <formula>NOT(ISERROR(SEARCH(("PULM"),(AR36))))</formula>
    </cfRule>
    <cfRule type="containsText" priority="6453" operator="containsText" dxfId="7" text="RADIOLOGY">
      <formula>NOT(ISERROR(SEARCH(("RADIOLOGY"),(AR36))))</formula>
    </cfRule>
    <cfRule type="containsText" priority="6454" operator="containsText" dxfId="7" text="HEM/ONC">
      <formula>NOT(ISERROR(SEARCH(("HEM/ONC"),(AR36))))</formula>
    </cfRule>
    <cfRule type="containsText" priority="6455" operator="containsText" dxfId="7" text="CARDIO">
      <formula>NOT(ISERROR(SEARCH(("CARDIO"),(AR36))))</formula>
    </cfRule>
    <cfRule type="containsText" priority="6456" operator="containsText" dxfId="7" text="ID">
      <formula>NOT(ISERROR(SEARCH(("ID"),(AR36))))</formula>
    </cfRule>
    <cfRule type="containsText" priority="6457" operator="containsText" dxfId="7" text="NEURO">
      <formula>NOT(ISERROR(SEARCH(("NEURO"),(AR36))))</formula>
    </cfRule>
    <cfRule type="containsText" priority="6458" operator="containsText" dxfId="6" text="NEURO">
      <formula>NOT(ISERROR(SEARCH(("NEURO"),(AR36))))</formula>
    </cfRule>
    <cfRule type="containsText" priority="6459" operator="containsText" dxfId="5" text="NEURO">
      <formula>NOT(ISERROR(SEARCH(("NEURO"),(AR36))))</formula>
    </cfRule>
    <cfRule type="containsText" priority="6460" operator="containsText" dxfId="0" text="ICU N">
      <formula>NOT(ISERROR(SEARCH(("ICU N"),(AR36))))</formula>
    </cfRule>
    <cfRule type="containsText" priority="6461" operator="containsText" dxfId="3" text="ICU">
      <formula>NOT(ISERROR(SEARCH(("ICU"),(AR36))))</formula>
    </cfRule>
    <cfRule type="containsText" priority="6462" operator="containsText" dxfId="0" text="SWING">
      <formula>NOT(ISERROR(SEARCH(("SWING"),(AR36))))</formula>
    </cfRule>
    <cfRule type="containsText" priority="6463" operator="containsText" dxfId="0" text="NF">
      <formula>NOT(ISERROR(SEARCH(("NF"),(AR36))))</formula>
    </cfRule>
    <cfRule type="containsText" priority="6464" operator="containsText" dxfId="0" text="ICU N">
      <formula>NOT(ISERROR(SEARCH(("ICU N"),(AR36))))</formula>
    </cfRule>
    <cfRule type="containsText" priority="6436" operator="containsText" dxfId="7" text="PATH">
      <formula>NOT(ISERROR(SEARCH(("PATH"),(AR36))))</formula>
    </cfRule>
    <cfRule type="containsText" priority="6437" operator="containsText" dxfId="7" text="NEPHRO">
      <formula>NOT(ISERROR(SEARCH(("NEPHRO"),(AR36))))</formula>
    </cfRule>
    <cfRule type="containsText" priority="6438" operator="containsText" dxfId="7" text="PULM">
      <formula>NOT(ISERROR(SEARCH(("PULM"),(AR36))))</formula>
    </cfRule>
    <cfRule type="containsText" priority="6439" operator="containsText" dxfId="7" text="RADIOLOGY">
      <formula>NOT(ISERROR(SEARCH(("RADIOLOGY"),(AR36))))</formula>
    </cfRule>
    <cfRule type="containsText" priority="6440" operator="containsText" dxfId="7" text="HEM/ONC">
      <formula>NOT(ISERROR(SEARCH(("HEM/ONC"),(AR36))))</formula>
    </cfRule>
    <cfRule type="containsText" priority="6441" operator="containsText" dxfId="7" text="CARDIO">
      <formula>NOT(ISERROR(SEARCH(("CARDIO"),(AR36))))</formula>
    </cfRule>
    <cfRule type="containsText" priority="6442" operator="containsText" dxfId="7" text="ID">
      <formula>NOT(ISERROR(SEARCH(("ID"),(AR36))))</formula>
    </cfRule>
    <cfRule type="containsText" priority="6443" operator="containsText" dxfId="7" text="NEURO">
      <formula>NOT(ISERROR(SEARCH(("NEURO"),(AR36))))</formula>
    </cfRule>
    <cfRule type="containsText" priority="6444" operator="containsText" dxfId="6" text="NEURO">
      <formula>NOT(ISERROR(SEARCH(("NEURO"),(AR36))))</formula>
    </cfRule>
    <cfRule type="containsText" priority="6445" operator="containsText" dxfId="5" text="NEURO">
      <formula>NOT(ISERROR(SEARCH(("NEURO"),(AR36))))</formula>
    </cfRule>
    <cfRule type="containsText" priority="6446" operator="containsText" dxfId="0" text="ICU N">
      <formula>NOT(ISERROR(SEARCH(("ICU N"),(AR36))))</formula>
    </cfRule>
    <cfRule type="containsText" priority="6447" operator="containsText" dxfId="3" text="ICU">
      <formula>NOT(ISERROR(SEARCH(("ICU"),(AR36))))</formula>
    </cfRule>
    <cfRule type="containsText" priority="6448" operator="containsText" dxfId="0" text="SWING">
      <formula>NOT(ISERROR(SEARCH(("SWING"),(AR36))))</formula>
    </cfRule>
    <cfRule type="containsText" priority="6449" operator="containsText" dxfId="0" text="NF">
      <formula>NOT(ISERROR(SEARCH(("NF"),(AR36))))</formula>
    </cfRule>
  </conditionalFormatting>
  <conditionalFormatting sqref="AS44">
    <cfRule type="containsText" priority="6421" operator="containsText" dxfId="7" text="PATH">
      <formula>NOT(ISERROR(SEARCH(("PATH"),(AS44))))</formula>
    </cfRule>
    <cfRule type="containsText" priority="6422" operator="containsText" dxfId="7" text="NEPHRO">
      <formula>NOT(ISERROR(SEARCH(("NEPHRO"),(AS44))))</formula>
    </cfRule>
    <cfRule type="containsText" priority="6423" operator="containsText" dxfId="7" text="PULM">
      <formula>NOT(ISERROR(SEARCH(("PULM"),(AS44))))</formula>
    </cfRule>
    <cfRule type="containsText" priority="6424" operator="containsText" dxfId="7" text="RADIOLOGY">
      <formula>NOT(ISERROR(SEARCH(("RADIOLOGY"),(AS44))))</formula>
    </cfRule>
    <cfRule type="containsText" priority="6425" operator="containsText" dxfId="7" text="HEM/ONC">
      <formula>NOT(ISERROR(SEARCH(("HEM/ONC"),(AS44))))</formula>
    </cfRule>
    <cfRule type="containsText" priority="6426" operator="containsText" dxfId="7" text="CARDIO">
      <formula>NOT(ISERROR(SEARCH(("CARDIO"),(AS44))))</formula>
    </cfRule>
    <cfRule type="containsText" priority="6427" operator="containsText" dxfId="7" text="ID">
      <formula>NOT(ISERROR(SEARCH(("ID"),(AS44))))</formula>
    </cfRule>
    <cfRule type="containsText" priority="6428" operator="containsText" dxfId="7" text="NEURO">
      <formula>NOT(ISERROR(SEARCH(("NEURO"),(AS44))))</formula>
    </cfRule>
    <cfRule type="containsText" priority="6429" operator="containsText" dxfId="6" text="NEURO">
      <formula>NOT(ISERROR(SEARCH(("NEURO"),(AS44))))</formula>
    </cfRule>
    <cfRule type="containsText" priority="6430" operator="containsText" dxfId="5" text="NEURO">
      <formula>NOT(ISERROR(SEARCH(("NEURO"),(AS44))))</formula>
    </cfRule>
    <cfRule type="containsText" priority="6431" operator="containsText" dxfId="0" text="ICU N">
      <formula>NOT(ISERROR(SEARCH(("ICU N"),(AS44))))</formula>
    </cfRule>
    <cfRule type="containsText" priority="6432" operator="containsText" dxfId="3" text="ICU">
      <formula>NOT(ISERROR(SEARCH(("ICU"),(AS44))))</formula>
    </cfRule>
    <cfRule type="containsText" priority="6433" operator="containsText" dxfId="0" text="SWING">
      <formula>NOT(ISERROR(SEARCH(("SWING"),(AS44))))</formula>
    </cfRule>
    <cfRule type="containsText" priority="6434" operator="containsText" dxfId="0" text="NF">
      <formula>NOT(ISERROR(SEARCH(("NF"),(AS44))))</formula>
    </cfRule>
    <cfRule type="containsText" priority="6435" operator="containsText" dxfId="0" text="ICU N">
      <formula>NOT(ISERROR(SEARCH(("ICU N"),(AS44))))</formula>
    </cfRule>
    <cfRule type="containsText" priority="6407" operator="containsText" dxfId="7" text="PATH">
      <formula>NOT(ISERROR(SEARCH(("PATH"),(AS44))))</formula>
    </cfRule>
    <cfRule type="containsText" priority="6408" operator="containsText" dxfId="7" text="NEPHRO">
      <formula>NOT(ISERROR(SEARCH(("NEPHRO"),(AS44))))</formula>
    </cfRule>
    <cfRule type="containsText" priority="6409" operator="containsText" dxfId="7" text="PULM">
      <formula>NOT(ISERROR(SEARCH(("PULM"),(AS44))))</formula>
    </cfRule>
    <cfRule type="containsText" priority="6410" operator="containsText" dxfId="7" text="RADIOLOGY">
      <formula>NOT(ISERROR(SEARCH(("RADIOLOGY"),(AS44))))</formula>
    </cfRule>
    <cfRule type="containsText" priority="6411" operator="containsText" dxfId="7" text="HEM/ONC">
      <formula>NOT(ISERROR(SEARCH(("HEM/ONC"),(AS44))))</formula>
    </cfRule>
    <cfRule type="containsText" priority="6412" operator="containsText" dxfId="7" text="CARDIO">
      <formula>NOT(ISERROR(SEARCH(("CARDIO"),(AS44))))</formula>
    </cfRule>
    <cfRule type="containsText" priority="6413" operator="containsText" dxfId="7" text="ID">
      <formula>NOT(ISERROR(SEARCH(("ID"),(AS44))))</formula>
    </cfRule>
    <cfRule type="containsText" priority="6414" operator="containsText" dxfId="7" text="NEURO">
      <formula>NOT(ISERROR(SEARCH(("NEURO"),(AS44))))</formula>
    </cfRule>
    <cfRule type="containsText" priority="6415" operator="containsText" dxfId="6" text="NEURO">
      <formula>NOT(ISERROR(SEARCH(("NEURO"),(AS44))))</formula>
    </cfRule>
    <cfRule type="containsText" priority="6416" operator="containsText" dxfId="5" text="NEURO">
      <formula>NOT(ISERROR(SEARCH(("NEURO"),(AS44))))</formula>
    </cfRule>
    <cfRule type="containsText" priority="6417" operator="containsText" dxfId="0" text="ICU N">
      <formula>NOT(ISERROR(SEARCH(("ICU N"),(AS44))))</formula>
    </cfRule>
    <cfRule type="containsText" priority="6418" operator="containsText" dxfId="3" text="ICU">
      <formula>NOT(ISERROR(SEARCH(("ICU"),(AS44))))</formula>
    </cfRule>
    <cfRule type="containsText" priority="6419" operator="containsText" dxfId="0" text="SWING">
      <formula>NOT(ISERROR(SEARCH(("SWING"),(AS44))))</formula>
    </cfRule>
    <cfRule type="containsText" priority="6420" operator="containsText" dxfId="0" text="NF">
      <formula>NOT(ISERROR(SEARCH(("NF"),(AS44))))</formula>
    </cfRule>
  </conditionalFormatting>
  <conditionalFormatting sqref="AS40">
    <cfRule type="containsText" priority="6377" operator="containsText" dxfId="7" text="PATH">
      <formula>NOT(ISERROR(SEARCH(("PATH"),(AS40))))</formula>
    </cfRule>
    <cfRule type="containsText" priority="6378" operator="containsText" dxfId="7" text="NEPHRO">
      <formula>NOT(ISERROR(SEARCH(("NEPHRO"),(AS40))))</formula>
    </cfRule>
    <cfRule type="containsText" priority="6379" operator="containsText" dxfId="7" text="PULM">
      <formula>NOT(ISERROR(SEARCH(("PULM"),(AS40))))</formula>
    </cfRule>
    <cfRule type="containsText" priority="6380" operator="containsText" dxfId="7" text="RADIOLOGY">
      <formula>NOT(ISERROR(SEARCH(("RADIOLOGY"),(AS40))))</formula>
    </cfRule>
    <cfRule type="containsText" priority="6381" operator="containsText" dxfId="7" text="HEM/ONC">
      <formula>NOT(ISERROR(SEARCH(("HEM/ONC"),(AS40))))</formula>
    </cfRule>
    <cfRule type="containsText" priority="6382" operator="containsText" dxfId="7" text="CARDIO">
      <formula>NOT(ISERROR(SEARCH(("CARDIO"),(AS40))))</formula>
    </cfRule>
    <cfRule type="containsText" priority="6383" operator="containsText" dxfId="7" text="ID">
      <formula>NOT(ISERROR(SEARCH(("ID"),(AS40))))</formula>
    </cfRule>
    <cfRule type="containsText" priority="6384" operator="containsText" dxfId="7" text="NEURO">
      <formula>NOT(ISERROR(SEARCH(("NEURO"),(AS40))))</formula>
    </cfRule>
    <cfRule type="containsText" priority="6385" operator="containsText" dxfId="6" text="NEURO">
      <formula>NOT(ISERROR(SEARCH(("NEURO"),(AS40))))</formula>
    </cfRule>
    <cfRule type="containsText" priority="6386" operator="containsText" dxfId="5" text="NEURO">
      <formula>NOT(ISERROR(SEARCH(("NEURO"),(AS40))))</formula>
    </cfRule>
    <cfRule type="containsText" priority="6387" operator="containsText" dxfId="0" text="ICU N">
      <formula>NOT(ISERROR(SEARCH(("ICU N"),(AS40))))</formula>
    </cfRule>
    <cfRule type="containsText" priority="6388" operator="containsText" dxfId="3" text="ICU">
      <formula>NOT(ISERROR(SEARCH(("ICU"),(AS40))))</formula>
    </cfRule>
    <cfRule type="containsText" priority="6389" operator="containsText" dxfId="0" text="SWING">
      <formula>NOT(ISERROR(SEARCH(("SWING"),(AS40))))</formula>
    </cfRule>
    <cfRule type="containsText" priority="6390" operator="containsText" dxfId="0" text="NF">
      <formula>NOT(ISERROR(SEARCH(("NF"),(AS40))))</formula>
    </cfRule>
    <cfRule type="containsText" priority="6391" operator="containsText" dxfId="0" text="ICU N">
      <formula>NOT(ISERROR(SEARCH(("ICU N"),(AS40))))</formula>
    </cfRule>
    <cfRule type="containsText" priority="6392" operator="containsText" dxfId="7" text="PATH">
      <formula>NOT(ISERROR(SEARCH(("PATH"),(AS40))))</formula>
    </cfRule>
    <cfRule type="containsText" priority="6393" operator="containsText" dxfId="7" text="NEPHRO">
      <formula>NOT(ISERROR(SEARCH(("NEPHRO"),(AS40))))</formula>
    </cfRule>
    <cfRule type="containsText" priority="6394" operator="containsText" dxfId="7" text="PULM">
      <formula>NOT(ISERROR(SEARCH(("PULM"),(AS40))))</formula>
    </cfRule>
    <cfRule type="containsText" priority="6395" operator="containsText" dxfId="7" text="RADIOLOGY">
      <formula>NOT(ISERROR(SEARCH(("RADIOLOGY"),(AS40))))</formula>
    </cfRule>
    <cfRule type="containsText" priority="6396" operator="containsText" dxfId="7" text="HEM/ONC">
      <formula>NOT(ISERROR(SEARCH(("HEM/ONC"),(AS40))))</formula>
    </cfRule>
    <cfRule type="containsText" priority="6397" operator="containsText" dxfId="7" text="CARDIO">
      <formula>NOT(ISERROR(SEARCH(("CARDIO"),(AS40))))</formula>
    </cfRule>
    <cfRule type="containsText" priority="6398" operator="containsText" dxfId="7" text="ID">
      <formula>NOT(ISERROR(SEARCH(("ID"),(AS40))))</formula>
    </cfRule>
    <cfRule type="containsText" priority="6399" operator="containsText" dxfId="7" text="NEURO">
      <formula>NOT(ISERROR(SEARCH(("NEURO"),(AS40))))</formula>
    </cfRule>
    <cfRule type="containsText" priority="6400" operator="containsText" dxfId="6" text="NEURO">
      <formula>NOT(ISERROR(SEARCH(("NEURO"),(AS40))))</formula>
    </cfRule>
    <cfRule type="containsText" priority="6401" operator="containsText" dxfId="5" text="NEURO">
      <formula>NOT(ISERROR(SEARCH(("NEURO"),(AS40))))</formula>
    </cfRule>
    <cfRule type="containsText" priority="6402" operator="containsText" dxfId="0" text="ICU N">
      <formula>NOT(ISERROR(SEARCH(("ICU N"),(AS40))))</formula>
    </cfRule>
    <cfRule type="containsText" priority="6403" operator="containsText" dxfId="3" text="ICU">
      <formula>NOT(ISERROR(SEARCH(("ICU"),(AS40))))</formula>
    </cfRule>
    <cfRule type="containsText" priority="6404" operator="containsText" dxfId="0" text="SWING">
      <formula>NOT(ISERROR(SEARCH(("SWING"),(AS40))))</formula>
    </cfRule>
    <cfRule type="containsText" priority="6405" operator="containsText" dxfId="0" text="NF">
      <formula>NOT(ISERROR(SEARCH(("NF"),(AS40))))</formula>
    </cfRule>
    <cfRule type="containsText" priority="6406" operator="containsText" dxfId="0" text="ICU N">
      <formula>NOT(ISERROR(SEARCH(("ICU N"),(AS40))))</formula>
    </cfRule>
    <cfRule type="containsText" priority="6363" operator="containsText" dxfId="7" text="PATH">
      <formula>NOT(ISERROR(SEARCH(("PATH"),(AS40))))</formula>
    </cfRule>
    <cfRule type="containsText" priority="6364" operator="containsText" dxfId="7" text="NEPHRO">
      <formula>NOT(ISERROR(SEARCH(("NEPHRO"),(AS40))))</formula>
    </cfRule>
    <cfRule type="containsText" priority="6365" operator="containsText" dxfId="7" text="PULM">
      <formula>NOT(ISERROR(SEARCH(("PULM"),(AS40))))</formula>
    </cfRule>
    <cfRule type="containsText" priority="6366" operator="containsText" dxfId="7" text="RADIOLOGY">
      <formula>NOT(ISERROR(SEARCH(("RADIOLOGY"),(AS40))))</formula>
    </cfRule>
    <cfRule type="containsText" priority="6367" operator="containsText" dxfId="7" text="HEM/ONC">
      <formula>NOT(ISERROR(SEARCH(("HEM/ONC"),(AS40))))</formula>
    </cfRule>
    <cfRule type="containsText" priority="6368" operator="containsText" dxfId="7" text="CARDIO">
      <formula>NOT(ISERROR(SEARCH(("CARDIO"),(AS40))))</formula>
    </cfRule>
    <cfRule type="containsText" priority="6369" operator="containsText" dxfId="7" text="ID">
      <formula>NOT(ISERROR(SEARCH(("ID"),(AS40))))</formula>
    </cfRule>
    <cfRule type="containsText" priority="6370" operator="containsText" dxfId="7" text="NEURO">
      <formula>NOT(ISERROR(SEARCH(("NEURO"),(AS40))))</formula>
    </cfRule>
    <cfRule type="containsText" priority="6371" operator="containsText" dxfId="6" text="NEURO">
      <formula>NOT(ISERROR(SEARCH(("NEURO"),(AS40))))</formula>
    </cfRule>
    <cfRule type="containsText" priority="6372" operator="containsText" dxfId="5" text="NEURO">
      <formula>NOT(ISERROR(SEARCH(("NEURO"),(AS40))))</formula>
    </cfRule>
    <cfRule type="containsText" priority="6373" operator="containsText" dxfId="0" text="ICU N">
      <formula>NOT(ISERROR(SEARCH(("ICU N"),(AS40))))</formula>
    </cfRule>
    <cfRule type="containsText" priority="6374" operator="containsText" dxfId="3" text="ICU">
      <formula>NOT(ISERROR(SEARCH(("ICU"),(AS40))))</formula>
    </cfRule>
    <cfRule type="containsText" priority="6375" operator="containsText" dxfId="0" text="SWING">
      <formula>NOT(ISERROR(SEARCH(("SWING"),(AS40))))</formula>
    </cfRule>
    <cfRule type="containsText" priority="6376" operator="containsText" dxfId="0" text="NF">
      <formula>NOT(ISERROR(SEARCH(("NF"),(AS40))))</formula>
    </cfRule>
  </conditionalFormatting>
  <conditionalFormatting sqref="S4">
    <cfRule type="containsText" priority="6356" operator="containsText" dxfId="17" text="VACATION">
      <formula>NOT(ISERROR(SEARCH(("VACATION"),(S4))))</formula>
    </cfRule>
    <cfRule type="containsText" priority="6357" operator="containsText" dxfId="0" text="ICU N">
      <formula>NOT(ISERROR(SEARCH(("ICU N"),(S4))))</formula>
    </cfRule>
  </conditionalFormatting>
  <conditionalFormatting sqref="I55">
    <cfRule type="containsText" priority="6321" operator="containsText" dxfId="16" text="ED">
      <formula>NOT(ISERROR(SEARCH(("ED"),(I55))))</formula>
    </cfRule>
    <cfRule type="containsText" priority="6322" operator="containsText" dxfId="15" text="GERIATRIC">
      <formula>NOT(ISERROR(SEARCH(("GERIATRIC"),(I55))))</formula>
    </cfRule>
    <cfRule type="containsText" priority="6323" operator="containsText" dxfId="17" text="VACATION">
      <formula>NOT(ISERROR(SEARCH(("VACATION"),(I55))))</formula>
    </cfRule>
    <cfRule type="containsText" priority="6324" operator="containsText" dxfId="7" text="PATH">
      <formula>NOT(ISERROR(SEARCH(("PATH"),(I55))))</formula>
    </cfRule>
    <cfRule type="containsText" priority="6325" operator="containsText" dxfId="7" text="NEPHRO">
      <formula>NOT(ISERROR(SEARCH(("NEPHRO"),(I55))))</formula>
    </cfRule>
    <cfRule type="containsText" priority="6326" operator="containsText" dxfId="7" text="PULM">
      <formula>NOT(ISERROR(SEARCH(("PULM"),(I55))))</formula>
    </cfRule>
    <cfRule type="containsText" priority="6327" operator="containsText" dxfId="7" text="RADIOLOGY">
      <formula>NOT(ISERROR(SEARCH(("RADIOLOGY"),(I55))))</formula>
    </cfRule>
    <cfRule type="containsText" priority="6328" operator="containsText" dxfId="7" text="HEM/ONC">
      <formula>NOT(ISERROR(SEARCH(("HEM/ONC"),(I55))))</formula>
    </cfRule>
    <cfRule type="containsText" priority="6329" operator="containsText" dxfId="7" text="CARDIO">
      <formula>NOT(ISERROR(SEARCH(("CARDIO"),(I55))))</formula>
    </cfRule>
    <cfRule type="containsText" priority="6330" operator="containsText" dxfId="7" text="ID">
      <formula>NOT(ISERROR(SEARCH(("ID"),(I55))))</formula>
    </cfRule>
    <cfRule type="containsText" priority="6331" operator="containsText" dxfId="7" text="NEURO">
      <formula>NOT(ISERROR(SEARCH(("NEURO"),(I55))))</formula>
    </cfRule>
    <cfRule type="containsText" priority="6332" operator="containsText" dxfId="6" text="NEURO">
      <formula>NOT(ISERROR(SEARCH(("NEURO"),(I55))))</formula>
    </cfRule>
    <cfRule type="containsText" priority="6333" operator="containsText" dxfId="5" text="NEURO">
      <formula>NOT(ISERROR(SEARCH(("NEURO"),(I55))))</formula>
    </cfRule>
    <cfRule type="containsText" priority="6334" operator="containsText" dxfId="0" text="ICU N">
      <formula>NOT(ISERROR(SEARCH(("ICU N"),(I55))))</formula>
    </cfRule>
    <cfRule type="containsText" priority="6335" operator="containsText" dxfId="3" text="ICU">
      <formula>NOT(ISERROR(SEARCH(("ICU"),(I55))))</formula>
    </cfRule>
    <cfRule type="containsText" priority="6336" operator="containsText" dxfId="0" text="SWING">
      <formula>NOT(ISERROR(SEARCH(("SWING"),(I55))))</formula>
    </cfRule>
    <cfRule type="containsText" priority="6337" operator="containsText" dxfId="0" text="NF">
      <formula>NOT(ISERROR(SEARCH(("NF"),(I55))))</formula>
    </cfRule>
    <cfRule type="containsText" priority="6338" operator="containsText" dxfId="0" text="ICU N">
      <formula>NOT(ISERROR(SEARCH(("ICU N"),(I55))))</formula>
    </cfRule>
  </conditionalFormatting>
  <conditionalFormatting sqref="K55">
    <cfRule type="containsText" priority="6233" operator="containsText" dxfId="16" text="ED">
      <formula>NOT(ISERROR(SEARCH(("ED"),(K55))))</formula>
    </cfRule>
    <cfRule type="containsText" priority="6234" operator="containsText" dxfId="15" text="GERIATRIC">
      <formula>NOT(ISERROR(SEARCH(("GERIATRIC"),(K55))))</formula>
    </cfRule>
    <cfRule type="containsText" priority="6235" operator="containsText" dxfId="17" text="VACATION">
      <formula>NOT(ISERROR(SEARCH(("VACATION"),(K55))))</formula>
    </cfRule>
    <cfRule type="containsText" priority="6236" operator="containsText" dxfId="7" text="PATH">
      <formula>NOT(ISERROR(SEARCH(("PATH"),(K55))))</formula>
    </cfRule>
    <cfRule type="containsText" priority="6237" operator="containsText" dxfId="7" text="NEPHRO">
      <formula>NOT(ISERROR(SEARCH(("NEPHRO"),(K55))))</formula>
    </cfRule>
    <cfRule type="containsText" priority="6238" operator="containsText" dxfId="7" text="PULM">
      <formula>NOT(ISERROR(SEARCH(("PULM"),(K55))))</formula>
    </cfRule>
    <cfRule type="containsText" priority="6239" operator="containsText" dxfId="7" text="RADIOLOGY">
      <formula>NOT(ISERROR(SEARCH(("RADIOLOGY"),(K55))))</formula>
    </cfRule>
    <cfRule type="containsText" priority="6240" operator="containsText" dxfId="7" text="HEM/ONC">
      <formula>NOT(ISERROR(SEARCH(("HEM/ONC"),(K55))))</formula>
    </cfRule>
    <cfRule type="containsText" priority="6241" operator="containsText" dxfId="7" text="CARDIO">
      <formula>NOT(ISERROR(SEARCH(("CARDIO"),(K55))))</formula>
    </cfRule>
    <cfRule type="containsText" priority="6242" operator="containsText" dxfId="7" text="ID">
      <formula>NOT(ISERROR(SEARCH(("ID"),(K55))))</formula>
    </cfRule>
    <cfRule type="containsText" priority="6243" operator="containsText" dxfId="7" text="NEURO">
      <formula>NOT(ISERROR(SEARCH(("NEURO"),(K55))))</formula>
    </cfRule>
    <cfRule type="containsText" priority="6244" operator="containsText" dxfId="6" text="NEURO">
      <formula>NOT(ISERROR(SEARCH(("NEURO"),(K55))))</formula>
    </cfRule>
    <cfRule type="containsText" priority="6245" operator="containsText" dxfId="5" text="NEURO">
      <formula>NOT(ISERROR(SEARCH(("NEURO"),(K55))))</formula>
    </cfRule>
    <cfRule type="containsText" priority="6246" operator="containsText" dxfId="0" text="ICU N">
      <formula>NOT(ISERROR(SEARCH(("ICU N"),(K55))))</formula>
    </cfRule>
    <cfRule type="containsText" priority="6247" operator="containsText" dxfId="3" text="ICU">
      <formula>NOT(ISERROR(SEARCH(("ICU"),(K55))))</formula>
    </cfRule>
    <cfRule type="containsText" priority="6248" operator="containsText" dxfId="0" text="SWING">
      <formula>NOT(ISERROR(SEARCH(("SWING"),(K55))))</formula>
    </cfRule>
    <cfRule type="containsText" priority="6249" operator="containsText" dxfId="0" text="NF">
      <formula>NOT(ISERROR(SEARCH(("NF"),(K55))))</formula>
    </cfRule>
    <cfRule type="containsText" priority="6250" operator="containsText" dxfId="0" text="ICU N">
      <formula>NOT(ISERROR(SEARCH(("ICU N"),(K55))))</formula>
    </cfRule>
  </conditionalFormatting>
  <conditionalFormatting sqref="AB51">
    <cfRule type="containsText" priority="6230" operator="containsText" dxfId="16" text="ED">
      <formula>NOT(ISERROR(SEARCH(("ED"),(AB51))))</formula>
    </cfRule>
    <cfRule type="containsText" priority="6231" operator="containsText" dxfId="17" text="VACATION">
      <formula>NOT(ISERROR(SEARCH(("VACATION"),(AB51))))</formula>
    </cfRule>
    <cfRule type="containsText" priority="6232" operator="containsText" dxfId="0" text="ICU N">
      <formula>NOT(ISERROR(SEARCH(("ICU N"),(AB51))))</formula>
    </cfRule>
  </conditionalFormatting>
  <conditionalFormatting sqref="J54">
    <cfRule type="containsText" priority="6195" operator="containsText" dxfId="16" text="ED">
      <formula>NOT(ISERROR(SEARCH(("ED"),(J54))))</formula>
    </cfRule>
    <cfRule type="containsText" priority="6196" operator="containsText" dxfId="15" text="GERIATRIC">
      <formula>NOT(ISERROR(SEARCH(("GERIATRIC"),(J54))))</formula>
    </cfRule>
    <cfRule type="containsText" priority="6197" operator="containsText" dxfId="17" text="VACATION">
      <formula>NOT(ISERROR(SEARCH(("VACATION"),(J54))))</formula>
    </cfRule>
    <cfRule type="containsText" priority="6198" operator="containsText" dxfId="7" text="PATH">
      <formula>NOT(ISERROR(SEARCH(("PATH"),(J54))))</formula>
    </cfRule>
    <cfRule type="containsText" priority="6199" operator="containsText" dxfId="7" text="NEPHRO">
      <formula>NOT(ISERROR(SEARCH(("NEPHRO"),(J54))))</formula>
    </cfRule>
    <cfRule type="containsText" priority="6200" operator="containsText" dxfId="7" text="PULM">
      <formula>NOT(ISERROR(SEARCH(("PULM"),(J54))))</formula>
    </cfRule>
    <cfRule type="containsText" priority="6201" operator="containsText" dxfId="7" text="RADIOLOGY">
      <formula>NOT(ISERROR(SEARCH(("RADIOLOGY"),(J54))))</formula>
    </cfRule>
    <cfRule type="containsText" priority="6202" operator="containsText" dxfId="7" text="HEM/ONC">
      <formula>NOT(ISERROR(SEARCH(("HEM/ONC"),(J54))))</formula>
    </cfRule>
    <cfRule type="containsText" priority="6203" operator="containsText" dxfId="7" text="CARDIO">
      <formula>NOT(ISERROR(SEARCH(("CARDIO"),(J54))))</formula>
    </cfRule>
    <cfRule type="containsText" priority="6204" operator="containsText" dxfId="7" text="ID">
      <formula>NOT(ISERROR(SEARCH(("ID"),(J54))))</formula>
    </cfRule>
    <cfRule type="containsText" priority="6205" operator="containsText" dxfId="7" text="NEURO">
      <formula>NOT(ISERROR(SEARCH(("NEURO"),(J54))))</formula>
    </cfRule>
    <cfRule type="containsText" priority="6206" operator="containsText" dxfId="6" text="NEURO">
      <formula>NOT(ISERROR(SEARCH(("NEURO"),(J54))))</formula>
    </cfRule>
    <cfRule type="containsText" priority="6207" operator="containsText" dxfId="5" text="NEURO">
      <formula>NOT(ISERROR(SEARCH(("NEURO"),(J54))))</formula>
    </cfRule>
    <cfRule type="containsText" priority="6208" operator="containsText" dxfId="0" text="ICU N">
      <formula>NOT(ISERROR(SEARCH(("ICU N"),(J54))))</formula>
    </cfRule>
    <cfRule type="containsText" priority="6209" operator="containsText" dxfId="3" text="ICU">
      <formula>NOT(ISERROR(SEARCH(("ICU"),(J54))))</formula>
    </cfRule>
    <cfRule type="containsText" priority="6210" operator="containsText" dxfId="0" text="SWING">
      <formula>NOT(ISERROR(SEARCH(("SWING"),(J54))))</formula>
    </cfRule>
    <cfRule type="containsText" priority="6211" operator="containsText" dxfId="0" text="NF">
      <formula>NOT(ISERROR(SEARCH(("NF"),(J54))))</formula>
    </cfRule>
    <cfRule type="containsText" priority="6212" operator="containsText" dxfId="0" text="ICU N">
      <formula>NOT(ISERROR(SEARCH(("ICU N"),(J54))))</formula>
    </cfRule>
  </conditionalFormatting>
  <conditionalFormatting sqref="BB12:BB13">
    <cfRule type="containsText" priority="6194" operator="containsText" dxfId="0" text="ICU N">
      <formula>NOT(ISERROR(SEARCH(("ICU N"),(BB12))))</formula>
    </cfRule>
  </conditionalFormatting>
  <conditionalFormatting sqref="AW13">
    <cfRule type="containsText" priority="6090" operator="containsText" dxfId="17" text="VACATION">
      <formula>NOT(ISERROR(SEARCH(("VACATION"),(AW13))))</formula>
    </cfRule>
    <cfRule type="containsText" priority="6091" operator="containsText" dxfId="16" text="ED">
      <formula>NOT(ISERROR(SEARCH(("ED"),(AW13))))</formula>
    </cfRule>
    <cfRule type="containsText" priority="6092" operator="containsText" dxfId="15" text="GERIATRIC">
      <formula>NOT(ISERROR(SEARCH(("GERIATRIC"),(AW13))))</formula>
    </cfRule>
    <cfRule type="containsText" priority="6093" operator="containsText" dxfId="7" text="PATH">
      <formula>NOT(ISERROR(SEARCH(("PATH"),(AW13))))</formula>
    </cfRule>
    <cfRule type="containsText" priority="6094" operator="containsText" dxfId="7" text="NEPHRO">
      <formula>NOT(ISERROR(SEARCH(("NEPHRO"),(AW13))))</formula>
    </cfRule>
    <cfRule type="containsText" priority="6095" operator="containsText" dxfId="7" text="PULM">
      <formula>NOT(ISERROR(SEARCH(("PULM"),(AW13))))</formula>
    </cfRule>
    <cfRule type="containsText" priority="6096" operator="containsText" dxfId="7" text="RADIOLOGY">
      <formula>NOT(ISERROR(SEARCH(("RADIOLOGY"),(AW13))))</formula>
    </cfRule>
    <cfRule type="containsText" priority="6097" operator="containsText" dxfId="7" text="HEM/ONC">
      <formula>NOT(ISERROR(SEARCH(("HEM/ONC"),(AW13))))</formula>
    </cfRule>
    <cfRule type="containsText" priority="6098" operator="containsText" dxfId="7" text="CARDIO">
      <formula>NOT(ISERROR(SEARCH(("CARDIO"),(AW13))))</formula>
    </cfRule>
    <cfRule type="containsText" priority="6099" operator="containsText" dxfId="7" text="ID">
      <formula>NOT(ISERROR(SEARCH(("ID"),(AW13))))</formula>
    </cfRule>
    <cfRule type="containsText" priority="6100" operator="containsText" dxfId="7" text="NEURO">
      <formula>NOT(ISERROR(SEARCH(("NEURO"),(AW13))))</formula>
    </cfRule>
    <cfRule type="containsText" priority="6101" operator="containsText" dxfId="6" text="NEURO">
      <formula>NOT(ISERROR(SEARCH(("NEURO"),(AW13))))</formula>
    </cfRule>
    <cfRule type="containsText" priority="6102" operator="containsText" dxfId="5" text="NEURO">
      <formula>NOT(ISERROR(SEARCH(("NEURO"),(AW13))))</formula>
    </cfRule>
    <cfRule type="containsText" priority="6103" operator="containsText" dxfId="0" text="ICU N">
      <formula>NOT(ISERROR(SEARCH(("ICU N"),(AW13))))</formula>
    </cfRule>
    <cfRule type="containsText" priority="6104" operator="containsText" dxfId="3" text="ICU">
      <formula>NOT(ISERROR(SEARCH(("ICU"),(AW13))))</formula>
    </cfRule>
    <cfRule type="containsText" priority="6105" operator="containsText" dxfId="0" text="SWING">
      <formula>NOT(ISERROR(SEARCH(("SWING"),(AW13))))</formula>
    </cfRule>
    <cfRule type="containsText" priority="6106" operator="containsText" dxfId="0" text="NF">
      <formula>NOT(ISERROR(SEARCH(("NF"),(AW13))))</formula>
    </cfRule>
  </conditionalFormatting>
  <conditionalFormatting sqref="AL32">
    <cfRule type="containsText" priority="6087" operator="containsText" dxfId="16" text="ED">
      <formula>NOT(ISERROR(SEARCH(("ED"),(AL32))))</formula>
    </cfRule>
    <cfRule type="containsText" priority="6088" operator="containsText" dxfId="17" text="VACATION">
      <formula>NOT(ISERROR(SEARCH(("VACATION"),(AL32))))</formula>
    </cfRule>
    <cfRule type="containsText" priority="6089" operator="containsText" dxfId="0" text="ICU N">
      <formula>NOT(ISERROR(SEARCH(("ICU N"),(AL32))))</formula>
    </cfRule>
    <cfRule type="containsText" priority="6069" operator="containsText" dxfId="16" text="ED">
      <formula>NOT(ISERROR(SEARCH(("ED"),(AL32))))</formula>
    </cfRule>
    <cfRule type="containsText" priority="6070" operator="containsText" dxfId="15" text="GERIATRIC">
      <formula>NOT(ISERROR(SEARCH(("GERIATRIC"),(AL32))))</formula>
    </cfRule>
    <cfRule type="containsText" priority="6071" operator="containsText" dxfId="17" text="VACATION">
      <formula>NOT(ISERROR(SEARCH(("VACATION"),(AL32))))</formula>
    </cfRule>
    <cfRule type="containsText" priority="6072" operator="containsText" dxfId="7" text="PATH">
      <formula>NOT(ISERROR(SEARCH(("PATH"),(AL32))))</formula>
    </cfRule>
    <cfRule type="containsText" priority="6073" operator="containsText" dxfId="7" text="NEPHRO">
      <formula>NOT(ISERROR(SEARCH(("NEPHRO"),(AL32))))</formula>
    </cfRule>
    <cfRule type="containsText" priority="6074" operator="containsText" dxfId="7" text="PULM">
      <formula>NOT(ISERROR(SEARCH(("PULM"),(AL32))))</formula>
    </cfRule>
    <cfRule type="containsText" priority="6075" operator="containsText" dxfId="7" text="RADIOLOGY">
      <formula>NOT(ISERROR(SEARCH(("RADIOLOGY"),(AL32))))</formula>
    </cfRule>
    <cfRule type="containsText" priority="6076" operator="containsText" dxfId="7" text="HEM/ONC">
      <formula>NOT(ISERROR(SEARCH(("HEM/ONC"),(AL32))))</formula>
    </cfRule>
    <cfRule type="containsText" priority="6077" operator="containsText" dxfId="7" text="CARDIO">
      <formula>NOT(ISERROR(SEARCH(("CARDIO"),(AL32))))</formula>
    </cfRule>
    <cfRule type="containsText" priority="6078" operator="containsText" dxfId="7" text="ID">
      <formula>NOT(ISERROR(SEARCH(("ID"),(AL32))))</formula>
    </cfRule>
    <cfRule type="containsText" priority="6079" operator="containsText" dxfId="7" text="NEURO">
      <formula>NOT(ISERROR(SEARCH(("NEURO"),(AL32))))</formula>
    </cfRule>
    <cfRule type="containsText" priority="6080" operator="containsText" dxfId="6" text="NEURO">
      <formula>NOT(ISERROR(SEARCH(("NEURO"),(AL32))))</formula>
    </cfRule>
    <cfRule type="containsText" priority="6081" operator="containsText" dxfId="5" text="NEURO">
      <formula>NOT(ISERROR(SEARCH(("NEURO"),(AL32))))</formula>
    </cfRule>
    <cfRule type="containsText" priority="6082" operator="containsText" dxfId="0" text="ICU N">
      <formula>NOT(ISERROR(SEARCH(("ICU N"),(AL32))))</formula>
    </cfRule>
    <cfRule type="containsText" priority="6083" operator="containsText" dxfId="3" text="ICU">
      <formula>NOT(ISERROR(SEARCH(("ICU"),(AL32))))</formula>
    </cfRule>
    <cfRule type="containsText" priority="6084" operator="containsText" dxfId="0" text="SWING">
      <formula>NOT(ISERROR(SEARCH(("SWING"),(AL32))))</formula>
    </cfRule>
    <cfRule type="containsText" priority="6085" operator="containsText" dxfId="0" text="NF">
      <formula>NOT(ISERROR(SEARCH(("NF"),(AL32))))</formula>
    </cfRule>
    <cfRule type="containsText" priority="6086" operator="containsText" dxfId="0" text="ICU N">
      <formula>NOT(ISERROR(SEARCH(("ICU N"),(AL32))))</formula>
    </cfRule>
    <cfRule type="containsText" priority="6052" operator="containsText" dxfId="17" text="VACATION">
      <formula>NOT(ISERROR(SEARCH(("VACATION"),(AL32))))</formula>
    </cfRule>
    <cfRule type="containsText" priority="6053" operator="containsText" dxfId="16" text="ED">
      <formula>NOT(ISERROR(SEARCH(("ED"),(AL32))))</formula>
    </cfRule>
    <cfRule type="containsText" priority="6054" operator="containsText" dxfId="15" text="GERIATRIC">
      <formula>NOT(ISERROR(SEARCH(("GERIATRIC"),(AL32))))</formula>
    </cfRule>
    <cfRule type="containsText" priority="6055" operator="containsText" dxfId="7" text="PATH">
      <formula>NOT(ISERROR(SEARCH(("PATH"),(AL32))))</formula>
    </cfRule>
    <cfRule type="containsText" priority="6056" operator="containsText" dxfId="7" text="NEPHRO">
      <formula>NOT(ISERROR(SEARCH(("NEPHRO"),(AL32))))</formula>
    </cfRule>
    <cfRule type="containsText" priority="6057" operator="containsText" dxfId="7" text="PULM">
      <formula>NOT(ISERROR(SEARCH(("PULM"),(AL32))))</formula>
    </cfRule>
    <cfRule type="containsText" priority="6058" operator="containsText" dxfId="7" text="RADIOLOGY">
      <formula>NOT(ISERROR(SEARCH(("RADIOLOGY"),(AL32))))</formula>
    </cfRule>
    <cfRule type="containsText" priority="6059" operator="containsText" dxfId="7" text="HEM/ONC">
      <formula>NOT(ISERROR(SEARCH(("HEM/ONC"),(AL32))))</formula>
    </cfRule>
    <cfRule type="containsText" priority="6060" operator="containsText" dxfId="7" text="CARDIO">
      <formula>NOT(ISERROR(SEARCH(("CARDIO"),(AL32))))</formula>
    </cfRule>
    <cfRule type="containsText" priority="6061" operator="containsText" dxfId="7" text="ID">
      <formula>NOT(ISERROR(SEARCH(("ID"),(AL32))))</formula>
    </cfRule>
    <cfRule type="containsText" priority="6062" operator="containsText" dxfId="7" text="NEURO">
      <formula>NOT(ISERROR(SEARCH(("NEURO"),(AL32))))</formula>
    </cfRule>
    <cfRule type="containsText" priority="6063" operator="containsText" dxfId="6" text="NEURO">
      <formula>NOT(ISERROR(SEARCH(("NEURO"),(AL32))))</formula>
    </cfRule>
    <cfRule type="containsText" priority="6064" operator="containsText" dxfId="5" text="NEURO">
      <formula>NOT(ISERROR(SEARCH(("NEURO"),(AL32))))</formula>
    </cfRule>
    <cfRule type="containsText" priority="6065" operator="containsText" dxfId="0" text="ICU N">
      <formula>NOT(ISERROR(SEARCH(("ICU N"),(AL32))))</formula>
    </cfRule>
    <cfRule type="containsText" priority="6066" operator="containsText" dxfId="3" text="ICU">
      <formula>NOT(ISERROR(SEARCH(("ICU"),(AL32))))</formula>
    </cfRule>
    <cfRule type="containsText" priority="6067" operator="containsText" dxfId="0" text="SWING">
      <formula>NOT(ISERROR(SEARCH(("SWING"),(AL32))))</formula>
    </cfRule>
    <cfRule type="containsText" priority="6068" operator="containsText" dxfId="0" text="NF">
      <formula>NOT(ISERROR(SEARCH(("NF"),(AL32))))</formula>
    </cfRule>
    <cfRule type="containsText" priority="6037" operator="containsText" dxfId="7" text="PATH">
      <formula>NOT(ISERROR(SEARCH(("PATH"),(AL32))))</formula>
    </cfRule>
    <cfRule type="containsText" priority="6038" operator="containsText" dxfId="7" text="NEPHRO">
      <formula>NOT(ISERROR(SEARCH(("NEPHRO"),(AL32))))</formula>
    </cfRule>
    <cfRule type="containsText" priority="6039" operator="containsText" dxfId="7" text="PULM">
      <formula>NOT(ISERROR(SEARCH(("PULM"),(AL32))))</formula>
    </cfRule>
    <cfRule type="containsText" priority="6040" operator="containsText" dxfId="7" text="RADIOLOGY">
      <formula>NOT(ISERROR(SEARCH(("RADIOLOGY"),(AL32))))</formula>
    </cfRule>
    <cfRule type="containsText" priority="6041" operator="containsText" dxfId="7" text="HEM/ONC">
      <formula>NOT(ISERROR(SEARCH(("HEM/ONC"),(AL32))))</formula>
    </cfRule>
    <cfRule type="containsText" priority="6042" operator="containsText" dxfId="7" text="CARDIO">
      <formula>NOT(ISERROR(SEARCH(("CARDIO"),(AL32))))</formula>
    </cfRule>
    <cfRule type="containsText" priority="6043" operator="containsText" dxfId="7" text="ID">
      <formula>NOT(ISERROR(SEARCH(("ID"),(AL32))))</formula>
    </cfRule>
    <cfRule type="containsText" priority="6044" operator="containsText" dxfId="7" text="NEURO">
      <formula>NOT(ISERROR(SEARCH(("NEURO"),(AL32))))</formula>
    </cfRule>
    <cfRule type="containsText" priority="6045" operator="containsText" dxfId="6" text="NEURO">
      <formula>NOT(ISERROR(SEARCH(("NEURO"),(AL32))))</formula>
    </cfRule>
    <cfRule type="containsText" priority="6046" operator="containsText" dxfId="5" text="NEURO">
      <formula>NOT(ISERROR(SEARCH(("NEURO"),(AL32))))</formula>
    </cfRule>
    <cfRule type="containsText" priority="6047" operator="containsText" dxfId="0" text="ICU N">
      <formula>NOT(ISERROR(SEARCH(("ICU N"),(AL32))))</formula>
    </cfRule>
    <cfRule type="containsText" priority="6048" operator="containsText" dxfId="3" text="ICU">
      <formula>NOT(ISERROR(SEARCH(("ICU"),(AL32))))</formula>
    </cfRule>
    <cfRule type="containsText" priority="6049" operator="containsText" dxfId="0" text="SWING">
      <formula>NOT(ISERROR(SEARCH(("SWING"),(AL32))))</formula>
    </cfRule>
    <cfRule type="containsText" priority="6050" operator="containsText" dxfId="0" text="NF">
      <formula>NOT(ISERROR(SEARCH(("NF"),(AL32))))</formula>
    </cfRule>
    <cfRule type="containsText" priority="6051" operator="containsText" dxfId="0" text="ICU N">
      <formula>NOT(ISERROR(SEARCH(("ICU N"),(AL32))))</formula>
    </cfRule>
  </conditionalFormatting>
  <conditionalFormatting sqref="AB24">
    <cfRule type="containsText" priority="5963" operator="containsText" dxfId="17" text="VACATION">
      <formula>NOT(ISERROR(SEARCH(("VACATION"),(AB24))))</formula>
    </cfRule>
    <cfRule type="containsText" priority="5964" operator="containsText" dxfId="0" text="ICU N">
      <formula>NOT(ISERROR(SEARCH(("ICU N"),(AB24))))</formula>
    </cfRule>
  </conditionalFormatting>
  <conditionalFormatting sqref="Y31">
    <cfRule type="containsText" priority="5920" operator="containsText" dxfId="17" text="VACATION">
      <formula>NOT(ISERROR(SEARCH(("VACATION"),(Y31))))</formula>
    </cfRule>
    <cfRule type="containsText" priority="5921" operator="containsText" dxfId="0" text="ICU N">
      <formula>NOT(ISERROR(SEARCH(("ICU N"),(Y31))))</formula>
    </cfRule>
    <cfRule type="containsText" priority="5919" operator="containsText" dxfId="17" text="VACATION">
      <formula>NOT(ISERROR(SEARCH(("VACATION"),(Y31))))</formula>
    </cfRule>
    <cfRule type="containsText" priority="5904" operator="containsText" dxfId="7" text="PATH">
      <formula>NOT(ISERROR(SEARCH(("PATH"),(Y31))))</formula>
    </cfRule>
    <cfRule type="containsText" priority="5905" operator="containsText" dxfId="7" text="NEPHRO">
      <formula>NOT(ISERROR(SEARCH(("NEPHRO"),(Y31))))</formula>
    </cfRule>
    <cfRule type="containsText" priority="5906" operator="containsText" dxfId="7" text="PULM">
      <formula>NOT(ISERROR(SEARCH(("PULM"),(Y31))))</formula>
    </cfRule>
    <cfRule type="containsText" priority="5907" operator="containsText" dxfId="7" text="RADIOLOGY">
      <formula>NOT(ISERROR(SEARCH(("RADIOLOGY"),(Y31))))</formula>
    </cfRule>
    <cfRule type="containsText" priority="5908" operator="containsText" dxfId="7" text="HEM/ONC">
      <formula>NOT(ISERROR(SEARCH(("HEM/ONC"),(Y31))))</formula>
    </cfRule>
    <cfRule type="containsText" priority="5909" operator="containsText" dxfId="7" text="CARDIO">
      <formula>NOT(ISERROR(SEARCH(("CARDIO"),(Y31))))</formula>
    </cfRule>
    <cfRule type="containsText" priority="5910" operator="containsText" dxfId="7" text="ID">
      <formula>NOT(ISERROR(SEARCH(("ID"),(Y31))))</formula>
    </cfRule>
    <cfRule type="containsText" priority="5911" operator="containsText" dxfId="7" text="NEURO">
      <formula>NOT(ISERROR(SEARCH(("NEURO"),(Y31))))</formula>
    </cfRule>
    <cfRule type="containsText" priority="5912" operator="containsText" dxfId="6" text="NEURO">
      <formula>NOT(ISERROR(SEARCH(("NEURO"),(Y31))))</formula>
    </cfRule>
    <cfRule type="containsText" priority="5913" operator="containsText" dxfId="5" text="NEURO">
      <formula>NOT(ISERROR(SEARCH(("NEURO"),(Y31))))</formula>
    </cfRule>
    <cfRule type="containsText" priority="5914" operator="containsText" dxfId="0" text="ICU N">
      <formula>NOT(ISERROR(SEARCH(("ICU N"),(Y31))))</formula>
    </cfRule>
    <cfRule type="containsText" priority="5915" operator="containsText" dxfId="3" text="ICU">
      <formula>NOT(ISERROR(SEARCH(("ICU"),(Y31))))</formula>
    </cfRule>
    <cfRule type="containsText" priority="5916" operator="containsText" dxfId="0" text="SWING">
      <formula>NOT(ISERROR(SEARCH(("SWING"),(Y31))))</formula>
    </cfRule>
    <cfRule type="containsText" priority="5917" operator="containsText" dxfId="0" text="NF">
      <formula>NOT(ISERROR(SEARCH(("NF"),(Y31))))</formula>
    </cfRule>
    <cfRule type="containsText" priority="5918" operator="containsText" dxfId="0" text="ICU N">
      <formula>NOT(ISERROR(SEARCH(("ICU N"),(Y31))))</formula>
    </cfRule>
    <cfRule type="containsText" priority="4754" operator="containsText" dxfId="17" text="VACATION">
      <formula>NOT(ISERROR(SEARCH(("VACATION"),(Y31))))</formula>
    </cfRule>
    <cfRule type="containsText" priority="4755" operator="containsText" dxfId="0" text="ICU N">
      <formula>NOT(ISERROR(SEARCH(("ICU N"),(Y31))))</formula>
    </cfRule>
    <cfRule type="containsText" priority="4740" operator="containsText" dxfId="15" text="GERIATRIC">
      <formula>NOT(ISERROR(SEARCH(("GERIATRIC"),(Y31))))</formula>
    </cfRule>
    <cfRule type="containsText" priority="4741" operator="containsText" dxfId="7" text="PATH">
      <formula>NOT(ISERROR(SEARCH(("PATH"),(Y31))))</formula>
    </cfRule>
    <cfRule type="containsText" priority="4742" operator="containsText" dxfId="7" text="NEPHRO">
      <formula>NOT(ISERROR(SEARCH(("NEPHRO"),(Y31))))</formula>
    </cfRule>
    <cfRule type="containsText" priority="4743" operator="containsText" dxfId="7" text="PULM">
      <formula>NOT(ISERROR(SEARCH(("PULM"),(Y31))))</formula>
    </cfRule>
    <cfRule type="containsText" priority="4744" operator="containsText" dxfId="7" text="RADIOLOGY">
      <formula>NOT(ISERROR(SEARCH(("RADIOLOGY"),(Y31))))</formula>
    </cfRule>
    <cfRule type="containsText" priority="4745" operator="containsText" dxfId="7" text="HEM/ONC">
      <formula>NOT(ISERROR(SEARCH(("HEM/ONC"),(Y31))))</formula>
    </cfRule>
    <cfRule type="containsText" priority="4746" operator="containsText" dxfId="7" text="CARDIO">
      <formula>NOT(ISERROR(SEARCH(("CARDIO"),(Y31))))</formula>
    </cfRule>
    <cfRule type="containsText" priority="4747" operator="containsText" dxfId="7" text="ID">
      <formula>NOT(ISERROR(SEARCH(("ID"),(Y31))))</formula>
    </cfRule>
    <cfRule type="containsText" priority="4748" operator="containsText" dxfId="7" text="NEURO">
      <formula>NOT(ISERROR(SEARCH(("NEURO"),(Y31))))</formula>
    </cfRule>
    <cfRule type="containsText" priority="4749" operator="containsText" dxfId="6" text="NEURO">
      <formula>NOT(ISERROR(SEARCH(("NEURO"),(Y31))))</formula>
    </cfRule>
    <cfRule type="containsText" priority="4750" operator="containsText" dxfId="5" text="NEURO">
      <formula>NOT(ISERROR(SEARCH(("NEURO"),(Y31))))</formula>
    </cfRule>
    <cfRule type="containsText" priority="4751" operator="containsText" dxfId="3" text="ICU">
      <formula>NOT(ISERROR(SEARCH(("ICU"),(Y31))))</formula>
    </cfRule>
    <cfRule type="containsText" priority="4752" operator="containsText" dxfId="0" text="SWING">
      <formula>NOT(ISERROR(SEARCH(("SWING"),(Y31))))</formula>
    </cfRule>
    <cfRule type="containsText" priority="4753" operator="containsText" dxfId="0" text="NF">
      <formula>NOT(ISERROR(SEARCH(("NF"),(Y31))))</formula>
    </cfRule>
  </conditionalFormatting>
  <conditionalFormatting sqref="Y49">
    <cfRule type="containsText" priority="5898" operator="containsText" dxfId="16" text="ED">
      <formula>NOT(ISERROR(SEARCH(("ED"),(Y49))))</formula>
    </cfRule>
    <cfRule type="containsText" priority="5899" operator="containsText" dxfId="17" text="VACATION">
      <formula>NOT(ISERROR(SEARCH(("VACATION"),(Y49))))</formula>
    </cfRule>
    <cfRule type="containsText" priority="5900" operator="containsText" dxfId="0" text="ICU N">
      <formula>NOT(ISERROR(SEARCH(("ICU N"),(Y49))))</formula>
    </cfRule>
    <cfRule type="containsText" priority="5880" operator="containsText" dxfId="16" text="ED">
      <formula>NOT(ISERROR(SEARCH(("ED"),(Y49))))</formula>
    </cfRule>
    <cfRule type="containsText" priority="5881" operator="containsText" dxfId="15" text="GERIATRIC">
      <formula>NOT(ISERROR(SEARCH(("GERIATRIC"),(Y49))))</formula>
    </cfRule>
    <cfRule type="containsText" priority="5882" operator="containsText" dxfId="17" text="VACATION">
      <formula>NOT(ISERROR(SEARCH(("VACATION"),(Y49))))</formula>
    </cfRule>
    <cfRule type="containsText" priority="5883" operator="containsText" dxfId="7" text="PATH">
      <formula>NOT(ISERROR(SEARCH(("PATH"),(Y49))))</formula>
    </cfRule>
    <cfRule type="containsText" priority="5884" operator="containsText" dxfId="7" text="NEPHRO">
      <formula>NOT(ISERROR(SEARCH(("NEPHRO"),(Y49))))</formula>
    </cfRule>
    <cfRule type="containsText" priority="5885" operator="containsText" dxfId="7" text="PULM">
      <formula>NOT(ISERROR(SEARCH(("PULM"),(Y49))))</formula>
    </cfRule>
    <cfRule type="containsText" priority="5886" operator="containsText" dxfId="7" text="RADIOLOGY">
      <formula>NOT(ISERROR(SEARCH(("RADIOLOGY"),(Y49))))</formula>
    </cfRule>
    <cfRule type="containsText" priority="5887" operator="containsText" dxfId="7" text="HEM/ONC">
      <formula>NOT(ISERROR(SEARCH(("HEM/ONC"),(Y49))))</formula>
    </cfRule>
    <cfRule type="containsText" priority="5888" operator="containsText" dxfId="7" text="CARDIO">
      <formula>NOT(ISERROR(SEARCH(("CARDIO"),(Y49))))</formula>
    </cfRule>
    <cfRule type="containsText" priority="5889" operator="containsText" dxfId="7" text="ID">
      <formula>NOT(ISERROR(SEARCH(("ID"),(Y49))))</formula>
    </cfRule>
    <cfRule type="containsText" priority="5890" operator="containsText" dxfId="7" text="NEURO">
      <formula>NOT(ISERROR(SEARCH(("NEURO"),(Y49))))</formula>
    </cfRule>
    <cfRule type="containsText" priority="5891" operator="containsText" dxfId="6" text="NEURO">
      <formula>NOT(ISERROR(SEARCH(("NEURO"),(Y49))))</formula>
    </cfRule>
    <cfRule type="containsText" priority="5892" operator="containsText" dxfId="5" text="NEURO">
      <formula>NOT(ISERROR(SEARCH(("NEURO"),(Y49))))</formula>
    </cfRule>
    <cfRule type="containsText" priority="5893" operator="containsText" dxfId="0" text="ICU N">
      <formula>NOT(ISERROR(SEARCH(("ICU N"),(Y49))))</formula>
    </cfRule>
    <cfRule type="containsText" priority="5894" operator="containsText" dxfId="3" text="ICU">
      <formula>NOT(ISERROR(SEARCH(("ICU"),(Y49))))</formula>
    </cfRule>
    <cfRule type="containsText" priority="5895" operator="containsText" dxfId="0" text="SWING">
      <formula>NOT(ISERROR(SEARCH(("SWING"),(Y49))))</formula>
    </cfRule>
    <cfRule type="containsText" priority="5896" operator="containsText" dxfId="0" text="NF">
      <formula>NOT(ISERROR(SEARCH(("NF"),(Y49))))</formula>
    </cfRule>
    <cfRule type="containsText" priority="5897" operator="containsText" dxfId="0" text="ICU N">
      <formula>NOT(ISERROR(SEARCH(("ICU N"),(Y49))))</formula>
    </cfRule>
    <cfRule type="containsText" priority="5863" operator="containsText" dxfId="17" text="VACATION">
      <formula>NOT(ISERROR(SEARCH(("VACATION"),(Y49))))</formula>
    </cfRule>
    <cfRule type="containsText" priority="5864" operator="containsText" dxfId="16" text="ED">
      <formula>NOT(ISERROR(SEARCH(("ED"),(Y49))))</formula>
    </cfRule>
    <cfRule type="containsText" priority="5865" operator="containsText" dxfId="15" text="GERIATRIC">
      <formula>NOT(ISERROR(SEARCH(("GERIATRIC"),(Y49))))</formula>
    </cfRule>
    <cfRule type="containsText" priority="5866" operator="containsText" dxfId="7" text="PATH">
      <formula>NOT(ISERROR(SEARCH(("PATH"),(Y49))))</formula>
    </cfRule>
    <cfRule type="containsText" priority="5867" operator="containsText" dxfId="7" text="NEPHRO">
      <formula>NOT(ISERROR(SEARCH(("NEPHRO"),(Y49))))</formula>
    </cfRule>
    <cfRule type="containsText" priority="5868" operator="containsText" dxfId="7" text="PULM">
      <formula>NOT(ISERROR(SEARCH(("PULM"),(Y49))))</formula>
    </cfRule>
    <cfRule type="containsText" priority="5869" operator="containsText" dxfId="7" text="RADIOLOGY">
      <formula>NOT(ISERROR(SEARCH(("RADIOLOGY"),(Y49))))</formula>
    </cfRule>
    <cfRule type="containsText" priority="5870" operator="containsText" dxfId="7" text="HEM/ONC">
      <formula>NOT(ISERROR(SEARCH(("HEM/ONC"),(Y49))))</formula>
    </cfRule>
    <cfRule type="containsText" priority="5871" operator="containsText" dxfId="7" text="CARDIO">
      <formula>NOT(ISERROR(SEARCH(("CARDIO"),(Y49))))</formula>
    </cfRule>
    <cfRule type="containsText" priority="5872" operator="containsText" dxfId="7" text="ID">
      <formula>NOT(ISERROR(SEARCH(("ID"),(Y49))))</formula>
    </cfRule>
    <cfRule type="containsText" priority="5873" operator="containsText" dxfId="7" text="NEURO">
      <formula>NOT(ISERROR(SEARCH(("NEURO"),(Y49))))</formula>
    </cfRule>
    <cfRule type="containsText" priority="5874" operator="containsText" dxfId="6" text="NEURO">
      <formula>NOT(ISERROR(SEARCH(("NEURO"),(Y49))))</formula>
    </cfRule>
    <cfRule type="containsText" priority="5875" operator="containsText" dxfId="5" text="NEURO">
      <formula>NOT(ISERROR(SEARCH(("NEURO"),(Y49))))</formula>
    </cfRule>
    <cfRule type="containsText" priority="5876" operator="containsText" dxfId="0" text="ICU N">
      <formula>NOT(ISERROR(SEARCH(("ICU N"),(Y49))))</formula>
    </cfRule>
    <cfRule type="containsText" priority="5877" operator="containsText" dxfId="3" text="ICU">
      <formula>NOT(ISERROR(SEARCH(("ICU"),(Y49))))</formula>
    </cfRule>
    <cfRule type="containsText" priority="5878" operator="containsText" dxfId="0" text="SWING">
      <formula>NOT(ISERROR(SEARCH(("SWING"),(Y49))))</formula>
    </cfRule>
    <cfRule type="containsText" priority="5879" operator="containsText" dxfId="0" text="NF">
      <formula>NOT(ISERROR(SEARCH(("NF"),(Y49))))</formula>
    </cfRule>
    <cfRule type="containsText" priority="5848" operator="containsText" dxfId="7" text="PATH">
      <formula>NOT(ISERROR(SEARCH(("PATH"),(Y49))))</formula>
    </cfRule>
    <cfRule type="containsText" priority="5849" operator="containsText" dxfId="7" text="NEPHRO">
      <formula>NOT(ISERROR(SEARCH(("NEPHRO"),(Y49))))</formula>
    </cfRule>
    <cfRule type="containsText" priority="5850" operator="containsText" dxfId="7" text="PULM">
      <formula>NOT(ISERROR(SEARCH(("PULM"),(Y49))))</formula>
    </cfRule>
    <cfRule type="containsText" priority="5851" operator="containsText" dxfId="7" text="RADIOLOGY">
      <formula>NOT(ISERROR(SEARCH(("RADIOLOGY"),(Y49))))</formula>
    </cfRule>
    <cfRule type="containsText" priority="5852" operator="containsText" dxfId="7" text="HEM/ONC">
      <formula>NOT(ISERROR(SEARCH(("HEM/ONC"),(Y49))))</formula>
    </cfRule>
    <cfRule type="containsText" priority="5853" operator="containsText" dxfId="7" text="CARDIO">
      <formula>NOT(ISERROR(SEARCH(("CARDIO"),(Y49))))</formula>
    </cfRule>
    <cfRule type="containsText" priority="5854" operator="containsText" dxfId="7" text="ID">
      <formula>NOT(ISERROR(SEARCH(("ID"),(Y49))))</formula>
    </cfRule>
    <cfRule type="containsText" priority="5855" operator="containsText" dxfId="7" text="NEURO">
      <formula>NOT(ISERROR(SEARCH(("NEURO"),(Y49))))</formula>
    </cfRule>
    <cfRule type="containsText" priority="5856" operator="containsText" dxfId="6" text="NEURO">
      <formula>NOT(ISERROR(SEARCH(("NEURO"),(Y49))))</formula>
    </cfRule>
    <cfRule type="containsText" priority="5857" operator="containsText" dxfId="5" text="NEURO">
      <formula>NOT(ISERROR(SEARCH(("NEURO"),(Y49))))</formula>
    </cfRule>
    <cfRule type="containsText" priority="5858" operator="containsText" dxfId="0" text="ICU N">
      <formula>NOT(ISERROR(SEARCH(("ICU N"),(Y49))))</formula>
    </cfRule>
    <cfRule type="containsText" priority="5859" operator="containsText" dxfId="3" text="ICU">
      <formula>NOT(ISERROR(SEARCH(("ICU"),(Y49))))</formula>
    </cfRule>
    <cfRule type="containsText" priority="5860" operator="containsText" dxfId="0" text="SWING">
      <formula>NOT(ISERROR(SEARCH(("SWING"),(Y49))))</formula>
    </cfRule>
    <cfRule type="containsText" priority="5861" operator="containsText" dxfId="0" text="NF">
      <formula>NOT(ISERROR(SEARCH(("NF"),(Y49))))</formula>
    </cfRule>
    <cfRule type="containsText" priority="5862" operator="containsText" dxfId="0" text="ICU N">
      <formula>NOT(ISERROR(SEARCH(("ICU N"),(Y49))))</formula>
    </cfRule>
  </conditionalFormatting>
  <conditionalFormatting sqref="W30">
    <cfRule type="containsText" priority="5830" operator="containsText" dxfId="16" text="ED">
      <formula>NOT(ISERROR(SEARCH(("ED"),(W30))))</formula>
    </cfRule>
    <cfRule type="containsText" priority="5831" operator="containsText" dxfId="15" text="GERIATRIC">
      <formula>NOT(ISERROR(SEARCH(("GERIATRIC"),(W30))))</formula>
    </cfRule>
    <cfRule type="containsText" priority="5832" operator="containsText" dxfId="17" text="VACATION">
      <formula>NOT(ISERROR(SEARCH(("VACATION"),(W30))))</formula>
    </cfRule>
    <cfRule type="containsText" priority="5833" operator="containsText" dxfId="7" text="PATH">
      <formula>NOT(ISERROR(SEARCH(("PATH"),(W30))))</formula>
    </cfRule>
    <cfRule type="containsText" priority="5834" operator="containsText" dxfId="7" text="NEPHRO">
      <formula>NOT(ISERROR(SEARCH(("NEPHRO"),(W30))))</formula>
    </cfRule>
    <cfRule type="containsText" priority="5835" operator="containsText" dxfId="7" text="PULM">
      <formula>NOT(ISERROR(SEARCH(("PULM"),(W30))))</formula>
    </cfRule>
    <cfRule type="containsText" priority="5836" operator="containsText" dxfId="7" text="RADIOLOGY">
      <formula>NOT(ISERROR(SEARCH(("RADIOLOGY"),(W30))))</formula>
    </cfRule>
    <cfRule type="containsText" priority="5837" operator="containsText" dxfId="7" text="HEM/ONC">
      <formula>NOT(ISERROR(SEARCH(("HEM/ONC"),(W30))))</formula>
    </cfRule>
    <cfRule type="containsText" priority="5838" operator="containsText" dxfId="7" text="CARDIO">
      <formula>NOT(ISERROR(SEARCH(("CARDIO"),(W30))))</formula>
    </cfRule>
    <cfRule type="containsText" priority="5839" operator="containsText" dxfId="7" text="ID">
      <formula>NOT(ISERROR(SEARCH(("ID"),(W30))))</formula>
    </cfRule>
    <cfRule type="containsText" priority="5840" operator="containsText" dxfId="7" text="NEURO">
      <formula>NOT(ISERROR(SEARCH(("NEURO"),(W30))))</formula>
    </cfRule>
    <cfRule type="containsText" priority="5841" operator="containsText" dxfId="6" text="NEURO">
      <formula>NOT(ISERROR(SEARCH(("NEURO"),(W30))))</formula>
    </cfRule>
    <cfRule type="containsText" priority="5842" operator="containsText" dxfId="5" text="NEURO">
      <formula>NOT(ISERROR(SEARCH(("NEURO"),(W30))))</formula>
    </cfRule>
    <cfRule type="containsText" priority="5843" operator="containsText" dxfId="0" text="ICU N">
      <formula>NOT(ISERROR(SEARCH(("ICU N"),(W30))))</formula>
    </cfRule>
    <cfRule type="containsText" priority="5844" operator="containsText" dxfId="3" text="ICU">
      <formula>NOT(ISERROR(SEARCH(("ICU"),(W30))))</formula>
    </cfRule>
    <cfRule type="containsText" priority="5845" operator="containsText" dxfId="0" text="SWING">
      <formula>NOT(ISERROR(SEARCH(("SWING"),(W30))))</formula>
    </cfRule>
    <cfRule type="containsText" priority="5846" operator="containsText" dxfId="0" text="NF">
      <formula>NOT(ISERROR(SEARCH(("NF"),(W30))))</formula>
    </cfRule>
    <cfRule type="containsText" priority="5847" operator="containsText" dxfId="0" text="ICU N">
      <formula>NOT(ISERROR(SEARCH(("ICU N"),(W30))))</formula>
    </cfRule>
    <cfRule type="containsText" priority="5812" operator="containsText" dxfId="16" text="ED">
      <formula>NOT(ISERROR(SEARCH(("ED"),(W30))))</formula>
    </cfRule>
    <cfRule type="containsText" priority="5813" operator="containsText" dxfId="15" text="GERIATRIC">
      <formula>NOT(ISERROR(SEARCH(("GERIATRIC"),(W30))))</formula>
    </cfRule>
    <cfRule type="containsText" priority="5814" operator="containsText" dxfId="17" text="VACATION">
      <formula>NOT(ISERROR(SEARCH(("VACATION"),(W30))))</formula>
    </cfRule>
    <cfRule type="containsText" priority="5815" operator="containsText" dxfId="7" text="PATH">
      <formula>NOT(ISERROR(SEARCH(("PATH"),(W30))))</formula>
    </cfRule>
    <cfRule type="containsText" priority="5816" operator="containsText" dxfId="7" text="NEPHRO">
      <formula>NOT(ISERROR(SEARCH(("NEPHRO"),(W30))))</formula>
    </cfRule>
    <cfRule type="containsText" priority="5817" operator="containsText" dxfId="7" text="PULM">
      <formula>NOT(ISERROR(SEARCH(("PULM"),(W30))))</formula>
    </cfRule>
    <cfRule type="containsText" priority="5818" operator="containsText" dxfId="7" text="RADIOLOGY">
      <formula>NOT(ISERROR(SEARCH(("RADIOLOGY"),(W30))))</formula>
    </cfRule>
    <cfRule type="containsText" priority="5819" operator="containsText" dxfId="7" text="HEM/ONC">
      <formula>NOT(ISERROR(SEARCH(("HEM/ONC"),(W30))))</formula>
    </cfRule>
    <cfRule type="containsText" priority="5820" operator="containsText" dxfId="7" text="CARDIO">
      <formula>NOT(ISERROR(SEARCH(("CARDIO"),(W30))))</formula>
    </cfRule>
    <cfRule type="containsText" priority="5821" operator="containsText" dxfId="7" text="ID">
      <formula>NOT(ISERROR(SEARCH(("ID"),(W30))))</formula>
    </cfRule>
    <cfRule type="containsText" priority="5822" operator="containsText" dxfId="7" text="NEURO">
      <formula>NOT(ISERROR(SEARCH(("NEURO"),(W30))))</formula>
    </cfRule>
    <cfRule type="containsText" priority="5823" operator="containsText" dxfId="6" text="NEURO">
      <formula>NOT(ISERROR(SEARCH(("NEURO"),(W30))))</formula>
    </cfRule>
    <cfRule type="containsText" priority="5824" operator="containsText" dxfId="5" text="NEURO">
      <formula>NOT(ISERROR(SEARCH(("NEURO"),(W30))))</formula>
    </cfRule>
    <cfRule type="containsText" priority="5825" operator="containsText" dxfId="0" text="ICU N">
      <formula>NOT(ISERROR(SEARCH(("ICU N"),(W30))))</formula>
    </cfRule>
    <cfRule type="containsText" priority="5826" operator="containsText" dxfId="3" text="ICU">
      <formula>NOT(ISERROR(SEARCH(("ICU"),(W30))))</formula>
    </cfRule>
    <cfRule type="containsText" priority="5827" operator="containsText" dxfId="0" text="SWING">
      <formula>NOT(ISERROR(SEARCH(("SWING"),(W30))))</formula>
    </cfRule>
    <cfRule type="containsText" priority="5828" operator="containsText" dxfId="0" text="NF">
      <formula>NOT(ISERROR(SEARCH(("NF"),(W30))))</formula>
    </cfRule>
    <cfRule type="containsText" priority="5829" operator="containsText" dxfId="0" text="ICU N">
      <formula>NOT(ISERROR(SEARCH(("ICU N"),(W30))))</formula>
    </cfRule>
    <cfRule type="containsText" priority="5795" operator="containsText" dxfId="17" text="VACATION">
      <formula>NOT(ISERROR(SEARCH(("VACATION"),(W30))))</formula>
    </cfRule>
    <cfRule type="containsText" priority="5796" operator="containsText" dxfId="16" text="ED">
      <formula>NOT(ISERROR(SEARCH(("ED"),(W30))))</formula>
    </cfRule>
    <cfRule type="containsText" priority="5797" operator="containsText" dxfId="15" text="GERIATRIC">
      <formula>NOT(ISERROR(SEARCH(("GERIATRIC"),(W30))))</formula>
    </cfRule>
    <cfRule type="containsText" priority="5798" operator="containsText" dxfId="7" text="PATH">
      <formula>NOT(ISERROR(SEARCH(("PATH"),(W30))))</formula>
    </cfRule>
    <cfRule type="containsText" priority="5799" operator="containsText" dxfId="7" text="NEPHRO">
      <formula>NOT(ISERROR(SEARCH(("NEPHRO"),(W30))))</formula>
    </cfRule>
    <cfRule type="containsText" priority="5800" operator="containsText" dxfId="7" text="PULM">
      <formula>NOT(ISERROR(SEARCH(("PULM"),(W30))))</formula>
    </cfRule>
    <cfRule type="containsText" priority="5801" operator="containsText" dxfId="7" text="RADIOLOGY">
      <formula>NOT(ISERROR(SEARCH(("RADIOLOGY"),(W30))))</formula>
    </cfRule>
    <cfRule type="containsText" priority="5802" operator="containsText" dxfId="7" text="HEM/ONC">
      <formula>NOT(ISERROR(SEARCH(("HEM/ONC"),(W30))))</formula>
    </cfRule>
    <cfRule type="containsText" priority="5803" operator="containsText" dxfId="7" text="CARDIO">
      <formula>NOT(ISERROR(SEARCH(("CARDIO"),(W30))))</formula>
    </cfRule>
    <cfRule type="containsText" priority="5804" operator="containsText" dxfId="7" text="ID">
      <formula>NOT(ISERROR(SEARCH(("ID"),(W30))))</formula>
    </cfRule>
    <cfRule type="containsText" priority="5805" operator="containsText" dxfId="7" text="NEURO">
      <formula>NOT(ISERROR(SEARCH(("NEURO"),(W30))))</formula>
    </cfRule>
    <cfRule type="containsText" priority="5806" operator="containsText" dxfId="6" text="NEURO">
      <formula>NOT(ISERROR(SEARCH(("NEURO"),(W30))))</formula>
    </cfRule>
    <cfRule type="containsText" priority="5807" operator="containsText" dxfId="5" text="NEURO">
      <formula>NOT(ISERROR(SEARCH(("NEURO"),(W30))))</formula>
    </cfRule>
    <cfRule type="containsText" priority="5808" operator="containsText" dxfId="0" text="ICU N">
      <formula>NOT(ISERROR(SEARCH(("ICU N"),(W30))))</formula>
    </cfRule>
    <cfRule type="containsText" priority="5809" operator="containsText" dxfId="3" text="ICU">
      <formula>NOT(ISERROR(SEARCH(("ICU"),(W30))))</formula>
    </cfRule>
    <cfRule type="containsText" priority="5810" operator="containsText" dxfId="0" text="SWING">
      <formula>NOT(ISERROR(SEARCH(("SWING"),(W30))))</formula>
    </cfRule>
    <cfRule type="containsText" priority="5811" operator="containsText" dxfId="0" text="NF">
      <formula>NOT(ISERROR(SEARCH(("NF"),(W30))))</formula>
    </cfRule>
    <cfRule type="containsText" priority="5780" operator="containsText" dxfId="7" text="PATH">
      <formula>NOT(ISERROR(SEARCH(("PATH"),(W30))))</formula>
    </cfRule>
    <cfRule type="containsText" priority="5781" operator="containsText" dxfId="7" text="NEPHRO">
      <formula>NOT(ISERROR(SEARCH(("NEPHRO"),(W30))))</formula>
    </cfRule>
    <cfRule type="containsText" priority="5782" operator="containsText" dxfId="7" text="PULM">
      <formula>NOT(ISERROR(SEARCH(("PULM"),(W30))))</formula>
    </cfRule>
    <cfRule type="containsText" priority="5783" operator="containsText" dxfId="7" text="RADIOLOGY">
      <formula>NOT(ISERROR(SEARCH(("RADIOLOGY"),(W30))))</formula>
    </cfRule>
    <cfRule type="containsText" priority="5784" operator="containsText" dxfId="7" text="HEM/ONC">
      <formula>NOT(ISERROR(SEARCH(("HEM/ONC"),(W30))))</formula>
    </cfRule>
    <cfRule type="containsText" priority="5785" operator="containsText" dxfId="7" text="CARDIO">
      <formula>NOT(ISERROR(SEARCH(("CARDIO"),(W30))))</formula>
    </cfRule>
    <cfRule type="containsText" priority="5786" operator="containsText" dxfId="7" text="ID">
      <formula>NOT(ISERROR(SEARCH(("ID"),(W30))))</formula>
    </cfRule>
    <cfRule type="containsText" priority="5787" operator="containsText" dxfId="7" text="NEURO">
      <formula>NOT(ISERROR(SEARCH(("NEURO"),(W30))))</formula>
    </cfRule>
    <cfRule type="containsText" priority="5788" operator="containsText" dxfId="6" text="NEURO">
      <formula>NOT(ISERROR(SEARCH(("NEURO"),(W30))))</formula>
    </cfRule>
    <cfRule type="containsText" priority="5789" operator="containsText" dxfId="5" text="NEURO">
      <formula>NOT(ISERROR(SEARCH(("NEURO"),(W30))))</formula>
    </cfRule>
    <cfRule type="containsText" priority="5790" operator="containsText" dxfId="0" text="ICU N">
      <formula>NOT(ISERROR(SEARCH(("ICU N"),(W30))))</formula>
    </cfRule>
    <cfRule type="containsText" priority="5791" operator="containsText" dxfId="3" text="ICU">
      <formula>NOT(ISERROR(SEARCH(("ICU"),(W30))))</formula>
    </cfRule>
    <cfRule type="containsText" priority="5792" operator="containsText" dxfId="0" text="SWING">
      <formula>NOT(ISERROR(SEARCH(("SWING"),(W30))))</formula>
    </cfRule>
    <cfRule type="containsText" priority="5793" operator="containsText" dxfId="0" text="NF">
      <formula>NOT(ISERROR(SEARCH(("NF"),(W30))))</formula>
    </cfRule>
    <cfRule type="containsText" priority="5794" operator="containsText" dxfId="0" text="ICU N">
      <formula>NOT(ISERROR(SEARCH(("ICU N"),(W30))))</formula>
    </cfRule>
  </conditionalFormatting>
  <conditionalFormatting sqref="D31">
    <cfRule type="containsText" priority="5762" operator="containsText" dxfId="16" text="ED">
      <formula>NOT(ISERROR(SEARCH(("ED"),(D31))))</formula>
    </cfRule>
    <cfRule type="containsText" priority="5763" operator="containsText" dxfId="15" text="GERIATRIC">
      <formula>NOT(ISERROR(SEARCH(("GERIATRIC"),(D31))))</formula>
    </cfRule>
    <cfRule type="containsText" priority="5764" operator="containsText" dxfId="17" text="VACATION">
      <formula>NOT(ISERROR(SEARCH(("VACATION"),(D31))))</formula>
    </cfRule>
    <cfRule type="containsText" priority="5765" operator="containsText" dxfId="7" text="PATH">
      <formula>NOT(ISERROR(SEARCH(("PATH"),(D31))))</formula>
    </cfRule>
    <cfRule type="containsText" priority="5766" operator="containsText" dxfId="7" text="NEPHRO">
      <formula>NOT(ISERROR(SEARCH(("NEPHRO"),(D31))))</formula>
    </cfRule>
    <cfRule type="containsText" priority="5767" operator="containsText" dxfId="7" text="PULM">
      <formula>NOT(ISERROR(SEARCH(("PULM"),(D31))))</formula>
    </cfRule>
    <cfRule type="containsText" priority="5768" operator="containsText" dxfId="7" text="RADIOLOGY">
      <formula>NOT(ISERROR(SEARCH(("RADIOLOGY"),(D31))))</formula>
    </cfRule>
    <cfRule type="containsText" priority="5769" operator="containsText" dxfId="7" text="HEM/ONC">
      <formula>NOT(ISERROR(SEARCH(("HEM/ONC"),(D31))))</formula>
    </cfRule>
    <cfRule type="containsText" priority="5770" operator="containsText" dxfId="7" text="CARDIO">
      <formula>NOT(ISERROR(SEARCH(("CARDIO"),(D31))))</formula>
    </cfRule>
    <cfRule type="containsText" priority="5771" operator="containsText" dxfId="7" text="ID">
      <formula>NOT(ISERROR(SEARCH(("ID"),(D31))))</formula>
    </cfRule>
    <cfRule type="containsText" priority="5772" operator="containsText" dxfId="7" text="NEURO">
      <formula>NOT(ISERROR(SEARCH(("NEURO"),(D31))))</formula>
    </cfRule>
    <cfRule type="containsText" priority="5773" operator="containsText" dxfId="6" text="NEURO">
      <formula>NOT(ISERROR(SEARCH(("NEURO"),(D31))))</formula>
    </cfRule>
    <cfRule type="containsText" priority="5774" operator="containsText" dxfId="5" text="NEURO">
      <formula>NOT(ISERROR(SEARCH(("NEURO"),(D31))))</formula>
    </cfRule>
    <cfRule type="containsText" priority="5775" operator="containsText" dxfId="0" text="ICU N">
      <formula>NOT(ISERROR(SEARCH(("ICU N"),(D31))))</formula>
    </cfRule>
    <cfRule type="containsText" priority="5776" operator="containsText" dxfId="3" text="ICU">
      <formula>NOT(ISERROR(SEARCH(("ICU"),(D31))))</formula>
    </cfRule>
    <cfRule type="containsText" priority="5777" operator="containsText" dxfId="0" text="SWING">
      <formula>NOT(ISERROR(SEARCH(("SWING"),(D31))))</formula>
    </cfRule>
    <cfRule type="containsText" priority="5778" operator="containsText" dxfId="0" text="NF">
      <formula>NOT(ISERROR(SEARCH(("NF"),(D31))))</formula>
    </cfRule>
    <cfRule type="containsText" priority="5779" operator="containsText" dxfId="0" text="ICU N">
      <formula>NOT(ISERROR(SEARCH(("ICU N"),(D31))))</formula>
    </cfRule>
    <cfRule type="containsText" priority="5744" operator="containsText" dxfId="16" text="ED">
      <formula>NOT(ISERROR(SEARCH(("ED"),(D31))))</formula>
    </cfRule>
    <cfRule type="containsText" priority="5745" operator="containsText" dxfId="15" text="GERIATRIC">
      <formula>NOT(ISERROR(SEARCH(("GERIATRIC"),(D31))))</formula>
    </cfRule>
    <cfRule type="containsText" priority="5746" operator="containsText" dxfId="17" text="VACATION">
      <formula>NOT(ISERROR(SEARCH(("VACATION"),(D31))))</formula>
    </cfRule>
    <cfRule type="containsText" priority="5747" operator="containsText" dxfId="7" text="PATH">
      <formula>NOT(ISERROR(SEARCH(("PATH"),(D31))))</formula>
    </cfRule>
    <cfRule type="containsText" priority="5748" operator="containsText" dxfId="7" text="NEPHRO">
      <formula>NOT(ISERROR(SEARCH(("NEPHRO"),(D31))))</formula>
    </cfRule>
    <cfRule type="containsText" priority="5749" operator="containsText" dxfId="7" text="PULM">
      <formula>NOT(ISERROR(SEARCH(("PULM"),(D31))))</formula>
    </cfRule>
    <cfRule type="containsText" priority="5750" operator="containsText" dxfId="7" text="RADIOLOGY">
      <formula>NOT(ISERROR(SEARCH(("RADIOLOGY"),(D31))))</formula>
    </cfRule>
    <cfRule type="containsText" priority="5751" operator="containsText" dxfId="7" text="HEM/ONC">
      <formula>NOT(ISERROR(SEARCH(("HEM/ONC"),(D31))))</formula>
    </cfRule>
    <cfRule type="containsText" priority="5752" operator="containsText" dxfId="7" text="CARDIO">
      <formula>NOT(ISERROR(SEARCH(("CARDIO"),(D31))))</formula>
    </cfRule>
    <cfRule type="containsText" priority="5753" operator="containsText" dxfId="7" text="ID">
      <formula>NOT(ISERROR(SEARCH(("ID"),(D31))))</formula>
    </cfRule>
    <cfRule type="containsText" priority="5754" operator="containsText" dxfId="7" text="NEURO">
      <formula>NOT(ISERROR(SEARCH(("NEURO"),(D31))))</formula>
    </cfRule>
    <cfRule type="containsText" priority="5755" operator="containsText" dxfId="6" text="NEURO">
      <formula>NOT(ISERROR(SEARCH(("NEURO"),(D31))))</formula>
    </cfRule>
    <cfRule type="containsText" priority="5756" operator="containsText" dxfId="5" text="NEURO">
      <formula>NOT(ISERROR(SEARCH(("NEURO"),(D31))))</formula>
    </cfRule>
    <cfRule type="containsText" priority="5757" operator="containsText" dxfId="0" text="ICU N">
      <formula>NOT(ISERROR(SEARCH(("ICU N"),(D31))))</formula>
    </cfRule>
    <cfRule type="containsText" priority="5758" operator="containsText" dxfId="3" text="ICU">
      <formula>NOT(ISERROR(SEARCH(("ICU"),(D31))))</formula>
    </cfRule>
    <cfRule type="containsText" priority="5759" operator="containsText" dxfId="0" text="SWING">
      <formula>NOT(ISERROR(SEARCH(("SWING"),(D31))))</formula>
    </cfRule>
    <cfRule type="containsText" priority="5760" operator="containsText" dxfId="0" text="NF">
      <formula>NOT(ISERROR(SEARCH(("NF"),(D31))))</formula>
    </cfRule>
    <cfRule type="containsText" priority="5761" operator="containsText" dxfId="0" text="ICU N">
      <formula>NOT(ISERROR(SEARCH(("ICU N"),(D31))))</formula>
    </cfRule>
  </conditionalFormatting>
  <conditionalFormatting sqref="W9">
    <cfRule type="containsText" priority="5599" operator="containsText" dxfId="16" text="ED">
      <formula>NOT(ISERROR(SEARCH(("ED"),(W9))))</formula>
    </cfRule>
    <cfRule type="containsText" priority="5600" operator="containsText" dxfId="17" text="VACATION">
      <formula>NOT(ISERROR(SEARCH(("VACATION"),(W9))))</formula>
    </cfRule>
    <cfRule type="containsText" priority="5601" operator="containsText" dxfId="0" text="ICU N">
      <formula>NOT(ISERROR(SEARCH(("ICU N"),(W9))))</formula>
    </cfRule>
  </conditionalFormatting>
  <conditionalFormatting sqref="U7">
    <cfRule type="containsText" priority="5582" operator="containsText" dxfId="17" text="VACATION">
      <formula>NOT(ISERROR(SEARCH(("VACATION"),(U7))))</formula>
    </cfRule>
    <cfRule type="containsText" priority="5583" operator="containsText" dxfId="16" text="ED">
      <formula>NOT(ISERROR(SEARCH(("ED"),(U7))))</formula>
    </cfRule>
    <cfRule type="containsText" priority="5584" operator="containsText" dxfId="15" text="GERIATRIC">
      <formula>NOT(ISERROR(SEARCH(("GERIATRIC"),(U7))))</formula>
    </cfRule>
    <cfRule type="containsText" priority="5585" operator="containsText" dxfId="7" text="PATH">
      <formula>NOT(ISERROR(SEARCH(("PATH"),(U7))))</formula>
    </cfRule>
    <cfRule type="containsText" priority="5586" operator="containsText" dxfId="7" text="NEPHRO">
      <formula>NOT(ISERROR(SEARCH(("NEPHRO"),(U7))))</formula>
    </cfRule>
    <cfRule type="containsText" priority="5587" operator="containsText" dxfId="7" text="PULM">
      <formula>NOT(ISERROR(SEARCH(("PULM"),(U7))))</formula>
    </cfRule>
    <cfRule type="containsText" priority="5588" operator="containsText" dxfId="7" text="RADIOLOGY">
      <formula>NOT(ISERROR(SEARCH(("RADIOLOGY"),(U7))))</formula>
    </cfRule>
    <cfRule type="containsText" priority="5589" operator="containsText" dxfId="7" text="HEM/ONC">
      <formula>NOT(ISERROR(SEARCH(("HEM/ONC"),(U7))))</formula>
    </cfRule>
    <cfRule type="containsText" priority="5590" operator="containsText" dxfId="7" text="CARDIO">
      <formula>NOT(ISERROR(SEARCH(("CARDIO"),(U7))))</formula>
    </cfRule>
    <cfRule type="containsText" priority="5591" operator="containsText" dxfId="7" text="ID">
      <formula>NOT(ISERROR(SEARCH(("ID"),(U7))))</formula>
    </cfRule>
    <cfRule type="containsText" priority="5592" operator="containsText" dxfId="7" text="NEURO">
      <formula>NOT(ISERROR(SEARCH(("NEURO"),(U7))))</formula>
    </cfRule>
    <cfRule type="containsText" priority="5593" operator="containsText" dxfId="6" text="NEURO">
      <formula>NOT(ISERROR(SEARCH(("NEURO"),(U7))))</formula>
    </cfRule>
    <cfRule type="containsText" priority="5594" operator="containsText" dxfId="5" text="NEURO">
      <formula>NOT(ISERROR(SEARCH(("NEURO"),(U7))))</formula>
    </cfRule>
    <cfRule type="containsText" priority="5595" operator="containsText" dxfId="0" text="ICU N">
      <formula>NOT(ISERROR(SEARCH(("ICU N"),(U7))))</formula>
    </cfRule>
    <cfRule type="containsText" priority="5596" operator="containsText" dxfId="3" text="ICU">
      <formula>NOT(ISERROR(SEARCH(("ICU"),(U7))))</formula>
    </cfRule>
    <cfRule type="containsText" priority="5597" operator="containsText" dxfId="0" text="SWING">
      <formula>NOT(ISERROR(SEARCH(("SWING"),(U7))))</formula>
    </cfRule>
    <cfRule type="containsText" priority="5598" operator="containsText" dxfId="0" text="NF">
      <formula>NOT(ISERROR(SEARCH(("NF"),(U7))))</formula>
    </cfRule>
  </conditionalFormatting>
  <conditionalFormatting sqref="V9">
    <cfRule type="containsText" priority="5494" operator="containsText" dxfId="17" text="VACATION">
      <formula>NOT(ISERROR(SEARCH(("VACATION"),(V9))))</formula>
    </cfRule>
    <cfRule type="containsText" priority="5495" operator="containsText" dxfId="16" text="ED">
      <formula>NOT(ISERROR(SEARCH(("ED"),(V9))))</formula>
    </cfRule>
    <cfRule type="containsText" priority="5496" operator="containsText" dxfId="15" text="GERIATRIC">
      <formula>NOT(ISERROR(SEARCH(("GERIATRIC"),(V9))))</formula>
    </cfRule>
    <cfRule type="containsText" priority="5497" operator="containsText" dxfId="7" text="PATH">
      <formula>NOT(ISERROR(SEARCH(("PATH"),(V9))))</formula>
    </cfRule>
    <cfRule type="containsText" priority="5498" operator="containsText" dxfId="7" text="NEPHRO">
      <formula>NOT(ISERROR(SEARCH(("NEPHRO"),(V9))))</formula>
    </cfRule>
    <cfRule type="containsText" priority="5499" operator="containsText" dxfId="7" text="PULM">
      <formula>NOT(ISERROR(SEARCH(("PULM"),(V9))))</formula>
    </cfRule>
    <cfRule type="containsText" priority="5500" operator="containsText" dxfId="7" text="RADIOLOGY">
      <formula>NOT(ISERROR(SEARCH(("RADIOLOGY"),(V9))))</formula>
    </cfRule>
    <cfRule type="containsText" priority="5501" operator="containsText" dxfId="7" text="HEM/ONC">
      <formula>NOT(ISERROR(SEARCH(("HEM/ONC"),(V9))))</formula>
    </cfRule>
    <cfRule type="containsText" priority="5502" operator="containsText" dxfId="7" text="CARDIO">
      <formula>NOT(ISERROR(SEARCH(("CARDIO"),(V9))))</formula>
    </cfRule>
    <cfRule type="containsText" priority="5503" operator="containsText" dxfId="7" text="ID">
      <formula>NOT(ISERROR(SEARCH(("ID"),(V9))))</formula>
    </cfRule>
    <cfRule type="containsText" priority="5504" operator="containsText" dxfId="7" text="NEURO">
      <formula>NOT(ISERROR(SEARCH(("NEURO"),(V9))))</formula>
    </cfRule>
    <cfRule type="containsText" priority="5505" operator="containsText" dxfId="6" text="NEURO">
      <formula>NOT(ISERROR(SEARCH(("NEURO"),(V9))))</formula>
    </cfRule>
    <cfRule type="containsText" priority="5506" operator="containsText" dxfId="5" text="NEURO">
      <formula>NOT(ISERROR(SEARCH(("NEURO"),(V9))))</formula>
    </cfRule>
    <cfRule type="containsText" priority="5507" operator="containsText" dxfId="0" text="ICU N">
      <formula>NOT(ISERROR(SEARCH(("ICU N"),(V9))))</formula>
    </cfRule>
    <cfRule type="containsText" priority="5508" operator="containsText" dxfId="3" text="ICU">
      <formula>NOT(ISERROR(SEARCH(("ICU"),(V9))))</formula>
    </cfRule>
    <cfRule type="containsText" priority="5509" operator="containsText" dxfId="0" text="SWING">
      <formula>NOT(ISERROR(SEARCH(("SWING"),(V9))))</formula>
    </cfRule>
    <cfRule type="containsText" priority="5510" operator="containsText" dxfId="0" text="NF">
      <formula>NOT(ISERROR(SEARCH(("NF"),(V9))))</formula>
    </cfRule>
  </conditionalFormatting>
  <conditionalFormatting sqref="G46">
    <cfRule type="containsText" priority="5476" operator="containsText" dxfId="16" text="ED">
      <formula>NOT(ISERROR(SEARCH(("ED"),(G46))))</formula>
    </cfRule>
    <cfRule type="containsText" priority="5477" operator="containsText" dxfId="15" text="GERIATRIC">
      <formula>NOT(ISERROR(SEARCH(("GERIATRIC"),(G46))))</formula>
    </cfRule>
    <cfRule type="containsText" priority="5478" operator="containsText" dxfId="17" text="VACATION">
      <formula>NOT(ISERROR(SEARCH(("VACATION"),(G46))))</formula>
    </cfRule>
    <cfRule type="containsText" priority="5479" operator="containsText" dxfId="7" text="PATH">
      <formula>NOT(ISERROR(SEARCH(("PATH"),(G46))))</formula>
    </cfRule>
    <cfRule type="containsText" priority="5480" operator="containsText" dxfId="7" text="NEPHRO">
      <formula>NOT(ISERROR(SEARCH(("NEPHRO"),(G46))))</formula>
    </cfRule>
    <cfRule type="containsText" priority="5481" operator="containsText" dxfId="7" text="PULM">
      <formula>NOT(ISERROR(SEARCH(("PULM"),(G46))))</formula>
    </cfRule>
    <cfRule type="containsText" priority="5482" operator="containsText" dxfId="7" text="RADIOLOGY">
      <formula>NOT(ISERROR(SEARCH(("RADIOLOGY"),(G46))))</formula>
    </cfRule>
    <cfRule type="containsText" priority="5483" operator="containsText" dxfId="7" text="HEM/ONC">
      <formula>NOT(ISERROR(SEARCH(("HEM/ONC"),(G46))))</formula>
    </cfRule>
    <cfRule type="containsText" priority="5484" operator="containsText" dxfId="7" text="CARDIO">
      <formula>NOT(ISERROR(SEARCH(("CARDIO"),(G46))))</formula>
    </cfRule>
    <cfRule type="containsText" priority="5485" operator="containsText" dxfId="7" text="ID">
      <formula>NOT(ISERROR(SEARCH(("ID"),(G46))))</formula>
    </cfRule>
    <cfRule type="containsText" priority="5486" operator="containsText" dxfId="7" text="NEURO">
      <formula>NOT(ISERROR(SEARCH(("NEURO"),(G46))))</formula>
    </cfRule>
    <cfRule type="containsText" priority="5487" operator="containsText" dxfId="6" text="NEURO">
      <formula>NOT(ISERROR(SEARCH(("NEURO"),(G46))))</formula>
    </cfRule>
    <cfRule type="containsText" priority="5488" operator="containsText" dxfId="5" text="NEURO">
      <formula>NOT(ISERROR(SEARCH(("NEURO"),(G46))))</formula>
    </cfRule>
    <cfRule type="containsText" priority="5489" operator="containsText" dxfId="0" text="ICU N">
      <formula>NOT(ISERROR(SEARCH(("ICU N"),(G46))))</formula>
    </cfRule>
    <cfRule type="containsText" priority="5490" operator="containsText" dxfId="3" text="ICU">
      <formula>NOT(ISERROR(SEARCH(("ICU"),(G46))))</formula>
    </cfRule>
    <cfRule type="containsText" priority="5491" operator="containsText" dxfId="0" text="SWING">
      <formula>NOT(ISERROR(SEARCH(("SWING"),(G46))))</formula>
    </cfRule>
    <cfRule type="containsText" priority="5492" operator="containsText" dxfId="0" text="NF">
      <formula>NOT(ISERROR(SEARCH(("NF"),(G46))))</formula>
    </cfRule>
    <cfRule type="containsText" priority="5493" operator="containsText" dxfId="0" text="ICU N">
      <formula>NOT(ISERROR(SEARCH(("ICU N"),(G46))))</formula>
    </cfRule>
    <cfRule type="containsText" priority="5458" operator="containsText" dxfId="16" text="ED">
      <formula>NOT(ISERROR(SEARCH(("ED"),(G46))))</formula>
    </cfRule>
    <cfRule type="containsText" priority="5459" operator="containsText" dxfId="15" text="GERIATRIC">
      <formula>NOT(ISERROR(SEARCH(("GERIATRIC"),(G46))))</formula>
    </cfRule>
    <cfRule type="containsText" priority="5460" operator="containsText" dxfId="17" text="VACATION">
      <formula>NOT(ISERROR(SEARCH(("VACATION"),(G46))))</formula>
    </cfRule>
    <cfRule type="containsText" priority="5461" operator="containsText" dxfId="7" text="PATH">
      <formula>NOT(ISERROR(SEARCH(("PATH"),(G46))))</formula>
    </cfRule>
    <cfRule type="containsText" priority="5462" operator="containsText" dxfId="7" text="NEPHRO">
      <formula>NOT(ISERROR(SEARCH(("NEPHRO"),(G46))))</formula>
    </cfRule>
    <cfRule type="containsText" priority="5463" operator="containsText" dxfId="7" text="PULM">
      <formula>NOT(ISERROR(SEARCH(("PULM"),(G46))))</formula>
    </cfRule>
    <cfRule type="containsText" priority="5464" operator="containsText" dxfId="7" text="RADIOLOGY">
      <formula>NOT(ISERROR(SEARCH(("RADIOLOGY"),(G46))))</formula>
    </cfRule>
    <cfRule type="containsText" priority="5465" operator="containsText" dxfId="7" text="HEM/ONC">
      <formula>NOT(ISERROR(SEARCH(("HEM/ONC"),(G46))))</formula>
    </cfRule>
    <cfRule type="containsText" priority="5466" operator="containsText" dxfId="7" text="CARDIO">
      <formula>NOT(ISERROR(SEARCH(("CARDIO"),(G46))))</formula>
    </cfRule>
    <cfRule type="containsText" priority="5467" operator="containsText" dxfId="7" text="ID">
      <formula>NOT(ISERROR(SEARCH(("ID"),(G46))))</formula>
    </cfRule>
    <cfRule type="containsText" priority="5468" operator="containsText" dxfId="7" text="NEURO">
      <formula>NOT(ISERROR(SEARCH(("NEURO"),(G46))))</formula>
    </cfRule>
    <cfRule type="containsText" priority="5469" operator="containsText" dxfId="6" text="NEURO">
      <formula>NOT(ISERROR(SEARCH(("NEURO"),(G46))))</formula>
    </cfRule>
    <cfRule type="containsText" priority="5470" operator="containsText" dxfId="5" text="NEURO">
      <formula>NOT(ISERROR(SEARCH(("NEURO"),(G46))))</formula>
    </cfRule>
    <cfRule type="containsText" priority="5471" operator="containsText" dxfId="0" text="ICU N">
      <formula>NOT(ISERROR(SEARCH(("ICU N"),(G46))))</formula>
    </cfRule>
    <cfRule type="containsText" priority="5472" operator="containsText" dxfId="3" text="ICU">
      <formula>NOT(ISERROR(SEARCH(("ICU"),(G46))))</formula>
    </cfRule>
    <cfRule type="containsText" priority="5473" operator="containsText" dxfId="0" text="SWING">
      <formula>NOT(ISERROR(SEARCH(("SWING"),(G46))))</formula>
    </cfRule>
    <cfRule type="containsText" priority="5474" operator="containsText" dxfId="0" text="NF">
      <formula>NOT(ISERROR(SEARCH(("NF"),(G46))))</formula>
    </cfRule>
    <cfRule type="containsText" priority="5475" operator="containsText" dxfId="0" text="ICU N">
      <formula>NOT(ISERROR(SEARCH(("ICU N"),(G46))))</formula>
    </cfRule>
  </conditionalFormatting>
  <conditionalFormatting sqref="G43">
    <cfRule type="containsText" priority="5456" operator="containsText" dxfId="17" text="VACATION">
      <formula>NOT(ISERROR(SEARCH(("VACATION"),(G43))))</formula>
    </cfRule>
    <cfRule type="containsText" priority="5457" operator="containsText" dxfId="0" text="ICU N">
      <formula>NOT(ISERROR(SEARCH(("ICU N"),(G43))))</formula>
    </cfRule>
    <cfRule type="containsText" priority="5438" operator="containsText" dxfId="16" text="ED">
      <formula>NOT(ISERROR(SEARCH(("ED"),(G43))))</formula>
    </cfRule>
    <cfRule type="containsText" priority="5439" operator="containsText" dxfId="15" text="GERIATRIC">
      <formula>NOT(ISERROR(SEARCH(("GERIATRIC"),(G43))))</formula>
    </cfRule>
    <cfRule type="containsText" priority="5440" operator="containsText" dxfId="17" text="VACATION">
      <formula>NOT(ISERROR(SEARCH(("VACATION"),(G43))))</formula>
    </cfRule>
    <cfRule type="containsText" priority="5441" operator="containsText" dxfId="7" text="PATH">
      <formula>NOT(ISERROR(SEARCH(("PATH"),(G43))))</formula>
    </cfRule>
    <cfRule type="containsText" priority="5442" operator="containsText" dxfId="7" text="NEPHRO">
      <formula>NOT(ISERROR(SEARCH(("NEPHRO"),(G43))))</formula>
    </cfRule>
    <cfRule type="containsText" priority="5443" operator="containsText" dxfId="7" text="PULM">
      <formula>NOT(ISERROR(SEARCH(("PULM"),(G43))))</formula>
    </cfRule>
    <cfRule type="containsText" priority="5444" operator="containsText" dxfId="7" text="RADIOLOGY">
      <formula>NOT(ISERROR(SEARCH(("RADIOLOGY"),(G43))))</formula>
    </cfRule>
    <cfRule type="containsText" priority="5445" operator="containsText" dxfId="7" text="HEM/ONC">
      <formula>NOT(ISERROR(SEARCH(("HEM/ONC"),(G43))))</formula>
    </cfRule>
    <cfRule type="containsText" priority="5446" operator="containsText" dxfId="7" text="CARDIO">
      <formula>NOT(ISERROR(SEARCH(("CARDIO"),(G43))))</formula>
    </cfRule>
    <cfRule type="containsText" priority="5447" operator="containsText" dxfId="7" text="ID">
      <formula>NOT(ISERROR(SEARCH(("ID"),(G43))))</formula>
    </cfRule>
    <cfRule type="containsText" priority="5448" operator="containsText" dxfId="7" text="NEURO">
      <formula>NOT(ISERROR(SEARCH(("NEURO"),(G43))))</formula>
    </cfRule>
    <cfRule type="containsText" priority="5449" operator="containsText" dxfId="6" text="NEURO">
      <formula>NOT(ISERROR(SEARCH(("NEURO"),(G43))))</formula>
    </cfRule>
    <cfRule type="containsText" priority="5450" operator="containsText" dxfId="5" text="NEURO">
      <formula>NOT(ISERROR(SEARCH(("NEURO"),(G43))))</formula>
    </cfRule>
    <cfRule type="containsText" priority="5451" operator="containsText" dxfId="0" text="ICU N">
      <formula>NOT(ISERROR(SEARCH(("ICU N"),(G43))))</formula>
    </cfRule>
    <cfRule type="containsText" priority="5452" operator="containsText" dxfId="3" text="ICU">
      <formula>NOT(ISERROR(SEARCH(("ICU"),(G43))))</formula>
    </cfRule>
    <cfRule type="containsText" priority="5453" operator="containsText" dxfId="0" text="SWING">
      <formula>NOT(ISERROR(SEARCH(("SWING"),(G43))))</formula>
    </cfRule>
    <cfRule type="containsText" priority="5454" operator="containsText" dxfId="0" text="NF">
      <formula>NOT(ISERROR(SEARCH(("NF"),(G43))))</formula>
    </cfRule>
    <cfRule type="containsText" priority="5455" operator="containsText" dxfId="0" text="ICU N">
      <formula>NOT(ISERROR(SEARCH(("ICU N"),(G43))))</formula>
    </cfRule>
  </conditionalFormatting>
  <conditionalFormatting sqref="N43">
    <cfRule type="containsText" priority="5436" operator="containsText" dxfId="17" text="VACATION">
      <formula>NOT(ISERROR(SEARCH(("VACATION"),(N43))))</formula>
    </cfRule>
    <cfRule type="containsText" priority="5437" operator="containsText" dxfId="0" text="ICU N">
      <formula>NOT(ISERROR(SEARCH(("ICU N"),(N43))))</formula>
    </cfRule>
    <cfRule type="containsText" priority="5418" operator="containsText" dxfId="16" text="ED">
      <formula>NOT(ISERROR(SEARCH(("ED"),(N43))))</formula>
    </cfRule>
    <cfRule type="containsText" priority="5419" operator="containsText" dxfId="15" text="GERIATRIC">
      <formula>NOT(ISERROR(SEARCH(("GERIATRIC"),(N43))))</formula>
    </cfRule>
    <cfRule type="containsText" priority="5420" operator="containsText" dxfId="17" text="VACATION">
      <formula>NOT(ISERROR(SEARCH(("VACATION"),(N43))))</formula>
    </cfRule>
    <cfRule type="containsText" priority="5421" operator="containsText" dxfId="7" text="PATH">
      <formula>NOT(ISERROR(SEARCH(("PATH"),(N43))))</formula>
    </cfRule>
    <cfRule type="containsText" priority="5422" operator="containsText" dxfId="7" text="NEPHRO">
      <formula>NOT(ISERROR(SEARCH(("NEPHRO"),(N43))))</formula>
    </cfRule>
    <cfRule type="containsText" priority="5423" operator="containsText" dxfId="7" text="PULM">
      <formula>NOT(ISERROR(SEARCH(("PULM"),(N43))))</formula>
    </cfRule>
    <cfRule type="containsText" priority="5424" operator="containsText" dxfId="7" text="RADIOLOGY">
      <formula>NOT(ISERROR(SEARCH(("RADIOLOGY"),(N43))))</formula>
    </cfRule>
    <cfRule type="containsText" priority="5425" operator="containsText" dxfId="7" text="HEM/ONC">
      <formula>NOT(ISERROR(SEARCH(("HEM/ONC"),(N43))))</formula>
    </cfRule>
    <cfRule type="containsText" priority="5426" operator="containsText" dxfId="7" text="CARDIO">
      <formula>NOT(ISERROR(SEARCH(("CARDIO"),(N43))))</formula>
    </cfRule>
    <cfRule type="containsText" priority="5427" operator="containsText" dxfId="7" text="ID">
      <formula>NOT(ISERROR(SEARCH(("ID"),(N43))))</formula>
    </cfRule>
    <cfRule type="containsText" priority="5428" operator="containsText" dxfId="7" text="NEURO">
      <formula>NOT(ISERROR(SEARCH(("NEURO"),(N43))))</formula>
    </cfRule>
    <cfRule type="containsText" priority="5429" operator="containsText" dxfId="6" text="NEURO">
      <formula>NOT(ISERROR(SEARCH(("NEURO"),(N43))))</formula>
    </cfRule>
    <cfRule type="containsText" priority="5430" operator="containsText" dxfId="5" text="NEURO">
      <formula>NOT(ISERROR(SEARCH(("NEURO"),(N43))))</formula>
    </cfRule>
    <cfRule type="containsText" priority="5431" operator="containsText" dxfId="0" text="ICU N">
      <formula>NOT(ISERROR(SEARCH(("ICU N"),(N43))))</formula>
    </cfRule>
    <cfRule type="containsText" priority="5432" operator="containsText" dxfId="3" text="ICU">
      <formula>NOT(ISERROR(SEARCH(("ICU"),(N43))))</formula>
    </cfRule>
    <cfRule type="containsText" priority="5433" operator="containsText" dxfId="0" text="SWING">
      <formula>NOT(ISERROR(SEARCH(("SWING"),(N43))))</formula>
    </cfRule>
    <cfRule type="containsText" priority="5434" operator="containsText" dxfId="0" text="NF">
      <formula>NOT(ISERROR(SEARCH(("NF"),(N43))))</formula>
    </cfRule>
    <cfRule type="containsText" priority="5435" operator="containsText" dxfId="0" text="ICU N">
      <formula>NOT(ISERROR(SEARCH(("ICU N"),(N43))))</formula>
    </cfRule>
  </conditionalFormatting>
  <conditionalFormatting sqref="L24:L25">
    <cfRule type="containsText" priority="5417" operator="containsText" dxfId="17" text="VACATION">
      <formula>NOT(ISERROR(SEARCH(("VACATION"),(L24))))</formula>
    </cfRule>
  </conditionalFormatting>
  <conditionalFormatting sqref="AO41">
    <cfRule type="containsText" priority="5402" operator="containsText" dxfId="7" text="PATH">
      <formula>NOT(ISERROR(SEARCH(("PATH"),(AO41))))</formula>
    </cfRule>
    <cfRule type="containsText" priority="5403" operator="containsText" dxfId="7" text="NEPHRO">
      <formula>NOT(ISERROR(SEARCH(("NEPHRO"),(AO41))))</formula>
    </cfRule>
    <cfRule type="containsText" priority="5404" operator="containsText" dxfId="7" text="PULM">
      <formula>NOT(ISERROR(SEARCH(("PULM"),(AO41))))</formula>
    </cfRule>
    <cfRule type="containsText" priority="5405" operator="containsText" dxfId="7" text="RADIOLOGY">
      <formula>NOT(ISERROR(SEARCH(("RADIOLOGY"),(AO41))))</formula>
    </cfRule>
    <cfRule type="containsText" priority="5406" operator="containsText" dxfId="7" text="HEM/ONC">
      <formula>NOT(ISERROR(SEARCH(("HEM/ONC"),(AO41))))</formula>
    </cfRule>
    <cfRule type="containsText" priority="5407" operator="containsText" dxfId="7" text="CARDIO">
      <formula>NOT(ISERROR(SEARCH(("CARDIO"),(AO41))))</formula>
    </cfRule>
    <cfRule type="containsText" priority="5408" operator="containsText" dxfId="7" text="ID">
      <formula>NOT(ISERROR(SEARCH(("ID"),(AO41))))</formula>
    </cfRule>
    <cfRule type="containsText" priority="5409" operator="containsText" dxfId="7" text="NEURO">
      <formula>NOT(ISERROR(SEARCH(("NEURO"),(AO41))))</formula>
    </cfRule>
    <cfRule type="containsText" priority="5410" operator="containsText" dxfId="6" text="NEURO">
      <formula>NOT(ISERROR(SEARCH(("NEURO"),(AO41))))</formula>
    </cfRule>
    <cfRule type="containsText" priority="5411" operator="containsText" dxfId="5" text="NEURO">
      <formula>NOT(ISERROR(SEARCH(("NEURO"),(AO41))))</formula>
    </cfRule>
    <cfRule type="containsText" priority="5412" operator="containsText" dxfId="0" text="ICU N">
      <formula>NOT(ISERROR(SEARCH(("ICU N"),(AO41))))</formula>
    </cfRule>
    <cfRule type="containsText" priority="5413" operator="containsText" dxfId="3" text="ICU">
      <formula>NOT(ISERROR(SEARCH(("ICU"),(AO41))))</formula>
    </cfRule>
    <cfRule type="containsText" priority="5414" operator="containsText" dxfId="0" text="SWING">
      <formula>NOT(ISERROR(SEARCH(("SWING"),(AO41))))</formula>
    </cfRule>
    <cfRule type="containsText" priority="5415" operator="containsText" dxfId="0" text="NF">
      <formula>NOT(ISERROR(SEARCH(("NF"),(AO41))))</formula>
    </cfRule>
    <cfRule type="containsText" priority="5416" operator="containsText" dxfId="0" text="ICU N">
      <formula>NOT(ISERROR(SEARCH(("ICU N"),(AO41))))</formula>
    </cfRule>
    <cfRule type="containsText" priority="5388" operator="containsText" dxfId="7" text="PATH">
      <formula>NOT(ISERROR(SEARCH(("PATH"),(AO41))))</formula>
    </cfRule>
    <cfRule type="containsText" priority="5389" operator="containsText" dxfId="7" text="NEPHRO">
      <formula>NOT(ISERROR(SEARCH(("NEPHRO"),(AO41))))</formula>
    </cfRule>
    <cfRule type="containsText" priority="5390" operator="containsText" dxfId="7" text="PULM">
      <formula>NOT(ISERROR(SEARCH(("PULM"),(AO41))))</formula>
    </cfRule>
    <cfRule type="containsText" priority="5391" operator="containsText" dxfId="7" text="RADIOLOGY">
      <formula>NOT(ISERROR(SEARCH(("RADIOLOGY"),(AO41))))</formula>
    </cfRule>
    <cfRule type="containsText" priority="5392" operator="containsText" dxfId="7" text="HEM/ONC">
      <formula>NOT(ISERROR(SEARCH(("HEM/ONC"),(AO41))))</formula>
    </cfRule>
    <cfRule type="containsText" priority="5393" operator="containsText" dxfId="7" text="CARDIO">
      <formula>NOT(ISERROR(SEARCH(("CARDIO"),(AO41))))</formula>
    </cfRule>
    <cfRule type="containsText" priority="5394" operator="containsText" dxfId="7" text="ID">
      <formula>NOT(ISERROR(SEARCH(("ID"),(AO41))))</formula>
    </cfRule>
    <cfRule type="containsText" priority="5395" operator="containsText" dxfId="7" text="NEURO">
      <formula>NOT(ISERROR(SEARCH(("NEURO"),(AO41))))</formula>
    </cfRule>
    <cfRule type="containsText" priority="5396" operator="containsText" dxfId="6" text="NEURO">
      <formula>NOT(ISERROR(SEARCH(("NEURO"),(AO41))))</formula>
    </cfRule>
    <cfRule type="containsText" priority="5397" operator="containsText" dxfId="5" text="NEURO">
      <formula>NOT(ISERROR(SEARCH(("NEURO"),(AO41))))</formula>
    </cfRule>
    <cfRule type="containsText" priority="5398" operator="containsText" dxfId="0" text="ICU N">
      <formula>NOT(ISERROR(SEARCH(("ICU N"),(AO41))))</formula>
    </cfRule>
    <cfRule type="containsText" priority="5399" operator="containsText" dxfId="3" text="ICU">
      <formula>NOT(ISERROR(SEARCH(("ICU"),(AO41))))</formula>
    </cfRule>
    <cfRule type="containsText" priority="5400" operator="containsText" dxfId="0" text="SWING">
      <formula>NOT(ISERROR(SEARCH(("SWING"),(AO41))))</formula>
    </cfRule>
    <cfRule type="containsText" priority="5401" operator="containsText" dxfId="0" text="NF">
      <formula>NOT(ISERROR(SEARCH(("NF"),(AO41))))</formula>
    </cfRule>
  </conditionalFormatting>
  <conditionalFormatting sqref="L41">
    <cfRule type="containsText" priority="5370" operator="containsText" dxfId="16" text="ED">
      <formula>NOT(ISERROR(SEARCH(("ED"),(L41))))</formula>
    </cfRule>
    <cfRule type="containsText" priority="5371" operator="containsText" dxfId="15" text="GERIATRIC">
      <formula>NOT(ISERROR(SEARCH(("GERIATRIC"),(L41))))</formula>
    </cfRule>
    <cfRule type="containsText" priority="5372" operator="containsText" dxfId="17" text="VACATION">
      <formula>NOT(ISERROR(SEARCH(("VACATION"),(L41))))</formula>
    </cfRule>
    <cfRule type="containsText" priority="5373" operator="containsText" dxfId="7" text="PATH">
      <formula>NOT(ISERROR(SEARCH(("PATH"),(L41))))</formula>
    </cfRule>
    <cfRule type="containsText" priority="5374" operator="containsText" dxfId="7" text="NEPHRO">
      <formula>NOT(ISERROR(SEARCH(("NEPHRO"),(L41))))</formula>
    </cfRule>
    <cfRule type="containsText" priority="5375" operator="containsText" dxfId="7" text="PULM">
      <formula>NOT(ISERROR(SEARCH(("PULM"),(L41))))</formula>
    </cfRule>
    <cfRule type="containsText" priority="5376" operator="containsText" dxfId="7" text="RADIOLOGY">
      <formula>NOT(ISERROR(SEARCH(("RADIOLOGY"),(L41))))</formula>
    </cfRule>
    <cfRule type="containsText" priority="5377" operator="containsText" dxfId="7" text="HEM/ONC">
      <formula>NOT(ISERROR(SEARCH(("HEM/ONC"),(L41))))</formula>
    </cfRule>
    <cfRule type="containsText" priority="5378" operator="containsText" dxfId="7" text="CARDIO">
      <formula>NOT(ISERROR(SEARCH(("CARDIO"),(L41))))</formula>
    </cfRule>
    <cfRule type="containsText" priority="5379" operator="containsText" dxfId="7" text="ID">
      <formula>NOT(ISERROR(SEARCH(("ID"),(L41))))</formula>
    </cfRule>
    <cfRule type="containsText" priority="5380" operator="containsText" dxfId="7" text="NEURO">
      <formula>NOT(ISERROR(SEARCH(("NEURO"),(L41))))</formula>
    </cfRule>
    <cfRule type="containsText" priority="5381" operator="containsText" dxfId="6" text="NEURO">
      <formula>NOT(ISERROR(SEARCH(("NEURO"),(L41))))</formula>
    </cfRule>
    <cfRule type="containsText" priority="5382" operator="containsText" dxfId="5" text="NEURO">
      <formula>NOT(ISERROR(SEARCH(("NEURO"),(L41))))</formula>
    </cfRule>
    <cfRule type="containsText" priority="5383" operator="containsText" dxfId="0" text="ICU N">
      <formula>NOT(ISERROR(SEARCH(("ICU N"),(L41))))</formula>
    </cfRule>
    <cfRule type="containsText" priority="5384" operator="containsText" dxfId="3" text="ICU">
      <formula>NOT(ISERROR(SEARCH(("ICU"),(L41))))</formula>
    </cfRule>
    <cfRule type="containsText" priority="5385" operator="containsText" dxfId="0" text="SWING">
      <formula>NOT(ISERROR(SEARCH(("SWING"),(L41))))</formula>
    </cfRule>
    <cfRule type="containsText" priority="5386" operator="containsText" dxfId="0" text="NF">
      <formula>NOT(ISERROR(SEARCH(("NF"),(L41))))</formula>
    </cfRule>
    <cfRule type="containsText" priority="5387" operator="containsText" dxfId="0" text="ICU N">
      <formula>NOT(ISERROR(SEARCH(("ICU N"),(L41))))</formula>
    </cfRule>
    <cfRule type="containsText" priority="5352" operator="containsText" dxfId="16" text="ED">
      <formula>NOT(ISERROR(SEARCH(("ED"),(L41))))</formula>
    </cfRule>
    <cfRule type="containsText" priority="5353" operator="containsText" dxfId="15" text="GERIATRIC">
      <formula>NOT(ISERROR(SEARCH(("GERIATRIC"),(L41))))</formula>
    </cfRule>
    <cfRule type="containsText" priority="5354" operator="containsText" dxfId="17" text="VACATION">
      <formula>NOT(ISERROR(SEARCH(("VACATION"),(L41))))</formula>
    </cfRule>
    <cfRule type="containsText" priority="5355" operator="containsText" dxfId="7" text="PATH">
      <formula>NOT(ISERROR(SEARCH(("PATH"),(L41))))</formula>
    </cfRule>
    <cfRule type="containsText" priority="5356" operator="containsText" dxfId="7" text="NEPHRO">
      <formula>NOT(ISERROR(SEARCH(("NEPHRO"),(L41))))</formula>
    </cfRule>
    <cfRule type="containsText" priority="5357" operator="containsText" dxfId="7" text="PULM">
      <formula>NOT(ISERROR(SEARCH(("PULM"),(L41))))</formula>
    </cfRule>
    <cfRule type="containsText" priority="5358" operator="containsText" dxfId="7" text="RADIOLOGY">
      <formula>NOT(ISERROR(SEARCH(("RADIOLOGY"),(L41))))</formula>
    </cfRule>
    <cfRule type="containsText" priority="5359" operator="containsText" dxfId="7" text="HEM/ONC">
      <formula>NOT(ISERROR(SEARCH(("HEM/ONC"),(L41))))</formula>
    </cfRule>
    <cfRule type="containsText" priority="5360" operator="containsText" dxfId="7" text="CARDIO">
      <formula>NOT(ISERROR(SEARCH(("CARDIO"),(L41))))</formula>
    </cfRule>
    <cfRule type="containsText" priority="5361" operator="containsText" dxfId="7" text="ID">
      <formula>NOT(ISERROR(SEARCH(("ID"),(L41))))</formula>
    </cfRule>
    <cfRule type="containsText" priority="5362" operator="containsText" dxfId="7" text="NEURO">
      <formula>NOT(ISERROR(SEARCH(("NEURO"),(L41))))</formula>
    </cfRule>
    <cfRule type="containsText" priority="5363" operator="containsText" dxfId="6" text="NEURO">
      <formula>NOT(ISERROR(SEARCH(("NEURO"),(L41))))</formula>
    </cfRule>
    <cfRule type="containsText" priority="5364" operator="containsText" dxfId="5" text="NEURO">
      <formula>NOT(ISERROR(SEARCH(("NEURO"),(L41))))</formula>
    </cfRule>
    <cfRule type="containsText" priority="5365" operator="containsText" dxfId="0" text="ICU N">
      <formula>NOT(ISERROR(SEARCH(("ICU N"),(L41))))</formula>
    </cfRule>
    <cfRule type="containsText" priority="5366" operator="containsText" dxfId="3" text="ICU">
      <formula>NOT(ISERROR(SEARCH(("ICU"),(L41))))</formula>
    </cfRule>
    <cfRule type="containsText" priority="5367" operator="containsText" dxfId="0" text="SWING">
      <formula>NOT(ISERROR(SEARCH(("SWING"),(L41))))</formula>
    </cfRule>
    <cfRule type="containsText" priority="5368" operator="containsText" dxfId="0" text="NF">
      <formula>NOT(ISERROR(SEARCH(("NF"),(L41))))</formula>
    </cfRule>
    <cfRule type="containsText" priority="5369" operator="containsText" dxfId="0" text="ICU N">
      <formula>NOT(ISERROR(SEARCH(("ICU N"),(L41))))</formula>
    </cfRule>
  </conditionalFormatting>
  <conditionalFormatting sqref="L25">
    <cfRule type="containsText" priority="5351" operator="containsText" dxfId="17" text="VACATION">
      <formula>NOT(ISERROR(SEARCH(("VACATION"),(L25))))</formula>
    </cfRule>
  </conditionalFormatting>
  <conditionalFormatting sqref="BA35">
    <cfRule type="containsText" priority="5350" operator="containsText" dxfId="0" text="ICU N">
      <formula>NOT(ISERROR(SEARCH(("ICU N"),(BA35))))</formula>
    </cfRule>
    <cfRule type="containsText" priority="5349" operator="containsText" dxfId="0" text="ICU N">
      <formula>NOT(ISERROR(SEARCH(("ICU N"),(BA35))))</formula>
    </cfRule>
  </conditionalFormatting>
  <conditionalFormatting sqref="T44">
    <cfRule type="containsText" priority="5332" operator="containsText" dxfId="17" text="VACATION">
      <formula>NOT(ISERROR(SEARCH(("VACATION"),(T44))))</formula>
    </cfRule>
    <cfRule type="containsText" priority="5333" operator="containsText" dxfId="16" text="ED">
      <formula>NOT(ISERROR(SEARCH(("ED"),(T44))))</formula>
    </cfRule>
    <cfRule type="containsText" priority="5334" operator="containsText" dxfId="15" text="GERIATRIC">
      <formula>NOT(ISERROR(SEARCH(("GERIATRIC"),(T44))))</formula>
    </cfRule>
    <cfRule type="containsText" priority="5335" operator="containsText" dxfId="7" text="PATH">
      <formula>NOT(ISERROR(SEARCH(("PATH"),(T44))))</formula>
    </cfRule>
    <cfRule type="containsText" priority="5336" operator="containsText" dxfId="7" text="NEPHRO">
      <formula>NOT(ISERROR(SEARCH(("NEPHRO"),(T44))))</formula>
    </cfRule>
    <cfRule type="containsText" priority="5337" operator="containsText" dxfId="7" text="PULM">
      <formula>NOT(ISERROR(SEARCH(("PULM"),(T44))))</formula>
    </cfRule>
    <cfRule type="containsText" priority="5338" operator="containsText" dxfId="7" text="RADIOLOGY">
      <formula>NOT(ISERROR(SEARCH(("RADIOLOGY"),(T44))))</formula>
    </cfRule>
    <cfRule type="containsText" priority="5339" operator="containsText" dxfId="7" text="HEM/ONC">
      <formula>NOT(ISERROR(SEARCH(("HEM/ONC"),(T44))))</formula>
    </cfRule>
    <cfRule type="containsText" priority="5340" operator="containsText" dxfId="7" text="CARDIO">
      <formula>NOT(ISERROR(SEARCH(("CARDIO"),(T44))))</formula>
    </cfRule>
    <cfRule type="containsText" priority="5341" operator="containsText" dxfId="7" text="ID">
      <formula>NOT(ISERROR(SEARCH(("ID"),(T44))))</formula>
    </cfRule>
    <cfRule type="containsText" priority="5342" operator="containsText" dxfId="7" text="NEURO">
      <formula>NOT(ISERROR(SEARCH(("NEURO"),(T44))))</formula>
    </cfRule>
    <cfRule type="containsText" priority="5343" operator="containsText" dxfId="6" text="NEURO">
      <formula>NOT(ISERROR(SEARCH(("NEURO"),(T44))))</formula>
    </cfRule>
    <cfRule type="containsText" priority="5344" operator="containsText" dxfId="5" text="NEURO">
      <formula>NOT(ISERROR(SEARCH(("NEURO"),(T44))))</formula>
    </cfRule>
    <cfRule type="containsText" priority="5345" operator="containsText" dxfId="0" text="ICU N">
      <formula>NOT(ISERROR(SEARCH(("ICU N"),(T44))))</formula>
    </cfRule>
    <cfRule type="containsText" priority="5346" operator="containsText" dxfId="3" text="ICU">
      <formula>NOT(ISERROR(SEARCH(("ICU"),(T44))))</formula>
    </cfRule>
    <cfRule type="containsText" priority="5347" operator="containsText" dxfId="0" text="SWING">
      <formula>NOT(ISERROR(SEARCH(("SWING"),(T44))))</formula>
    </cfRule>
    <cfRule type="containsText" priority="5348" operator="containsText" dxfId="0" text="NF">
      <formula>NOT(ISERROR(SEARCH(("NF"),(T44))))</formula>
    </cfRule>
  </conditionalFormatting>
  <conditionalFormatting sqref="AJ24">
    <cfRule type="containsText" priority="5330" operator="containsText" dxfId="17" text="VACATION">
      <formula>NOT(ISERROR(SEARCH(("VACATION"),(AJ24))))</formula>
    </cfRule>
    <cfRule type="containsText" priority="5331" operator="containsText" dxfId="0" text="ICU N">
      <formula>NOT(ISERROR(SEARCH(("ICU N"),(AJ24))))</formula>
    </cfRule>
  </conditionalFormatting>
  <conditionalFormatting sqref="V16">
    <cfRule type="containsText" priority="5316" operator="containsText" dxfId="15" text="GERIATRIC">
      <formula>NOT(ISERROR(SEARCH(("GERIATRIC"),(V16))))</formula>
    </cfRule>
    <cfRule type="containsText" priority="5317" operator="containsText" dxfId="7" text="PATH">
      <formula>NOT(ISERROR(SEARCH(("PATH"),(V16))))</formula>
    </cfRule>
    <cfRule type="containsText" priority="5318" operator="containsText" dxfId="7" text="NEPHRO">
      <formula>NOT(ISERROR(SEARCH(("NEPHRO"),(V16))))</formula>
    </cfRule>
    <cfRule type="containsText" priority="5319" operator="containsText" dxfId="7" text="PULM">
      <formula>NOT(ISERROR(SEARCH(("PULM"),(V16))))</formula>
    </cfRule>
    <cfRule type="containsText" priority="5320" operator="containsText" dxfId="7" text="RADIOLOGY">
      <formula>NOT(ISERROR(SEARCH(("RADIOLOGY"),(V16))))</formula>
    </cfRule>
    <cfRule type="containsText" priority="5321" operator="containsText" dxfId="7" text="HEM/ONC">
      <formula>NOT(ISERROR(SEARCH(("HEM/ONC"),(V16))))</formula>
    </cfRule>
    <cfRule type="containsText" priority="5322" operator="containsText" dxfId="7" text="CARDIO">
      <formula>NOT(ISERROR(SEARCH(("CARDIO"),(V16))))</formula>
    </cfRule>
    <cfRule type="containsText" priority="5323" operator="containsText" dxfId="7" text="ID">
      <formula>NOT(ISERROR(SEARCH(("ID"),(V16))))</formula>
    </cfRule>
    <cfRule type="containsText" priority="5324" operator="containsText" dxfId="7" text="NEURO">
      <formula>NOT(ISERROR(SEARCH(("NEURO"),(V16))))</formula>
    </cfRule>
    <cfRule type="containsText" priority="5325" operator="containsText" dxfId="6" text="NEURO">
      <formula>NOT(ISERROR(SEARCH(("NEURO"),(V16))))</formula>
    </cfRule>
    <cfRule type="containsText" priority="5326" operator="containsText" dxfId="5" text="NEURO">
      <formula>NOT(ISERROR(SEARCH(("NEURO"),(V16))))</formula>
    </cfRule>
    <cfRule type="containsText" priority="5327" operator="containsText" dxfId="3" text="ICU">
      <formula>NOT(ISERROR(SEARCH(("ICU"),(V16))))</formula>
    </cfRule>
    <cfRule type="containsText" priority="5328" operator="containsText" dxfId="0" text="SWING">
      <formula>NOT(ISERROR(SEARCH(("SWING"),(V16))))</formula>
    </cfRule>
    <cfRule type="containsText" priority="5329" operator="containsText" dxfId="0" text="NF">
      <formula>NOT(ISERROR(SEARCH(("NF"),(V16))))</formula>
    </cfRule>
  </conditionalFormatting>
  <conditionalFormatting sqref="F19">
    <cfRule type="containsText" priority="5284" operator="containsText" dxfId="16" text="ED">
      <formula>NOT(ISERROR(SEARCH(("ED"),(F19))))</formula>
    </cfRule>
    <cfRule type="containsText" priority="5285" operator="containsText" dxfId="15" text="GERIATRIC">
      <formula>NOT(ISERROR(SEARCH(("GERIATRIC"),(F19))))</formula>
    </cfRule>
    <cfRule type="containsText" priority="5286" operator="containsText" dxfId="17" text="VACATION">
      <formula>NOT(ISERROR(SEARCH(("VACATION"),(F19))))</formula>
    </cfRule>
    <cfRule type="containsText" priority="5287" operator="containsText" dxfId="7" text="PATH">
      <formula>NOT(ISERROR(SEARCH(("PATH"),(F19))))</formula>
    </cfRule>
    <cfRule type="containsText" priority="5288" operator="containsText" dxfId="7" text="NEPHRO">
      <formula>NOT(ISERROR(SEARCH(("NEPHRO"),(F19))))</formula>
    </cfRule>
    <cfRule type="containsText" priority="5289" operator="containsText" dxfId="7" text="PULM">
      <formula>NOT(ISERROR(SEARCH(("PULM"),(F19))))</formula>
    </cfRule>
    <cfRule type="containsText" priority="5290" operator="containsText" dxfId="7" text="RADIOLOGY">
      <formula>NOT(ISERROR(SEARCH(("RADIOLOGY"),(F19))))</formula>
    </cfRule>
    <cfRule type="containsText" priority="5291" operator="containsText" dxfId="7" text="HEM/ONC">
      <formula>NOT(ISERROR(SEARCH(("HEM/ONC"),(F19))))</formula>
    </cfRule>
    <cfRule type="containsText" priority="5292" operator="containsText" dxfId="7" text="CARDIO">
      <formula>NOT(ISERROR(SEARCH(("CARDIO"),(F19))))</formula>
    </cfRule>
    <cfRule type="containsText" priority="5293" operator="containsText" dxfId="7" text="ID">
      <formula>NOT(ISERROR(SEARCH(("ID"),(F19))))</formula>
    </cfRule>
    <cfRule type="containsText" priority="5294" operator="containsText" dxfId="7" text="NEURO">
      <formula>NOT(ISERROR(SEARCH(("NEURO"),(F19))))</formula>
    </cfRule>
    <cfRule type="containsText" priority="5295" operator="containsText" dxfId="6" text="NEURO">
      <formula>NOT(ISERROR(SEARCH(("NEURO"),(F19))))</formula>
    </cfRule>
    <cfRule type="containsText" priority="5296" operator="containsText" dxfId="5" text="NEURO">
      <formula>NOT(ISERROR(SEARCH(("NEURO"),(F19))))</formula>
    </cfRule>
    <cfRule type="containsText" priority="5297" operator="containsText" dxfId="0" text="ICU N">
      <formula>NOT(ISERROR(SEARCH(("ICU N"),(F19))))</formula>
    </cfRule>
    <cfRule type="containsText" priority="5298" operator="containsText" dxfId="3" text="ICU">
      <formula>NOT(ISERROR(SEARCH(("ICU"),(F19))))</formula>
    </cfRule>
    <cfRule type="containsText" priority="5299" operator="containsText" dxfId="0" text="SWING">
      <formula>NOT(ISERROR(SEARCH(("SWING"),(F19))))</formula>
    </cfRule>
    <cfRule type="containsText" priority="5300" operator="containsText" dxfId="0" text="NF">
      <formula>NOT(ISERROR(SEARCH(("NF"),(F19))))</formula>
    </cfRule>
    <cfRule type="containsText" priority="5301" operator="containsText" dxfId="0" text="ICU N">
      <formula>NOT(ISERROR(SEARCH(("ICU N"),(F19))))</formula>
    </cfRule>
    <cfRule type="containsText" priority="4973" operator="containsText" dxfId="15" text="GERIATRIC">
      <formula>NOT(ISERROR(SEARCH(("GERIATRIC"),(F19))))</formula>
    </cfRule>
    <cfRule type="containsText" priority="4974" operator="containsText" dxfId="7" text="PATH">
      <formula>NOT(ISERROR(SEARCH(("PATH"),(F19))))</formula>
    </cfRule>
    <cfRule type="containsText" priority="4975" operator="containsText" dxfId="7" text="NEPHRO">
      <formula>NOT(ISERROR(SEARCH(("NEPHRO"),(F19))))</formula>
    </cfRule>
    <cfRule type="containsText" priority="4976" operator="containsText" dxfId="7" text="PULM">
      <formula>NOT(ISERROR(SEARCH(("PULM"),(F19))))</formula>
    </cfRule>
    <cfRule type="containsText" priority="4977" operator="containsText" dxfId="7" text="RADIOLOGY">
      <formula>NOT(ISERROR(SEARCH(("RADIOLOGY"),(F19))))</formula>
    </cfRule>
    <cfRule type="containsText" priority="4978" operator="containsText" dxfId="7" text="HEM/ONC">
      <formula>NOT(ISERROR(SEARCH(("HEM/ONC"),(F19))))</formula>
    </cfRule>
    <cfRule type="containsText" priority="4979" operator="containsText" dxfId="7" text="CARDIO">
      <formula>NOT(ISERROR(SEARCH(("CARDIO"),(F19))))</formula>
    </cfRule>
    <cfRule type="containsText" priority="4980" operator="containsText" dxfId="7" text="ID">
      <formula>NOT(ISERROR(SEARCH(("ID"),(F19))))</formula>
    </cfRule>
    <cfRule type="containsText" priority="4981" operator="containsText" dxfId="7" text="NEURO">
      <formula>NOT(ISERROR(SEARCH(("NEURO"),(F19))))</formula>
    </cfRule>
    <cfRule type="containsText" priority="4982" operator="containsText" dxfId="6" text="NEURO">
      <formula>NOT(ISERROR(SEARCH(("NEURO"),(F19))))</formula>
    </cfRule>
    <cfRule type="containsText" priority="4983" operator="containsText" dxfId="5" text="NEURO">
      <formula>NOT(ISERROR(SEARCH(("NEURO"),(F19))))</formula>
    </cfRule>
    <cfRule type="containsText" priority="4984" operator="containsText" dxfId="3" text="ICU">
      <formula>NOT(ISERROR(SEARCH(("ICU"),(F19))))</formula>
    </cfRule>
    <cfRule type="containsText" priority="4985" operator="containsText" dxfId="0" text="SWING">
      <formula>NOT(ISERROR(SEARCH(("SWING"),(F19))))</formula>
    </cfRule>
    <cfRule type="containsText" priority="4986" operator="containsText" dxfId="0" text="NF">
      <formula>NOT(ISERROR(SEARCH(("NF"),(F19))))</formula>
    </cfRule>
  </conditionalFormatting>
  <conditionalFormatting sqref="AS25">
    <cfRule type="containsText" priority="5266" operator="containsText" dxfId="16" text="ED">
      <formula>NOT(ISERROR(SEARCH(("ED"),(AS25))))</formula>
    </cfRule>
    <cfRule type="containsText" priority="5267" operator="containsText" dxfId="15" text="GERIATRIC">
      <formula>NOT(ISERROR(SEARCH(("GERIATRIC"),(AS25))))</formula>
    </cfRule>
    <cfRule type="containsText" priority="5268" operator="containsText" dxfId="17" text="VACATION">
      <formula>NOT(ISERROR(SEARCH(("VACATION"),(AS25))))</formula>
    </cfRule>
    <cfRule type="containsText" priority="5269" operator="containsText" dxfId="7" text="PATH">
      <formula>NOT(ISERROR(SEARCH(("PATH"),(AS25))))</formula>
    </cfRule>
    <cfRule type="containsText" priority="5270" operator="containsText" dxfId="7" text="NEPHRO">
      <formula>NOT(ISERROR(SEARCH(("NEPHRO"),(AS25))))</formula>
    </cfRule>
    <cfRule type="containsText" priority="5271" operator="containsText" dxfId="7" text="PULM">
      <formula>NOT(ISERROR(SEARCH(("PULM"),(AS25))))</formula>
    </cfRule>
    <cfRule type="containsText" priority="5272" operator="containsText" dxfId="7" text="RADIOLOGY">
      <formula>NOT(ISERROR(SEARCH(("RADIOLOGY"),(AS25))))</formula>
    </cfRule>
    <cfRule type="containsText" priority="5273" operator="containsText" dxfId="7" text="HEM/ONC">
      <formula>NOT(ISERROR(SEARCH(("HEM/ONC"),(AS25))))</formula>
    </cfRule>
    <cfRule type="containsText" priority="5274" operator="containsText" dxfId="7" text="CARDIO">
      <formula>NOT(ISERROR(SEARCH(("CARDIO"),(AS25))))</formula>
    </cfRule>
    <cfRule type="containsText" priority="5275" operator="containsText" dxfId="7" text="ID">
      <formula>NOT(ISERROR(SEARCH(("ID"),(AS25))))</formula>
    </cfRule>
    <cfRule type="containsText" priority="5276" operator="containsText" dxfId="7" text="NEURO">
      <formula>NOT(ISERROR(SEARCH(("NEURO"),(AS25))))</formula>
    </cfRule>
    <cfRule type="containsText" priority="5277" operator="containsText" dxfId="6" text="NEURO">
      <formula>NOT(ISERROR(SEARCH(("NEURO"),(AS25))))</formula>
    </cfRule>
    <cfRule type="containsText" priority="5278" operator="containsText" dxfId="5" text="NEURO">
      <formula>NOT(ISERROR(SEARCH(("NEURO"),(AS25))))</formula>
    </cfRule>
    <cfRule type="containsText" priority="5279" operator="containsText" dxfId="0" text="ICU N">
      <formula>NOT(ISERROR(SEARCH(("ICU N"),(AS25))))</formula>
    </cfRule>
    <cfRule type="containsText" priority="5280" operator="containsText" dxfId="3" text="ICU">
      <formula>NOT(ISERROR(SEARCH(("ICU"),(AS25))))</formula>
    </cfRule>
    <cfRule type="containsText" priority="5281" operator="containsText" dxfId="0" text="SWING">
      <formula>NOT(ISERROR(SEARCH(("SWING"),(AS25))))</formula>
    </cfRule>
    <cfRule type="containsText" priority="5282" operator="containsText" dxfId="0" text="NF">
      <formula>NOT(ISERROR(SEARCH(("NF"),(AS25))))</formula>
    </cfRule>
    <cfRule type="containsText" priority="5283" operator="containsText" dxfId="0" text="ICU N">
      <formula>NOT(ISERROR(SEARCH(("ICU N"),(AS25))))</formula>
    </cfRule>
    <cfRule type="containsText" priority="5248" operator="containsText" dxfId="16" text="ED">
      <formula>NOT(ISERROR(SEARCH(("ED"),(AS25))))</formula>
    </cfRule>
    <cfRule type="containsText" priority="5249" operator="containsText" dxfId="15" text="GERIATRIC">
      <formula>NOT(ISERROR(SEARCH(("GERIATRIC"),(AS25))))</formula>
    </cfRule>
    <cfRule type="containsText" priority="5250" operator="containsText" dxfId="17" text="VACATION">
      <formula>NOT(ISERROR(SEARCH(("VACATION"),(AS25))))</formula>
    </cfRule>
    <cfRule type="containsText" priority="5251" operator="containsText" dxfId="7" text="PATH">
      <formula>NOT(ISERROR(SEARCH(("PATH"),(AS25))))</formula>
    </cfRule>
    <cfRule type="containsText" priority="5252" operator="containsText" dxfId="7" text="NEPHRO">
      <formula>NOT(ISERROR(SEARCH(("NEPHRO"),(AS25))))</formula>
    </cfRule>
    <cfRule type="containsText" priority="5253" operator="containsText" dxfId="7" text="PULM">
      <formula>NOT(ISERROR(SEARCH(("PULM"),(AS25))))</formula>
    </cfRule>
    <cfRule type="containsText" priority="5254" operator="containsText" dxfId="7" text="RADIOLOGY">
      <formula>NOT(ISERROR(SEARCH(("RADIOLOGY"),(AS25))))</formula>
    </cfRule>
    <cfRule type="containsText" priority="5255" operator="containsText" dxfId="7" text="HEM/ONC">
      <formula>NOT(ISERROR(SEARCH(("HEM/ONC"),(AS25))))</formula>
    </cfRule>
    <cfRule type="containsText" priority="5256" operator="containsText" dxfId="7" text="CARDIO">
      <formula>NOT(ISERROR(SEARCH(("CARDIO"),(AS25))))</formula>
    </cfRule>
    <cfRule type="containsText" priority="5257" operator="containsText" dxfId="7" text="ID">
      <formula>NOT(ISERROR(SEARCH(("ID"),(AS25))))</formula>
    </cfRule>
    <cfRule type="containsText" priority="5258" operator="containsText" dxfId="7" text="NEURO">
      <formula>NOT(ISERROR(SEARCH(("NEURO"),(AS25))))</formula>
    </cfRule>
    <cfRule type="containsText" priority="5259" operator="containsText" dxfId="6" text="NEURO">
      <formula>NOT(ISERROR(SEARCH(("NEURO"),(AS25))))</formula>
    </cfRule>
    <cfRule type="containsText" priority="5260" operator="containsText" dxfId="5" text="NEURO">
      <formula>NOT(ISERROR(SEARCH(("NEURO"),(AS25))))</formula>
    </cfRule>
    <cfRule type="containsText" priority="5261" operator="containsText" dxfId="0" text="ICU N">
      <formula>NOT(ISERROR(SEARCH(("ICU N"),(AS25))))</formula>
    </cfRule>
    <cfRule type="containsText" priority="5262" operator="containsText" dxfId="3" text="ICU">
      <formula>NOT(ISERROR(SEARCH(("ICU"),(AS25))))</formula>
    </cfRule>
    <cfRule type="containsText" priority="5263" operator="containsText" dxfId="0" text="SWING">
      <formula>NOT(ISERROR(SEARCH(("SWING"),(AS25))))</formula>
    </cfRule>
    <cfRule type="containsText" priority="5264" operator="containsText" dxfId="0" text="NF">
      <formula>NOT(ISERROR(SEARCH(("NF"),(AS25))))</formula>
    </cfRule>
    <cfRule type="containsText" priority="5265" operator="containsText" dxfId="0" text="ICU N">
      <formula>NOT(ISERROR(SEARCH(("ICU N"),(AS25))))</formula>
    </cfRule>
  </conditionalFormatting>
  <conditionalFormatting sqref="AF45">
    <cfRule type="containsText" priority="5247" operator="containsText" dxfId="17" text="VACATION">
      <formula>NOT(ISERROR(SEARCH(("VACATION"),(AF45))))</formula>
    </cfRule>
    <cfRule type="containsText" priority="5246" operator="containsText" dxfId="17" text="VACATION">
      <formula>NOT(ISERROR(SEARCH(("VACATION"),(AF45))))</formula>
    </cfRule>
    <cfRule type="containsText" priority="5245" operator="containsText" dxfId="17" text="VACATION">
      <formula>NOT(ISERROR(SEARCH(("VACATION"),(AF45))))</formula>
    </cfRule>
  </conditionalFormatting>
  <conditionalFormatting sqref="AN24">
    <cfRule type="containsText" priority="5243" operator="containsText" dxfId="16" text="ED">
      <formula>NOT(ISERROR(SEARCH(("ED"),(AN24))))</formula>
    </cfRule>
    <cfRule type="containsText" priority="5244" operator="containsText" dxfId="15" text="GERIATRIC">
      <formula>NOT(ISERROR(SEARCH(("GERIATRIC"),(AN24))))</formula>
    </cfRule>
  </conditionalFormatting>
  <conditionalFormatting sqref="AW51">
    <cfRule type="containsText" priority="5153" operator="containsText" dxfId="16" text="ED">
      <formula>NOT(ISERROR(SEARCH(("ED"),(AW51))))</formula>
    </cfRule>
    <cfRule type="containsText" priority="5154" operator="containsText" dxfId="15" text="GERIATRIC">
      <formula>NOT(ISERROR(SEARCH(("GERIATRIC"),(AW51))))</formula>
    </cfRule>
    <cfRule type="containsText" priority="5155" operator="containsText" dxfId="17" text="VACATION">
      <formula>NOT(ISERROR(SEARCH(("VACATION"),(AW51))))</formula>
    </cfRule>
    <cfRule type="containsText" priority="5156" operator="containsText" dxfId="7" text="PATH">
      <formula>NOT(ISERROR(SEARCH(("PATH"),(AW51))))</formula>
    </cfRule>
    <cfRule type="containsText" priority="5157" operator="containsText" dxfId="7" text="NEPHRO">
      <formula>NOT(ISERROR(SEARCH(("NEPHRO"),(AW51))))</formula>
    </cfRule>
    <cfRule type="containsText" priority="5158" operator="containsText" dxfId="7" text="PULM">
      <formula>NOT(ISERROR(SEARCH(("PULM"),(AW51))))</formula>
    </cfRule>
    <cfRule type="containsText" priority="5159" operator="containsText" dxfId="7" text="RADIOLOGY">
      <formula>NOT(ISERROR(SEARCH(("RADIOLOGY"),(AW51))))</formula>
    </cfRule>
    <cfRule type="containsText" priority="5160" operator="containsText" dxfId="7" text="HEM/ONC">
      <formula>NOT(ISERROR(SEARCH(("HEM/ONC"),(AW51))))</formula>
    </cfRule>
    <cfRule type="containsText" priority="5161" operator="containsText" dxfId="7" text="CARDIO">
      <formula>NOT(ISERROR(SEARCH(("CARDIO"),(AW51))))</formula>
    </cfRule>
    <cfRule type="containsText" priority="5162" operator="containsText" dxfId="7" text="ID">
      <formula>NOT(ISERROR(SEARCH(("ID"),(AW51))))</formula>
    </cfRule>
    <cfRule type="containsText" priority="5163" operator="containsText" dxfId="7" text="NEURO">
      <formula>NOT(ISERROR(SEARCH(("NEURO"),(AW51))))</formula>
    </cfRule>
    <cfRule type="containsText" priority="5164" operator="containsText" dxfId="6" text="NEURO">
      <formula>NOT(ISERROR(SEARCH(("NEURO"),(AW51))))</formula>
    </cfRule>
    <cfRule type="containsText" priority="5165" operator="containsText" dxfId="5" text="NEURO">
      <formula>NOT(ISERROR(SEARCH(("NEURO"),(AW51))))</formula>
    </cfRule>
    <cfRule type="containsText" priority="5166" operator="containsText" dxfId="0" text="ICU N">
      <formula>NOT(ISERROR(SEARCH(("ICU N"),(AW51))))</formula>
    </cfRule>
    <cfRule type="containsText" priority="5167" operator="containsText" dxfId="3" text="ICU">
      <formula>NOT(ISERROR(SEARCH(("ICU"),(AW51))))</formula>
    </cfRule>
    <cfRule type="containsText" priority="5168" operator="containsText" dxfId="0" text="SWING">
      <formula>NOT(ISERROR(SEARCH(("SWING"),(AW51))))</formula>
    </cfRule>
    <cfRule type="containsText" priority="5169" operator="containsText" dxfId="0" text="NF">
      <formula>NOT(ISERROR(SEARCH(("NF"),(AW51))))</formula>
    </cfRule>
    <cfRule type="containsText" priority="5170" operator="containsText" dxfId="0" text="ICU N">
      <formula>NOT(ISERROR(SEARCH(("ICU N"),(AW51))))</formula>
    </cfRule>
    <cfRule type="containsText" priority="5136" operator="containsText" dxfId="17" text="VACATION">
      <formula>NOT(ISERROR(SEARCH(("VACATION"),(AW51))))</formula>
    </cfRule>
    <cfRule type="containsText" priority="5137" operator="containsText" dxfId="16" text="ED">
      <formula>NOT(ISERROR(SEARCH(("ED"),(AW51))))</formula>
    </cfRule>
    <cfRule type="containsText" priority="5138" operator="containsText" dxfId="15" text="GERIATRIC">
      <formula>NOT(ISERROR(SEARCH(("GERIATRIC"),(AW51))))</formula>
    </cfRule>
    <cfRule type="containsText" priority="5139" operator="containsText" dxfId="7" text="PATH">
      <formula>NOT(ISERROR(SEARCH(("PATH"),(AW51))))</formula>
    </cfRule>
    <cfRule type="containsText" priority="5140" operator="containsText" dxfId="7" text="NEPHRO">
      <formula>NOT(ISERROR(SEARCH(("NEPHRO"),(AW51))))</formula>
    </cfRule>
    <cfRule type="containsText" priority="5141" operator="containsText" dxfId="7" text="PULM">
      <formula>NOT(ISERROR(SEARCH(("PULM"),(AW51))))</formula>
    </cfRule>
    <cfRule type="containsText" priority="5142" operator="containsText" dxfId="7" text="RADIOLOGY">
      <formula>NOT(ISERROR(SEARCH(("RADIOLOGY"),(AW51))))</formula>
    </cfRule>
    <cfRule type="containsText" priority="5143" operator="containsText" dxfId="7" text="HEM/ONC">
      <formula>NOT(ISERROR(SEARCH(("HEM/ONC"),(AW51))))</formula>
    </cfRule>
    <cfRule type="containsText" priority="5144" operator="containsText" dxfId="7" text="CARDIO">
      <formula>NOT(ISERROR(SEARCH(("CARDIO"),(AW51))))</formula>
    </cfRule>
    <cfRule type="containsText" priority="5145" operator="containsText" dxfId="7" text="ID">
      <formula>NOT(ISERROR(SEARCH(("ID"),(AW51))))</formula>
    </cfRule>
    <cfRule type="containsText" priority="5146" operator="containsText" dxfId="7" text="NEURO">
      <formula>NOT(ISERROR(SEARCH(("NEURO"),(AW51))))</formula>
    </cfRule>
    <cfRule type="containsText" priority="5147" operator="containsText" dxfId="6" text="NEURO">
      <formula>NOT(ISERROR(SEARCH(("NEURO"),(AW51))))</formula>
    </cfRule>
    <cfRule type="containsText" priority="5148" operator="containsText" dxfId="5" text="NEURO">
      <formula>NOT(ISERROR(SEARCH(("NEURO"),(AW51))))</formula>
    </cfRule>
    <cfRule type="containsText" priority="5149" operator="containsText" dxfId="0" text="ICU N">
      <formula>NOT(ISERROR(SEARCH(("ICU N"),(AW51))))</formula>
    </cfRule>
    <cfRule type="containsText" priority="5150" operator="containsText" dxfId="3" text="ICU">
      <formula>NOT(ISERROR(SEARCH(("ICU"),(AW51))))</formula>
    </cfRule>
    <cfRule type="containsText" priority="5151" operator="containsText" dxfId="0" text="SWING">
      <formula>NOT(ISERROR(SEARCH(("SWING"),(AW51))))</formula>
    </cfRule>
    <cfRule type="containsText" priority="5152" operator="containsText" dxfId="0" text="NF">
      <formula>NOT(ISERROR(SEARCH(("NF"),(AW51))))</formula>
    </cfRule>
    <cfRule type="containsText" priority="5121" operator="containsText" dxfId="7" text="PATH">
      <formula>NOT(ISERROR(SEARCH(("PATH"),(AW51))))</formula>
    </cfRule>
    <cfRule type="containsText" priority="5122" operator="containsText" dxfId="7" text="NEPHRO">
      <formula>NOT(ISERROR(SEARCH(("NEPHRO"),(AW51))))</formula>
    </cfRule>
    <cfRule type="containsText" priority="5123" operator="containsText" dxfId="7" text="PULM">
      <formula>NOT(ISERROR(SEARCH(("PULM"),(AW51))))</formula>
    </cfRule>
    <cfRule type="containsText" priority="5124" operator="containsText" dxfId="7" text="RADIOLOGY">
      <formula>NOT(ISERROR(SEARCH(("RADIOLOGY"),(AW51))))</formula>
    </cfRule>
    <cfRule type="containsText" priority="5125" operator="containsText" dxfId="7" text="HEM/ONC">
      <formula>NOT(ISERROR(SEARCH(("HEM/ONC"),(AW51))))</formula>
    </cfRule>
    <cfRule type="containsText" priority="5126" operator="containsText" dxfId="7" text="CARDIO">
      <formula>NOT(ISERROR(SEARCH(("CARDIO"),(AW51))))</formula>
    </cfRule>
    <cfRule type="containsText" priority="5127" operator="containsText" dxfId="7" text="ID">
      <formula>NOT(ISERROR(SEARCH(("ID"),(AW51))))</formula>
    </cfRule>
    <cfRule type="containsText" priority="5128" operator="containsText" dxfId="7" text="NEURO">
      <formula>NOT(ISERROR(SEARCH(("NEURO"),(AW51))))</formula>
    </cfRule>
    <cfRule type="containsText" priority="5129" operator="containsText" dxfId="6" text="NEURO">
      <formula>NOT(ISERROR(SEARCH(("NEURO"),(AW51))))</formula>
    </cfRule>
    <cfRule type="containsText" priority="5130" operator="containsText" dxfId="5" text="NEURO">
      <formula>NOT(ISERROR(SEARCH(("NEURO"),(AW51))))</formula>
    </cfRule>
    <cfRule type="containsText" priority="5131" operator="containsText" dxfId="0" text="ICU N">
      <formula>NOT(ISERROR(SEARCH(("ICU N"),(AW51))))</formula>
    </cfRule>
    <cfRule type="containsText" priority="5132" operator="containsText" dxfId="3" text="ICU">
      <formula>NOT(ISERROR(SEARCH(("ICU"),(AW51))))</formula>
    </cfRule>
    <cfRule type="containsText" priority="5133" operator="containsText" dxfId="0" text="SWING">
      <formula>NOT(ISERROR(SEARCH(("SWING"),(AW51))))</formula>
    </cfRule>
    <cfRule type="containsText" priority="5134" operator="containsText" dxfId="0" text="NF">
      <formula>NOT(ISERROR(SEARCH(("NF"),(AW51))))</formula>
    </cfRule>
    <cfRule type="containsText" priority="5135" operator="containsText" dxfId="0" text="ICU N">
      <formula>NOT(ISERROR(SEARCH(("ICU N"),(AW51))))</formula>
    </cfRule>
  </conditionalFormatting>
  <conditionalFormatting sqref="BB41">
    <cfRule type="containsText" priority="5120" operator="containsText" dxfId="0" text="ICU N">
      <formula>NOT(ISERROR(SEARCH(("ICU N"),(BB41))))</formula>
    </cfRule>
  </conditionalFormatting>
  <conditionalFormatting sqref="X42">
    <cfRule type="containsText" priority="5115" operator="containsText" dxfId="17" text="VACATION">
      <formula>NOT(ISERROR(SEARCH(("VACATION"),(X42))))</formula>
    </cfRule>
    <cfRule type="containsText" priority="5116" operator="containsText" dxfId="16" text="ED">
      <formula>NOT(ISERROR(SEARCH(("ED"),(X42))))</formula>
    </cfRule>
    <cfRule type="containsText" priority="5117" operator="containsText" dxfId="15" text="GERIATRIC">
      <formula>NOT(ISERROR(SEARCH(("GERIATRIC"),(X42))))</formula>
    </cfRule>
    <cfRule type="containsText" priority="5118" operator="containsText" dxfId="0" text="ICU N">
      <formula>NOT(ISERROR(SEARCH(("ICU N"),(X42))))</formula>
    </cfRule>
    <cfRule type="containsText" priority="5111" operator="containsText" dxfId="17" text="VACATION">
      <formula>NOT(ISERROR(SEARCH(("VACATION"),(X42))))</formula>
    </cfRule>
    <cfRule type="containsText" priority="5112" operator="containsText" dxfId="16" text="ED">
      <formula>NOT(ISERROR(SEARCH(("ED"),(X42))))</formula>
    </cfRule>
    <cfRule type="containsText" priority="5113" operator="containsText" dxfId="15" text="GERIATRIC">
      <formula>NOT(ISERROR(SEARCH(("GERIATRIC"),(X42))))</formula>
    </cfRule>
    <cfRule type="containsText" priority="5114" operator="containsText" dxfId="0" text="ICU N">
      <formula>NOT(ISERROR(SEARCH(("ICU N"),(X42))))</formula>
    </cfRule>
  </conditionalFormatting>
  <conditionalFormatting sqref="F43">
    <cfRule type="containsText" priority="5093" operator="containsText" dxfId="16" text="ED">
      <formula>NOT(ISERROR(SEARCH(("ED"),(F43))))</formula>
    </cfRule>
    <cfRule type="containsText" priority="5094" operator="containsText" dxfId="15" text="GERIATRIC">
      <formula>NOT(ISERROR(SEARCH(("GERIATRIC"),(F43))))</formula>
    </cfRule>
    <cfRule type="containsText" priority="5095" operator="containsText" dxfId="17" text="VACATION">
      <formula>NOT(ISERROR(SEARCH(("VACATION"),(F43))))</formula>
    </cfRule>
    <cfRule type="containsText" priority="5096" operator="containsText" dxfId="7" text="PATH">
      <formula>NOT(ISERROR(SEARCH(("PATH"),(F43))))</formula>
    </cfRule>
    <cfRule type="containsText" priority="5097" operator="containsText" dxfId="7" text="NEPHRO">
      <formula>NOT(ISERROR(SEARCH(("NEPHRO"),(F43))))</formula>
    </cfRule>
    <cfRule type="containsText" priority="5098" operator="containsText" dxfId="7" text="PULM">
      <formula>NOT(ISERROR(SEARCH(("PULM"),(F43))))</formula>
    </cfRule>
    <cfRule type="containsText" priority="5099" operator="containsText" dxfId="7" text="RADIOLOGY">
      <formula>NOT(ISERROR(SEARCH(("RADIOLOGY"),(F43))))</formula>
    </cfRule>
    <cfRule type="containsText" priority="5100" operator="containsText" dxfId="7" text="HEM/ONC">
      <formula>NOT(ISERROR(SEARCH(("HEM/ONC"),(F43))))</formula>
    </cfRule>
    <cfRule type="containsText" priority="5101" operator="containsText" dxfId="7" text="CARDIO">
      <formula>NOT(ISERROR(SEARCH(("CARDIO"),(F43))))</formula>
    </cfRule>
    <cfRule type="containsText" priority="5102" operator="containsText" dxfId="7" text="ID">
      <formula>NOT(ISERROR(SEARCH(("ID"),(F43))))</formula>
    </cfRule>
    <cfRule type="containsText" priority="5103" operator="containsText" dxfId="7" text="NEURO">
      <formula>NOT(ISERROR(SEARCH(("NEURO"),(F43))))</formula>
    </cfRule>
    <cfRule type="containsText" priority="5104" operator="containsText" dxfId="6" text="NEURO">
      <formula>NOT(ISERROR(SEARCH(("NEURO"),(F43))))</formula>
    </cfRule>
    <cfRule type="containsText" priority="5105" operator="containsText" dxfId="5" text="NEURO">
      <formula>NOT(ISERROR(SEARCH(("NEURO"),(F43))))</formula>
    </cfRule>
    <cfRule type="containsText" priority="5106" operator="containsText" dxfId="0" text="ICU N">
      <formula>NOT(ISERROR(SEARCH(("ICU N"),(F43))))</formula>
    </cfRule>
    <cfRule type="containsText" priority="5107" operator="containsText" dxfId="3" text="ICU">
      <formula>NOT(ISERROR(SEARCH(("ICU"),(F43))))</formula>
    </cfRule>
    <cfRule type="containsText" priority="5108" operator="containsText" dxfId="0" text="SWING">
      <formula>NOT(ISERROR(SEARCH(("SWING"),(F43))))</formula>
    </cfRule>
    <cfRule type="containsText" priority="5109" operator="containsText" dxfId="0" text="NF">
      <formula>NOT(ISERROR(SEARCH(("NF"),(F43))))</formula>
    </cfRule>
    <cfRule type="containsText" priority="5110" operator="containsText" dxfId="0" text="ICU N">
      <formula>NOT(ISERROR(SEARCH(("ICU N"),(F43))))</formula>
    </cfRule>
    <cfRule type="containsText" priority="5075" operator="containsText" dxfId="16" text="ED">
      <formula>NOT(ISERROR(SEARCH(("ED"),(F43))))</formula>
    </cfRule>
    <cfRule type="containsText" priority="5076" operator="containsText" dxfId="15" text="GERIATRIC">
      <formula>NOT(ISERROR(SEARCH(("GERIATRIC"),(F43))))</formula>
    </cfRule>
    <cfRule type="containsText" priority="5077" operator="containsText" dxfId="17" text="VACATION">
      <formula>NOT(ISERROR(SEARCH(("VACATION"),(F43))))</formula>
    </cfRule>
    <cfRule type="containsText" priority="5078" operator="containsText" dxfId="7" text="PATH">
      <formula>NOT(ISERROR(SEARCH(("PATH"),(F43))))</formula>
    </cfRule>
    <cfRule type="containsText" priority="5079" operator="containsText" dxfId="7" text="NEPHRO">
      <formula>NOT(ISERROR(SEARCH(("NEPHRO"),(F43))))</formula>
    </cfRule>
    <cfRule type="containsText" priority="5080" operator="containsText" dxfId="7" text="PULM">
      <formula>NOT(ISERROR(SEARCH(("PULM"),(F43))))</formula>
    </cfRule>
    <cfRule type="containsText" priority="5081" operator="containsText" dxfId="7" text="RADIOLOGY">
      <formula>NOT(ISERROR(SEARCH(("RADIOLOGY"),(F43))))</formula>
    </cfRule>
    <cfRule type="containsText" priority="5082" operator="containsText" dxfId="7" text="HEM/ONC">
      <formula>NOT(ISERROR(SEARCH(("HEM/ONC"),(F43))))</formula>
    </cfRule>
    <cfRule type="containsText" priority="5083" operator="containsText" dxfId="7" text="CARDIO">
      <formula>NOT(ISERROR(SEARCH(("CARDIO"),(F43))))</formula>
    </cfRule>
    <cfRule type="containsText" priority="5084" operator="containsText" dxfId="7" text="ID">
      <formula>NOT(ISERROR(SEARCH(("ID"),(F43))))</formula>
    </cfRule>
    <cfRule type="containsText" priority="5085" operator="containsText" dxfId="7" text="NEURO">
      <formula>NOT(ISERROR(SEARCH(("NEURO"),(F43))))</formula>
    </cfRule>
    <cfRule type="containsText" priority="5086" operator="containsText" dxfId="6" text="NEURO">
      <formula>NOT(ISERROR(SEARCH(("NEURO"),(F43))))</formula>
    </cfRule>
    <cfRule type="containsText" priority="5087" operator="containsText" dxfId="5" text="NEURO">
      <formula>NOT(ISERROR(SEARCH(("NEURO"),(F43))))</formula>
    </cfRule>
    <cfRule type="containsText" priority="5088" operator="containsText" dxfId="0" text="ICU N">
      <formula>NOT(ISERROR(SEARCH(("ICU N"),(F43))))</formula>
    </cfRule>
    <cfRule type="containsText" priority="5089" operator="containsText" dxfId="3" text="ICU">
      <formula>NOT(ISERROR(SEARCH(("ICU"),(F43))))</formula>
    </cfRule>
    <cfRule type="containsText" priority="5090" operator="containsText" dxfId="0" text="SWING">
      <formula>NOT(ISERROR(SEARCH(("SWING"),(F43))))</formula>
    </cfRule>
    <cfRule type="containsText" priority="5091" operator="containsText" dxfId="0" text="NF">
      <formula>NOT(ISERROR(SEARCH(("NF"),(F43))))</formula>
    </cfRule>
    <cfRule type="containsText" priority="5092" operator="containsText" dxfId="0" text="ICU N">
      <formula>NOT(ISERROR(SEARCH(("ICU N"),(F43))))</formula>
    </cfRule>
  </conditionalFormatting>
  <conditionalFormatting sqref="O38">
    <cfRule type="containsText" priority="5001" operator="containsText" dxfId="17" text="VACATION">
      <formula>NOT(ISERROR(SEARCH(("VACATION"),(O38))))</formula>
    </cfRule>
    <cfRule type="containsText" priority="5002" operator="containsText" dxfId="0" text="ICU N">
      <formula>NOT(ISERROR(SEARCH(("ICU N"),(O38))))</formula>
    </cfRule>
  </conditionalFormatting>
  <conditionalFormatting sqref="T19">
    <cfRule type="containsText" priority="4987" operator="containsText" dxfId="15" text="GERIATRIC">
      <formula>NOT(ISERROR(SEARCH(("GERIATRIC"),(T19))))</formula>
    </cfRule>
    <cfRule type="containsText" priority="4988" operator="containsText" dxfId="7" text="PATH">
      <formula>NOT(ISERROR(SEARCH(("PATH"),(T19))))</formula>
    </cfRule>
    <cfRule type="containsText" priority="4989" operator="containsText" dxfId="7" text="NEPHRO">
      <formula>NOT(ISERROR(SEARCH(("NEPHRO"),(T19))))</formula>
    </cfRule>
    <cfRule type="containsText" priority="4990" operator="containsText" dxfId="7" text="PULM">
      <formula>NOT(ISERROR(SEARCH(("PULM"),(T19))))</formula>
    </cfRule>
    <cfRule type="containsText" priority="4991" operator="containsText" dxfId="7" text="RADIOLOGY">
      <formula>NOT(ISERROR(SEARCH(("RADIOLOGY"),(T19))))</formula>
    </cfRule>
    <cfRule type="containsText" priority="4992" operator="containsText" dxfId="7" text="HEM/ONC">
      <formula>NOT(ISERROR(SEARCH(("HEM/ONC"),(T19))))</formula>
    </cfRule>
    <cfRule type="containsText" priority="4993" operator="containsText" dxfId="7" text="CARDIO">
      <formula>NOT(ISERROR(SEARCH(("CARDIO"),(T19))))</formula>
    </cfRule>
    <cfRule type="containsText" priority="4994" operator="containsText" dxfId="7" text="ID">
      <formula>NOT(ISERROR(SEARCH(("ID"),(T19))))</formula>
    </cfRule>
    <cfRule type="containsText" priority="4995" operator="containsText" dxfId="7" text="NEURO">
      <formula>NOT(ISERROR(SEARCH(("NEURO"),(T19))))</formula>
    </cfRule>
    <cfRule type="containsText" priority="4996" operator="containsText" dxfId="6" text="NEURO">
      <formula>NOT(ISERROR(SEARCH(("NEURO"),(T19))))</formula>
    </cfRule>
    <cfRule type="containsText" priority="4997" operator="containsText" dxfId="5" text="NEURO">
      <formula>NOT(ISERROR(SEARCH(("NEURO"),(T19))))</formula>
    </cfRule>
    <cfRule type="containsText" priority="4998" operator="containsText" dxfId="3" text="ICU">
      <formula>NOT(ISERROR(SEARCH(("ICU"),(T19))))</formula>
    </cfRule>
    <cfRule type="containsText" priority="4999" operator="containsText" dxfId="0" text="SWING">
      <formula>NOT(ISERROR(SEARCH(("SWING"),(T19))))</formula>
    </cfRule>
    <cfRule type="containsText" priority="5000" operator="containsText" dxfId="0" text="NF">
      <formula>NOT(ISERROR(SEARCH(("NF"),(T19))))</formula>
    </cfRule>
  </conditionalFormatting>
  <conditionalFormatting sqref="V42">
    <cfRule type="containsText" priority="4932" operator="containsText" dxfId="17" text="VACATION">
      <formula>NOT(ISERROR(SEARCH(("VACATION"),(V42))))</formula>
    </cfRule>
    <cfRule type="containsText" priority="4933" operator="containsText" dxfId="0" text="ICU N">
      <formula>NOT(ISERROR(SEARCH(("ICU N"),(V42))))</formula>
    </cfRule>
  </conditionalFormatting>
  <conditionalFormatting sqref="V43">
    <cfRule type="containsText" priority="4930" operator="containsText" dxfId="17" text="VACATION">
      <formula>NOT(ISERROR(SEARCH(("VACATION"),(V43))))</formula>
    </cfRule>
    <cfRule type="containsText" priority="4931" operator="containsText" dxfId="0" text="ICU N">
      <formula>NOT(ISERROR(SEARCH(("ICU N"),(V43))))</formula>
    </cfRule>
  </conditionalFormatting>
  <conditionalFormatting sqref="E30">
    <cfRule type="containsText" priority="4866" operator="containsText" dxfId="17" text="VACATION">
      <formula>NOT(ISERROR(SEARCH(("VACATION"),(E30))))</formula>
    </cfRule>
    <cfRule type="containsText" priority="4867" operator="containsText" dxfId="16" text="ED">
      <formula>NOT(ISERROR(SEARCH(("ED"),(E30))))</formula>
    </cfRule>
    <cfRule type="containsText" priority="4868" operator="containsText" dxfId="15" text="GERIATRIC">
      <formula>NOT(ISERROR(SEARCH(("GERIATRIC"),(E30))))</formula>
    </cfRule>
    <cfRule type="containsText" priority="4869" operator="containsText" dxfId="7" text="PATH">
      <formula>NOT(ISERROR(SEARCH(("PATH"),(E30))))</formula>
    </cfRule>
    <cfRule type="containsText" priority="4870" operator="containsText" dxfId="7" text="NEPHRO">
      <formula>NOT(ISERROR(SEARCH(("NEPHRO"),(E30))))</formula>
    </cfRule>
    <cfRule type="containsText" priority="4871" operator="containsText" dxfId="7" text="PULM">
      <formula>NOT(ISERROR(SEARCH(("PULM"),(E30))))</formula>
    </cfRule>
    <cfRule type="containsText" priority="4872" operator="containsText" dxfId="7" text="RADIOLOGY">
      <formula>NOT(ISERROR(SEARCH(("RADIOLOGY"),(E30))))</formula>
    </cfRule>
    <cfRule type="containsText" priority="4873" operator="containsText" dxfId="7" text="HEM/ONC">
      <formula>NOT(ISERROR(SEARCH(("HEM/ONC"),(E30))))</formula>
    </cfRule>
    <cfRule type="containsText" priority="4874" operator="containsText" dxfId="7" text="CARDIO">
      <formula>NOT(ISERROR(SEARCH(("CARDIO"),(E30))))</formula>
    </cfRule>
    <cfRule type="containsText" priority="4875" operator="containsText" dxfId="7" text="ID">
      <formula>NOT(ISERROR(SEARCH(("ID"),(E30))))</formula>
    </cfRule>
    <cfRule type="containsText" priority="4876" operator="containsText" dxfId="7" text="NEURO">
      <formula>NOT(ISERROR(SEARCH(("NEURO"),(E30))))</formula>
    </cfRule>
    <cfRule type="containsText" priority="4877" operator="containsText" dxfId="6" text="NEURO">
      <formula>NOT(ISERROR(SEARCH(("NEURO"),(E30))))</formula>
    </cfRule>
    <cfRule type="containsText" priority="4878" operator="containsText" dxfId="5" text="NEURO">
      <formula>NOT(ISERROR(SEARCH(("NEURO"),(E30))))</formula>
    </cfRule>
    <cfRule type="containsText" priority="4879" operator="containsText" dxfId="0" text="ICU N">
      <formula>NOT(ISERROR(SEARCH(("ICU N"),(E30))))</formula>
    </cfRule>
    <cfRule type="containsText" priority="4880" operator="containsText" dxfId="3" text="ICU">
      <formula>NOT(ISERROR(SEARCH(("ICU"),(E30))))</formula>
    </cfRule>
    <cfRule type="containsText" priority="4881" operator="containsText" dxfId="0" text="SWING">
      <formula>NOT(ISERROR(SEARCH(("SWING"),(E30))))</formula>
    </cfRule>
    <cfRule type="containsText" priority="4882" operator="containsText" dxfId="0" text="NF">
      <formula>NOT(ISERROR(SEARCH(("NF"),(E30))))</formula>
    </cfRule>
    <cfRule type="containsText" priority="4848" operator="containsText" dxfId="16" text="ED">
      <formula>NOT(ISERROR(SEARCH(("ED"),(E30))))</formula>
    </cfRule>
    <cfRule type="containsText" priority="4849" operator="containsText" dxfId="15" text="GERIATRIC">
      <formula>NOT(ISERROR(SEARCH(("GERIATRIC"),(E30))))</formula>
    </cfRule>
    <cfRule type="containsText" priority="4850" operator="containsText" dxfId="17" text="VACATION">
      <formula>NOT(ISERROR(SEARCH(("VACATION"),(E30))))</formula>
    </cfRule>
    <cfRule type="containsText" priority="4851" operator="containsText" dxfId="7" text="PATH">
      <formula>NOT(ISERROR(SEARCH(("PATH"),(E30))))</formula>
    </cfRule>
    <cfRule type="containsText" priority="4852" operator="containsText" dxfId="7" text="NEPHRO">
      <formula>NOT(ISERROR(SEARCH(("NEPHRO"),(E30))))</formula>
    </cfRule>
    <cfRule type="containsText" priority="4853" operator="containsText" dxfId="7" text="PULM">
      <formula>NOT(ISERROR(SEARCH(("PULM"),(E30))))</formula>
    </cfRule>
    <cfRule type="containsText" priority="4854" operator="containsText" dxfId="7" text="RADIOLOGY">
      <formula>NOT(ISERROR(SEARCH(("RADIOLOGY"),(E30))))</formula>
    </cfRule>
    <cfRule type="containsText" priority="4855" operator="containsText" dxfId="7" text="HEM/ONC">
      <formula>NOT(ISERROR(SEARCH(("HEM/ONC"),(E30))))</formula>
    </cfRule>
    <cfRule type="containsText" priority="4856" operator="containsText" dxfId="7" text="CARDIO">
      <formula>NOT(ISERROR(SEARCH(("CARDIO"),(E30))))</formula>
    </cfRule>
    <cfRule type="containsText" priority="4857" operator="containsText" dxfId="7" text="ID">
      <formula>NOT(ISERROR(SEARCH(("ID"),(E30))))</formula>
    </cfRule>
    <cfRule type="containsText" priority="4858" operator="containsText" dxfId="7" text="NEURO">
      <formula>NOT(ISERROR(SEARCH(("NEURO"),(E30))))</formula>
    </cfRule>
    <cfRule type="containsText" priority="4859" operator="containsText" dxfId="6" text="NEURO">
      <formula>NOT(ISERROR(SEARCH(("NEURO"),(E30))))</formula>
    </cfRule>
    <cfRule type="containsText" priority="4860" operator="containsText" dxfId="5" text="NEURO">
      <formula>NOT(ISERROR(SEARCH(("NEURO"),(E30))))</formula>
    </cfRule>
    <cfRule type="containsText" priority="4861" operator="containsText" dxfId="0" text="ICU N">
      <formula>NOT(ISERROR(SEARCH(("ICU N"),(E30))))</formula>
    </cfRule>
    <cfRule type="containsText" priority="4862" operator="containsText" dxfId="3" text="ICU">
      <formula>NOT(ISERROR(SEARCH(("ICU"),(E30))))</formula>
    </cfRule>
    <cfRule type="containsText" priority="4863" operator="containsText" dxfId="0" text="SWING">
      <formula>NOT(ISERROR(SEARCH(("SWING"),(E30))))</formula>
    </cfRule>
    <cfRule type="containsText" priority="4864" operator="containsText" dxfId="0" text="NF">
      <formula>NOT(ISERROR(SEARCH(("NF"),(E30))))</formula>
    </cfRule>
    <cfRule type="containsText" priority="4865" operator="containsText" dxfId="0" text="ICU N">
      <formula>NOT(ISERROR(SEARCH(("ICU N"),(E30))))</formula>
    </cfRule>
  </conditionalFormatting>
  <conditionalFormatting sqref="X49">
    <cfRule type="containsText" priority="4789" operator="containsText" dxfId="16" text="ED">
      <formula>NOT(ISERROR(SEARCH(("ED"),(X49))))</formula>
    </cfRule>
    <cfRule type="containsText" priority="4790" operator="containsText" dxfId="17" text="VACATION">
      <formula>NOT(ISERROR(SEARCH(("VACATION"),(X49))))</formula>
    </cfRule>
    <cfRule type="containsText" priority="4791" operator="containsText" dxfId="0" text="ICU N">
      <formula>NOT(ISERROR(SEARCH(("ICU N"),(X49))))</formula>
    </cfRule>
  </conditionalFormatting>
  <conditionalFormatting sqref="Z52">
    <cfRule type="containsText" priority="4770" operator="containsText" dxfId="17" text="VACATION">
      <formula>NOT(ISERROR(SEARCH(("VACATION"),(Z52))))</formula>
    </cfRule>
    <cfRule type="containsText" priority="4771" operator="containsText" dxfId="16" text="ED">
      <formula>NOT(ISERROR(SEARCH(("ED"),(Z52))))</formula>
    </cfRule>
    <cfRule type="containsText" priority="4772" operator="containsText" dxfId="15" text="GERIATRIC">
      <formula>NOT(ISERROR(SEARCH(("GERIATRIC"),(Z52))))</formula>
    </cfRule>
    <cfRule type="containsText" priority="4773" operator="containsText" dxfId="17" text="VACATION">
      <formula>NOT(ISERROR(SEARCH(("VACATION"),(Z52))))</formula>
    </cfRule>
    <cfRule type="containsText" priority="4774" operator="containsText" dxfId="7" text="PATH">
      <formula>NOT(ISERROR(SEARCH(("PATH"),(Z52))))</formula>
    </cfRule>
    <cfRule type="containsText" priority="4775" operator="containsText" dxfId="7" text="NEPHRO">
      <formula>NOT(ISERROR(SEARCH(("NEPHRO"),(Z52))))</formula>
    </cfRule>
    <cfRule type="containsText" priority="4776" operator="containsText" dxfId="7" text="PULM">
      <formula>NOT(ISERROR(SEARCH(("PULM"),(Z52))))</formula>
    </cfRule>
    <cfRule type="containsText" priority="4777" operator="containsText" dxfId="7" text="RADIOLOGY">
      <formula>NOT(ISERROR(SEARCH(("RADIOLOGY"),(Z52))))</formula>
    </cfRule>
    <cfRule type="containsText" priority="4778" operator="containsText" dxfId="7" text="HEM/ONC">
      <formula>NOT(ISERROR(SEARCH(("HEM/ONC"),(Z52))))</formula>
    </cfRule>
    <cfRule type="containsText" priority="4779" operator="containsText" dxfId="7" text="CARDIO">
      <formula>NOT(ISERROR(SEARCH(("CARDIO"),(Z52))))</formula>
    </cfRule>
    <cfRule type="containsText" priority="4780" operator="containsText" dxfId="7" text="ID">
      <formula>NOT(ISERROR(SEARCH(("ID"),(Z52))))</formula>
    </cfRule>
    <cfRule type="containsText" priority="4781" operator="containsText" dxfId="7" text="NEURO">
      <formula>NOT(ISERROR(SEARCH(("NEURO"),(Z52))))</formula>
    </cfRule>
    <cfRule type="containsText" priority="4782" operator="containsText" dxfId="6" text="NEURO">
      <formula>NOT(ISERROR(SEARCH(("NEURO"),(Z52))))</formula>
    </cfRule>
    <cfRule type="containsText" priority="4783" operator="containsText" dxfId="5" text="NEURO">
      <formula>NOT(ISERROR(SEARCH(("NEURO"),(Z52))))</formula>
    </cfRule>
    <cfRule type="containsText" priority="4784" operator="containsText" dxfId="0" text="ICU N">
      <formula>NOT(ISERROR(SEARCH(("ICU N"),(Z52))))</formula>
    </cfRule>
    <cfRule type="containsText" priority="4785" operator="containsText" dxfId="3" text="ICU">
      <formula>NOT(ISERROR(SEARCH(("ICU"),(Z52))))</formula>
    </cfRule>
    <cfRule type="containsText" priority="4786" operator="containsText" dxfId="0" text="SWING">
      <formula>NOT(ISERROR(SEARCH(("SWING"),(Z52))))</formula>
    </cfRule>
    <cfRule type="containsText" priority="4787" operator="containsText" dxfId="0" text="NF">
      <formula>NOT(ISERROR(SEARCH(("NF"),(Z52))))</formula>
    </cfRule>
    <cfRule type="containsText" priority="4788" operator="containsText" dxfId="0" text="ICU N">
      <formula>NOT(ISERROR(SEARCH(("ICU N"),(Z52))))</formula>
    </cfRule>
    <cfRule type="containsText" priority="4756" operator="containsText" dxfId="15" text="GERIATRIC">
      <formula>NOT(ISERROR(SEARCH(("GERIATRIC"),(Z52))))</formula>
    </cfRule>
    <cfRule type="containsText" priority="4757" operator="containsText" dxfId="7" text="PATH">
      <formula>NOT(ISERROR(SEARCH(("PATH"),(Z52))))</formula>
    </cfRule>
    <cfRule type="containsText" priority="4758" operator="containsText" dxfId="7" text="NEPHRO">
      <formula>NOT(ISERROR(SEARCH(("NEPHRO"),(Z52))))</formula>
    </cfRule>
    <cfRule type="containsText" priority="4759" operator="containsText" dxfId="7" text="PULM">
      <formula>NOT(ISERROR(SEARCH(("PULM"),(Z52))))</formula>
    </cfRule>
    <cfRule type="containsText" priority="4760" operator="containsText" dxfId="7" text="RADIOLOGY">
      <formula>NOT(ISERROR(SEARCH(("RADIOLOGY"),(Z52))))</formula>
    </cfRule>
    <cfRule type="containsText" priority="4761" operator="containsText" dxfId="7" text="HEM/ONC">
      <formula>NOT(ISERROR(SEARCH(("HEM/ONC"),(Z52))))</formula>
    </cfRule>
    <cfRule type="containsText" priority="4762" operator="containsText" dxfId="7" text="CARDIO">
      <formula>NOT(ISERROR(SEARCH(("CARDIO"),(Z52))))</formula>
    </cfRule>
    <cfRule type="containsText" priority="4763" operator="containsText" dxfId="7" text="ID">
      <formula>NOT(ISERROR(SEARCH(("ID"),(Z52))))</formula>
    </cfRule>
    <cfRule type="containsText" priority="4764" operator="containsText" dxfId="7" text="NEURO">
      <formula>NOT(ISERROR(SEARCH(("NEURO"),(Z52))))</formula>
    </cfRule>
    <cfRule type="containsText" priority="4765" operator="containsText" dxfId="6" text="NEURO">
      <formula>NOT(ISERROR(SEARCH(("NEURO"),(Z52))))</formula>
    </cfRule>
    <cfRule type="containsText" priority="4766" operator="containsText" dxfId="5" text="NEURO">
      <formula>NOT(ISERROR(SEARCH(("NEURO"),(Z52))))</formula>
    </cfRule>
    <cfRule type="containsText" priority="4767" operator="containsText" dxfId="3" text="ICU">
      <formula>NOT(ISERROR(SEARCH(("ICU"),(Z52))))</formula>
    </cfRule>
    <cfRule type="containsText" priority="4768" operator="containsText" dxfId="0" text="SWING">
      <formula>NOT(ISERROR(SEARCH(("SWING"),(Z52))))</formula>
    </cfRule>
    <cfRule type="containsText" priority="4769" operator="containsText" dxfId="0" text="NF">
      <formula>NOT(ISERROR(SEARCH(("NF"),(Z52))))</formula>
    </cfRule>
  </conditionalFormatting>
  <conditionalFormatting sqref="R11">
    <cfRule type="containsText" priority="4720" operator="containsText" dxfId="16" text="ED">
      <formula>NOT(ISERROR(SEARCH(("ED"),(R11))))</formula>
    </cfRule>
    <cfRule type="containsText" priority="4721" operator="containsText" dxfId="17" text="VACATION">
      <formula>NOT(ISERROR(SEARCH(("VACATION"),(R11))))</formula>
    </cfRule>
    <cfRule type="containsText" priority="4722" operator="containsText" dxfId="0" text="ICU N">
      <formula>NOT(ISERROR(SEARCH(("ICU N"),(R11))))</formula>
    </cfRule>
    <cfRule type="containsText" priority="4702" operator="containsText" dxfId="16" text="ED">
      <formula>NOT(ISERROR(SEARCH(("ED"),(R11))))</formula>
    </cfRule>
    <cfRule type="containsText" priority="4703" operator="containsText" dxfId="15" text="GERIATRIC">
      <formula>NOT(ISERROR(SEARCH(("GERIATRIC"),(R11))))</formula>
    </cfRule>
    <cfRule type="containsText" priority="4704" operator="containsText" dxfId="17" text="VACATION">
      <formula>NOT(ISERROR(SEARCH(("VACATION"),(R11))))</formula>
    </cfRule>
    <cfRule type="containsText" priority="4705" operator="containsText" dxfId="7" text="PATH">
      <formula>NOT(ISERROR(SEARCH(("PATH"),(R11))))</formula>
    </cfRule>
    <cfRule type="containsText" priority="4706" operator="containsText" dxfId="7" text="NEPHRO">
      <formula>NOT(ISERROR(SEARCH(("NEPHRO"),(R11))))</formula>
    </cfRule>
    <cfRule type="containsText" priority="4707" operator="containsText" dxfId="7" text="PULM">
      <formula>NOT(ISERROR(SEARCH(("PULM"),(R11))))</formula>
    </cfRule>
    <cfRule type="containsText" priority="4708" operator="containsText" dxfId="7" text="RADIOLOGY">
      <formula>NOT(ISERROR(SEARCH(("RADIOLOGY"),(R11))))</formula>
    </cfRule>
    <cfRule type="containsText" priority="4709" operator="containsText" dxfId="7" text="HEM/ONC">
      <formula>NOT(ISERROR(SEARCH(("HEM/ONC"),(R11))))</formula>
    </cfRule>
    <cfRule type="containsText" priority="4710" operator="containsText" dxfId="7" text="CARDIO">
      <formula>NOT(ISERROR(SEARCH(("CARDIO"),(R11))))</formula>
    </cfRule>
    <cfRule type="containsText" priority="4711" operator="containsText" dxfId="7" text="ID">
      <formula>NOT(ISERROR(SEARCH(("ID"),(R11))))</formula>
    </cfRule>
    <cfRule type="containsText" priority="4712" operator="containsText" dxfId="7" text="NEURO">
      <formula>NOT(ISERROR(SEARCH(("NEURO"),(R11))))</formula>
    </cfRule>
    <cfRule type="containsText" priority="4713" operator="containsText" dxfId="6" text="NEURO">
      <formula>NOT(ISERROR(SEARCH(("NEURO"),(R11))))</formula>
    </cfRule>
    <cfRule type="containsText" priority="4714" operator="containsText" dxfId="5" text="NEURO">
      <formula>NOT(ISERROR(SEARCH(("NEURO"),(R11))))</formula>
    </cfRule>
    <cfRule type="containsText" priority="4715" operator="containsText" dxfId="0" text="ICU N">
      <formula>NOT(ISERROR(SEARCH(("ICU N"),(R11))))</formula>
    </cfRule>
    <cfRule type="containsText" priority="4716" operator="containsText" dxfId="3" text="ICU">
      <formula>NOT(ISERROR(SEARCH(("ICU"),(R11))))</formula>
    </cfRule>
    <cfRule type="containsText" priority="4717" operator="containsText" dxfId="0" text="SWING">
      <formula>NOT(ISERROR(SEARCH(("SWING"),(R11))))</formula>
    </cfRule>
    <cfRule type="containsText" priority="4718" operator="containsText" dxfId="0" text="NF">
      <formula>NOT(ISERROR(SEARCH(("NF"),(R11))))</formula>
    </cfRule>
    <cfRule type="containsText" priority="4719" operator="containsText" dxfId="0" text="ICU N">
      <formula>NOT(ISERROR(SEARCH(("ICU N"),(R11))))</formula>
    </cfRule>
    <cfRule type="containsText" priority="4685" operator="containsText" dxfId="17" text="VACATION">
      <formula>NOT(ISERROR(SEARCH(("VACATION"),(R11))))</formula>
    </cfRule>
    <cfRule type="containsText" priority="4686" operator="containsText" dxfId="16" text="ED">
      <formula>NOT(ISERROR(SEARCH(("ED"),(R11))))</formula>
    </cfRule>
    <cfRule type="containsText" priority="4687" operator="containsText" dxfId="15" text="GERIATRIC">
      <formula>NOT(ISERROR(SEARCH(("GERIATRIC"),(R11))))</formula>
    </cfRule>
    <cfRule type="containsText" priority="4688" operator="containsText" dxfId="7" text="PATH">
      <formula>NOT(ISERROR(SEARCH(("PATH"),(R11))))</formula>
    </cfRule>
    <cfRule type="containsText" priority="4689" operator="containsText" dxfId="7" text="NEPHRO">
      <formula>NOT(ISERROR(SEARCH(("NEPHRO"),(R11))))</formula>
    </cfRule>
    <cfRule type="containsText" priority="4690" operator="containsText" dxfId="7" text="PULM">
      <formula>NOT(ISERROR(SEARCH(("PULM"),(R11))))</formula>
    </cfRule>
    <cfRule type="containsText" priority="4691" operator="containsText" dxfId="7" text="RADIOLOGY">
      <formula>NOT(ISERROR(SEARCH(("RADIOLOGY"),(R11))))</formula>
    </cfRule>
    <cfRule type="containsText" priority="4692" operator="containsText" dxfId="7" text="HEM/ONC">
      <formula>NOT(ISERROR(SEARCH(("HEM/ONC"),(R11))))</formula>
    </cfRule>
    <cfRule type="containsText" priority="4693" operator="containsText" dxfId="7" text="CARDIO">
      <formula>NOT(ISERROR(SEARCH(("CARDIO"),(R11))))</formula>
    </cfRule>
    <cfRule type="containsText" priority="4694" operator="containsText" dxfId="7" text="ID">
      <formula>NOT(ISERROR(SEARCH(("ID"),(R11))))</formula>
    </cfRule>
    <cfRule type="containsText" priority="4695" operator="containsText" dxfId="7" text="NEURO">
      <formula>NOT(ISERROR(SEARCH(("NEURO"),(R11))))</formula>
    </cfRule>
    <cfRule type="containsText" priority="4696" operator="containsText" dxfId="6" text="NEURO">
      <formula>NOT(ISERROR(SEARCH(("NEURO"),(R11))))</formula>
    </cfRule>
    <cfRule type="containsText" priority="4697" operator="containsText" dxfId="5" text="NEURO">
      <formula>NOT(ISERROR(SEARCH(("NEURO"),(R11))))</formula>
    </cfRule>
    <cfRule type="containsText" priority="4698" operator="containsText" dxfId="0" text="ICU N">
      <formula>NOT(ISERROR(SEARCH(("ICU N"),(R11))))</formula>
    </cfRule>
    <cfRule type="containsText" priority="4699" operator="containsText" dxfId="3" text="ICU">
      <formula>NOT(ISERROR(SEARCH(("ICU"),(R11))))</formula>
    </cfRule>
    <cfRule type="containsText" priority="4700" operator="containsText" dxfId="0" text="SWING">
      <formula>NOT(ISERROR(SEARCH(("SWING"),(R11))))</formula>
    </cfRule>
    <cfRule type="containsText" priority="4701" operator="containsText" dxfId="0" text="NF">
      <formula>NOT(ISERROR(SEARCH(("NF"),(R11))))</formula>
    </cfRule>
    <cfRule type="containsText" priority="4670" operator="containsText" dxfId="7" text="PATH">
      <formula>NOT(ISERROR(SEARCH(("PATH"),(R11))))</formula>
    </cfRule>
    <cfRule type="containsText" priority="4671" operator="containsText" dxfId="7" text="NEPHRO">
      <formula>NOT(ISERROR(SEARCH(("NEPHRO"),(R11))))</formula>
    </cfRule>
    <cfRule type="containsText" priority="4672" operator="containsText" dxfId="7" text="PULM">
      <formula>NOT(ISERROR(SEARCH(("PULM"),(R11))))</formula>
    </cfRule>
    <cfRule type="containsText" priority="4673" operator="containsText" dxfId="7" text="RADIOLOGY">
      <formula>NOT(ISERROR(SEARCH(("RADIOLOGY"),(R11))))</formula>
    </cfRule>
    <cfRule type="containsText" priority="4674" operator="containsText" dxfId="7" text="HEM/ONC">
      <formula>NOT(ISERROR(SEARCH(("HEM/ONC"),(R11))))</formula>
    </cfRule>
    <cfRule type="containsText" priority="4675" operator="containsText" dxfId="7" text="CARDIO">
      <formula>NOT(ISERROR(SEARCH(("CARDIO"),(R11))))</formula>
    </cfRule>
    <cfRule type="containsText" priority="4676" operator="containsText" dxfId="7" text="ID">
      <formula>NOT(ISERROR(SEARCH(("ID"),(R11))))</formula>
    </cfRule>
    <cfRule type="containsText" priority="4677" operator="containsText" dxfId="7" text="NEURO">
      <formula>NOT(ISERROR(SEARCH(("NEURO"),(R11))))</formula>
    </cfRule>
    <cfRule type="containsText" priority="4678" operator="containsText" dxfId="6" text="NEURO">
      <formula>NOT(ISERROR(SEARCH(("NEURO"),(R11))))</formula>
    </cfRule>
    <cfRule type="containsText" priority="4679" operator="containsText" dxfId="5" text="NEURO">
      <formula>NOT(ISERROR(SEARCH(("NEURO"),(R11))))</formula>
    </cfRule>
    <cfRule type="containsText" priority="4680" operator="containsText" dxfId="0" text="ICU N">
      <formula>NOT(ISERROR(SEARCH(("ICU N"),(R11))))</formula>
    </cfRule>
    <cfRule type="containsText" priority="4681" operator="containsText" dxfId="3" text="ICU">
      <formula>NOT(ISERROR(SEARCH(("ICU"),(R11))))</formula>
    </cfRule>
    <cfRule type="containsText" priority="4682" operator="containsText" dxfId="0" text="SWING">
      <formula>NOT(ISERROR(SEARCH(("SWING"),(R11))))</formula>
    </cfRule>
    <cfRule type="containsText" priority="4683" operator="containsText" dxfId="0" text="NF">
      <formula>NOT(ISERROR(SEARCH(("NF"),(R11))))</formula>
    </cfRule>
    <cfRule type="containsText" priority="4684" operator="containsText" dxfId="0" text="ICU N">
      <formula>NOT(ISERROR(SEARCH(("ICU N"),(R11))))</formula>
    </cfRule>
  </conditionalFormatting>
  <conditionalFormatting sqref="F53">
    <cfRule type="containsText" priority="4539" operator="containsText" dxfId="16" text="ED">
      <formula>NOT(ISERROR(SEARCH(("ED"),(F53))))</formula>
    </cfRule>
    <cfRule type="containsText" priority="4540" operator="containsText" dxfId="15" text="GERIATRIC">
      <formula>NOT(ISERROR(SEARCH(("GERIATRIC"),(F53))))</formula>
    </cfRule>
    <cfRule type="containsText" priority="4541" operator="containsText" dxfId="17" text="VACATION">
      <formula>NOT(ISERROR(SEARCH(("VACATION"),(F53))))</formula>
    </cfRule>
    <cfRule type="containsText" priority="4542" operator="containsText" dxfId="7" text="PATH">
      <formula>NOT(ISERROR(SEARCH(("PATH"),(F53))))</formula>
    </cfRule>
    <cfRule type="containsText" priority="4543" operator="containsText" dxfId="7" text="NEPHRO">
      <formula>NOT(ISERROR(SEARCH(("NEPHRO"),(F53))))</formula>
    </cfRule>
    <cfRule type="containsText" priority="4544" operator="containsText" dxfId="7" text="PULM">
      <formula>NOT(ISERROR(SEARCH(("PULM"),(F53))))</formula>
    </cfRule>
    <cfRule type="containsText" priority="4545" operator="containsText" dxfId="7" text="RADIOLOGY">
      <formula>NOT(ISERROR(SEARCH(("RADIOLOGY"),(F53))))</formula>
    </cfRule>
    <cfRule type="containsText" priority="4546" operator="containsText" dxfId="7" text="HEM/ONC">
      <formula>NOT(ISERROR(SEARCH(("HEM/ONC"),(F53))))</formula>
    </cfRule>
    <cfRule type="containsText" priority="4547" operator="containsText" dxfId="7" text="CARDIO">
      <formula>NOT(ISERROR(SEARCH(("CARDIO"),(F53))))</formula>
    </cfRule>
    <cfRule type="containsText" priority="4548" operator="containsText" dxfId="7" text="ID">
      <formula>NOT(ISERROR(SEARCH(("ID"),(F53))))</formula>
    </cfRule>
    <cfRule type="containsText" priority="4549" operator="containsText" dxfId="7" text="NEURO">
      <formula>NOT(ISERROR(SEARCH(("NEURO"),(F53))))</formula>
    </cfRule>
    <cfRule type="containsText" priority="4550" operator="containsText" dxfId="6" text="NEURO">
      <formula>NOT(ISERROR(SEARCH(("NEURO"),(F53))))</formula>
    </cfRule>
    <cfRule type="containsText" priority="4551" operator="containsText" dxfId="5" text="NEURO">
      <formula>NOT(ISERROR(SEARCH(("NEURO"),(F53))))</formula>
    </cfRule>
    <cfRule type="containsText" priority="4552" operator="containsText" dxfId="0" text="ICU N">
      <formula>NOT(ISERROR(SEARCH(("ICU N"),(F53))))</formula>
    </cfRule>
    <cfRule type="containsText" priority="4553" operator="containsText" dxfId="3" text="ICU">
      <formula>NOT(ISERROR(SEARCH(("ICU"),(F53))))</formula>
    </cfRule>
    <cfRule type="containsText" priority="4554" operator="containsText" dxfId="0" text="SWING">
      <formula>NOT(ISERROR(SEARCH(("SWING"),(F53))))</formula>
    </cfRule>
    <cfRule type="containsText" priority="4555" operator="containsText" dxfId="0" text="NF">
      <formula>NOT(ISERROR(SEARCH(("NF"),(F53))))</formula>
    </cfRule>
    <cfRule type="containsText" priority="4556" operator="containsText" dxfId="0" text="ICU N">
      <formula>NOT(ISERROR(SEARCH(("ICU N"),(F53))))</formula>
    </cfRule>
    <cfRule type="containsText" priority="4521" operator="containsText" dxfId="16" text="ED">
      <formula>NOT(ISERROR(SEARCH(("ED"),(F53))))</formula>
    </cfRule>
    <cfRule type="containsText" priority="4522" operator="containsText" dxfId="15" text="GERIATRIC">
      <formula>NOT(ISERROR(SEARCH(("GERIATRIC"),(F53))))</formula>
    </cfRule>
    <cfRule type="containsText" priority="4523" operator="containsText" dxfId="17" text="VACATION">
      <formula>NOT(ISERROR(SEARCH(("VACATION"),(F53))))</formula>
    </cfRule>
    <cfRule type="containsText" priority="4524" operator="containsText" dxfId="7" text="PATH">
      <formula>NOT(ISERROR(SEARCH(("PATH"),(F53))))</formula>
    </cfRule>
    <cfRule type="containsText" priority="4525" operator="containsText" dxfId="7" text="NEPHRO">
      <formula>NOT(ISERROR(SEARCH(("NEPHRO"),(F53))))</formula>
    </cfRule>
    <cfRule type="containsText" priority="4526" operator="containsText" dxfId="7" text="PULM">
      <formula>NOT(ISERROR(SEARCH(("PULM"),(F53))))</formula>
    </cfRule>
    <cfRule type="containsText" priority="4527" operator="containsText" dxfId="7" text="RADIOLOGY">
      <formula>NOT(ISERROR(SEARCH(("RADIOLOGY"),(F53))))</formula>
    </cfRule>
    <cfRule type="containsText" priority="4528" operator="containsText" dxfId="7" text="HEM/ONC">
      <formula>NOT(ISERROR(SEARCH(("HEM/ONC"),(F53))))</formula>
    </cfRule>
    <cfRule type="containsText" priority="4529" operator="containsText" dxfId="7" text="CARDIO">
      <formula>NOT(ISERROR(SEARCH(("CARDIO"),(F53))))</formula>
    </cfRule>
    <cfRule type="containsText" priority="4530" operator="containsText" dxfId="7" text="ID">
      <formula>NOT(ISERROR(SEARCH(("ID"),(F53))))</formula>
    </cfRule>
    <cfRule type="containsText" priority="4531" operator="containsText" dxfId="7" text="NEURO">
      <formula>NOT(ISERROR(SEARCH(("NEURO"),(F53))))</formula>
    </cfRule>
    <cfRule type="containsText" priority="4532" operator="containsText" dxfId="6" text="NEURO">
      <formula>NOT(ISERROR(SEARCH(("NEURO"),(F53))))</formula>
    </cfRule>
    <cfRule type="containsText" priority="4533" operator="containsText" dxfId="5" text="NEURO">
      <formula>NOT(ISERROR(SEARCH(("NEURO"),(F53))))</formula>
    </cfRule>
    <cfRule type="containsText" priority="4534" operator="containsText" dxfId="0" text="ICU N">
      <formula>NOT(ISERROR(SEARCH(("ICU N"),(F53))))</formula>
    </cfRule>
    <cfRule type="containsText" priority="4535" operator="containsText" dxfId="3" text="ICU">
      <formula>NOT(ISERROR(SEARCH(("ICU"),(F53))))</formula>
    </cfRule>
    <cfRule type="containsText" priority="4536" operator="containsText" dxfId="0" text="SWING">
      <formula>NOT(ISERROR(SEARCH(("SWING"),(F53))))</formula>
    </cfRule>
    <cfRule type="containsText" priority="4537" operator="containsText" dxfId="0" text="NF">
      <formula>NOT(ISERROR(SEARCH(("NF"),(F53))))</formula>
    </cfRule>
    <cfRule type="containsText" priority="4538" operator="containsText" dxfId="0" text="ICU N">
      <formula>NOT(ISERROR(SEARCH(("ICU N"),(F53))))</formula>
    </cfRule>
  </conditionalFormatting>
  <conditionalFormatting sqref="G53">
    <cfRule type="containsText" priority="4503" operator="containsText" dxfId="16" text="ED">
      <formula>NOT(ISERROR(SEARCH(("ED"),(G53))))</formula>
    </cfRule>
    <cfRule type="containsText" priority="4504" operator="containsText" dxfId="15" text="GERIATRIC">
      <formula>NOT(ISERROR(SEARCH(("GERIATRIC"),(G53))))</formula>
    </cfRule>
    <cfRule type="containsText" priority="4505" operator="containsText" dxfId="17" text="VACATION">
      <formula>NOT(ISERROR(SEARCH(("VACATION"),(G53))))</formula>
    </cfRule>
    <cfRule type="containsText" priority="4506" operator="containsText" dxfId="7" text="PATH">
      <formula>NOT(ISERROR(SEARCH(("PATH"),(G53))))</formula>
    </cfRule>
    <cfRule type="containsText" priority="4507" operator="containsText" dxfId="7" text="NEPHRO">
      <formula>NOT(ISERROR(SEARCH(("NEPHRO"),(G53))))</formula>
    </cfRule>
    <cfRule type="containsText" priority="4508" operator="containsText" dxfId="7" text="PULM">
      <formula>NOT(ISERROR(SEARCH(("PULM"),(G53))))</formula>
    </cfRule>
    <cfRule type="containsText" priority="4509" operator="containsText" dxfId="7" text="RADIOLOGY">
      <formula>NOT(ISERROR(SEARCH(("RADIOLOGY"),(G53))))</formula>
    </cfRule>
    <cfRule type="containsText" priority="4510" operator="containsText" dxfId="7" text="HEM/ONC">
      <formula>NOT(ISERROR(SEARCH(("HEM/ONC"),(G53))))</formula>
    </cfRule>
    <cfRule type="containsText" priority="4511" operator="containsText" dxfId="7" text="CARDIO">
      <formula>NOT(ISERROR(SEARCH(("CARDIO"),(G53))))</formula>
    </cfRule>
    <cfRule type="containsText" priority="4512" operator="containsText" dxfId="7" text="ID">
      <formula>NOT(ISERROR(SEARCH(("ID"),(G53))))</formula>
    </cfRule>
    <cfRule type="containsText" priority="4513" operator="containsText" dxfId="7" text="NEURO">
      <formula>NOT(ISERROR(SEARCH(("NEURO"),(G53))))</formula>
    </cfRule>
    <cfRule type="containsText" priority="4514" operator="containsText" dxfId="6" text="NEURO">
      <formula>NOT(ISERROR(SEARCH(("NEURO"),(G53))))</formula>
    </cfRule>
    <cfRule type="containsText" priority="4515" operator="containsText" dxfId="5" text="NEURO">
      <formula>NOT(ISERROR(SEARCH(("NEURO"),(G53))))</formula>
    </cfRule>
    <cfRule type="containsText" priority="4516" operator="containsText" dxfId="0" text="ICU N">
      <formula>NOT(ISERROR(SEARCH(("ICU N"),(G53))))</formula>
    </cfRule>
    <cfRule type="containsText" priority="4517" operator="containsText" dxfId="3" text="ICU">
      <formula>NOT(ISERROR(SEARCH(("ICU"),(G53))))</formula>
    </cfRule>
    <cfRule type="containsText" priority="4518" operator="containsText" dxfId="0" text="SWING">
      <formula>NOT(ISERROR(SEARCH(("SWING"),(G53))))</formula>
    </cfRule>
    <cfRule type="containsText" priority="4519" operator="containsText" dxfId="0" text="NF">
      <formula>NOT(ISERROR(SEARCH(("NF"),(G53))))</formula>
    </cfRule>
    <cfRule type="containsText" priority="4520" operator="containsText" dxfId="0" text="ICU N">
      <formula>NOT(ISERROR(SEARCH(("ICU N"),(G53))))</formula>
    </cfRule>
    <cfRule type="containsText" priority="4485" operator="containsText" dxfId="16" text="ED">
      <formula>NOT(ISERROR(SEARCH(("ED"),(G53))))</formula>
    </cfRule>
    <cfRule type="containsText" priority="4486" operator="containsText" dxfId="15" text="GERIATRIC">
      <formula>NOT(ISERROR(SEARCH(("GERIATRIC"),(G53))))</formula>
    </cfRule>
    <cfRule type="containsText" priority="4487" operator="containsText" dxfId="17" text="VACATION">
      <formula>NOT(ISERROR(SEARCH(("VACATION"),(G53))))</formula>
    </cfRule>
    <cfRule type="containsText" priority="4488" operator="containsText" dxfId="7" text="PATH">
      <formula>NOT(ISERROR(SEARCH(("PATH"),(G53))))</formula>
    </cfRule>
    <cfRule type="containsText" priority="4489" operator="containsText" dxfId="7" text="NEPHRO">
      <formula>NOT(ISERROR(SEARCH(("NEPHRO"),(G53))))</formula>
    </cfRule>
    <cfRule type="containsText" priority="4490" operator="containsText" dxfId="7" text="PULM">
      <formula>NOT(ISERROR(SEARCH(("PULM"),(G53))))</formula>
    </cfRule>
    <cfRule type="containsText" priority="4491" operator="containsText" dxfId="7" text="RADIOLOGY">
      <formula>NOT(ISERROR(SEARCH(("RADIOLOGY"),(G53))))</formula>
    </cfRule>
    <cfRule type="containsText" priority="4492" operator="containsText" dxfId="7" text="HEM/ONC">
      <formula>NOT(ISERROR(SEARCH(("HEM/ONC"),(G53))))</formula>
    </cfRule>
    <cfRule type="containsText" priority="4493" operator="containsText" dxfId="7" text="CARDIO">
      <formula>NOT(ISERROR(SEARCH(("CARDIO"),(G53))))</formula>
    </cfRule>
    <cfRule type="containsText" priority="4494" operator="containsText" dxfId="7" text="ID">
      <formula>NOT(ISERROR(SEARCH(("ID"),(G53))))</formula>
    </cfRule>
    <cfRule type="containsText" priority="4495" operator="containsText" dxfId="7" text="NEURO">
      <formula>NOT(ISERROR(SEARCH(("NEURO"),(G53))))</formula>
    </cfRule>
    <cfRule type="containsText" priority="4496" operator="containsText" dxfId="6" text="NEURO">
      <formula>NOT(ISERROR(SEARCH(("NEURO"),(G53))))</formula>
    </cfRule>
    <cfRule type="containsText" priority="4497" operator="containsText" dxfId="5" text="NEURO">
      <formula>NOT(ISERROR(SEARCH(("NEURO"),(G53))))</formula>
    </cfRule>
    <cfRule type="containsText" priority="4498" operator="containsText" dxfId="0" text="ICU N">
      <formula>NOT(ISERROR(SEARCH(("ICU N"),(G53))))</formula>
    </cfRule>
    <cfRule type="containsText" priority="4499" operator="containsText" dxfId="3" text="ICU">
      <formula>NOT(ISERROR(SEARCH(("ICU"),(G53))))</formula>
    </cfRule>
    <cfRule type="containsText" priority="4500" operator="containsText" dxfId="0" text="SWING">
      <formula>NOT(ISERROR(SEARCH(("SWING"),(G53))))</formula>
    </cfRule>
    <cfRule type="containsText" priority="4501" operator="containsText" dxfId="0" text="NF">
      <formula>NOT(ISERROR(SEARCH(("NF"),(G53))))</formula>
    </cfRule>
    <cfRule type="containsText" priority="4502" operator="containsText" dxfId="0" text="ICU N">
      <formula>NOT(ISERROR(SEARCH(("ICU N"),(G53))))</formula>
    </cfRule>
  </conditionalFormatting>
  <conditionalFormatting sqref="K42">
    <cfRule type="containsText" priority="4467" operator="containsText" dxfId="16" text="ED">
      <formula>NOT(ISERROR(SEARCH(("ED"),(K42))))</formula>
    </cfRule>
    <cfRule type="containsText" priority="4468" operator="containsText" dxfId="15" text="GERIATRIC">
      <formula>NOT(ISERROR(SEARCH(("GERIATRIC"),(K42))))</formula>
    </cfRule>
    <cfRule type="containsText" priority="4469" operator="containsText" dxfId="17" text="VACATION">
      <formula>NOT(ISERROR(SEARCH(("VACATION"),(K42))))</formula>
    </cfRule>
    <cfRule type="containsText" priority="4470" operator="containsText" dxfId="7" text="PATH">
      <formula>NOT(ISERROR(SEARCH(("PATH"),(K42))))</formula>
    </cfRule>
    <cfRule type="containsText" priority="4471" operator="containsText" dxfId="7" text="NEPHRO">
      <formula>NOT(ISERROR(SEARCH(("NEPHRO"),(K42))))</formula>
    </cfRule>
    <cfRule type="containsText" priority="4472" operator="containsText" dxfId="7" text="PULM">
      <formula>NOT(ISERROR(SEARCH(("PULM"),(K42))))</formula>
    </cfRule>
    <cfRule type="containsText" priority="4473" operator="containsText" dxfId="7" text="RADIOLOGY">
      <formula>NOT(ISERROR(SEARCH(("RADIOLOGY"),(K42))))</formula>
    </cfRule>
    <cfRule type="containsText" priority="4474" operator="containsText" dxfId="7" text="HEM/ONC">
      <formula>NOT(ISERROR(SEARCH(("HEM/ONC"),(K42))))</formula>
    </cfRule>
    <cfRule type="containsText" priority="4475" operator="containsText" dxfId="7" text="CARDIO">
      <formula>NOT(ISERROR(SEARCH(("CARDIO"),(K42))))</formula>
    </cfRule>
    <cfRule type="containsText" priority="4476" operator="containsText" dxfId="7" text="ID">
      <formula>NOT(ISERROR(SEARCH(("ID"),(K42))))</formula>
    </cfRule>
    <cfRule type="containsText" priority="4477" operator="containsText" dxfId="7" text="NEURO">
      <formula>NOT(ISERROR(SEARCH(("NEURO"),(K42))))</formula>
    </cfRule>
    <cfRule type="containsText" priority="4478" operator="containsText" dxfId="6" text="NEURO">
      <formula>NOT(ISERROR(SEARCH(("NEURO"),(K42))))</formula>
    </cfRule>
    <cfRule type="containsText" priority="4479" operator="containsText" dxfId="5" text="NEURO">
      <formula>NOT(ISERROR(SEARCH(("NEURO"),(K42))))</formula>
    </cfRule>
    <cfRule type="containsText" priority="4480" operator="containsText" dxfId="0" text="ICU N">
      <formula>NOT(ISERROR(SEARCH(("ICU N"),(K42))))</formula>
    </cfRule>
    <cfRule type="containsText" priority="4481" operator="containsText" dxfId="3" text="ICU">
      <formula>NOT(ISERROR(SEARCH(("ICU"),(K42))))</formula>
    </cfRule>
    <cfRule type="containsText" priority="4482" operator="containsText" dxfId="0" text="SWING">
      <formula>NOT(ISERROR(SEARCH(("SWING"),(K42))))</formula>
    </cfRule>
    <cfRule type="containsText" priority="4483" operator="containsText" dxfId="0" text="NF">
      <formula>NOT(ISERROR(SEARCH(("NF"),(K42))))</formula>
    </cfRule>
    <cfRule type="containsText" priority="4484" operator="containsText" dxfId="0" text="ICU N">
      <formula>NOT(ISERROR(SEARCH(("ICU N"),(K42))))</formula>
    </cfRule>
  </conditionalFormatting>
  <conditionalFormatting sqref="Y20">
    <cfRule type="containsText" priority="4453" operator="containsText" dxfId="15" text="GERIATRIC">
      <formula>NOT(ISERROR(SEARCH(("GERIATRIC"),(Y20))))</formula>
    </cfRule>
    <cfRule type="containsText" priority="4454" operator="containsText" dxfId="7" text="PATH">
      <formula>NOT(ISERROR(SEARCH(("PATH"),(Y20))))</formula>
    </cfRule>
    <cfRule type="containsText" priority="4455" operator="containsText" dxfId="7" text="NEPHRO">
      <formula>NOT(ISERROR(SEARCH(("NEPHRO"),(Y20))))</formula>
    </cfRule>
    <cfRule type="containsText" priority="4456" operator="containsText" dxfId="7" text="PULM">
      <formula>NOT(ISERROR(SEARCH(("PULM"),(Y20))))</formula>
    </cfRule>
    <cfRule type="containsText" priority="4457" operator="containsText" dxfId="7" text="RADIOLOGY">
      <formula>NOT(ISERROR(SEARCH(("RADIOLOGY"),(Y20))))</formula>
    </cfRule>
    <cfRule type="containsText" priority="4458" operator="containsText" dxfId="7" text="HEM/ONC">
      <formula>NOT(ISERROR(SEARCH(("HEM/ONC"),(Y20))))</formula>
    </cfRule>
    <cfRule type="containsText" priority="4459" operator="containsText" dxfId="7" text="CARDIO">
      <formula>NOT(ISERROR(SEARCH(("CARDIO"),(Y20))))</formula>
    </cfRule>
    <cfRule type="containsText" priority="4460" operator="containsText" dxfId="7" text="ID">
      <formula>NOT(ISERROR(SEARCH(("ID"),(Y20))))</formula>
    </cfRule>
    <cfRule type="containsText" priority="4461" operator="containsText" dxfId="7" text="NEURO">
      <formula>NOT(ISERROR(SEARCH(("NEURO"),(Y20))))</formula>
    </cfRule>
    <cfRule type="containsText" priority="4462" operator="containsText" dxfId="6" text="NEURO">
      <formula>NOT(ISERROR(SEARCH(("NEURO"),(Y20))))</formula>
    </cfRule>
    <cfRule type="containsText" priority="4463" operator="containsText" dxfId="5" text="NEURO">
      <formula>NOT(ISERROR(SEARCH(("NEURO"),(Y20))))</formula>
    </cfRule>
    <cfRule type="containsText" priority="4464" operator="containsText" dxfId="3" text="ICU">
      <formula>NOT(ISERROR(SEARCH(("ICU"),(Y20))))</formula>
    </cfRule>
    <cfRule type="containsText" priority="4465" operator="containsText" dxfId="0" text="SWING">
      <formula>NOT(ISERROR(SEARCH(("SWING"),(Y20))))</formula>
    </cfRule>
    <cfRule type="containsText" priority="4466" operator="containsText" dxfId="0" text="NF">
      <formula>NOT(ISERROR(SEARCH(("NF"),(Y20))))</formula>
    </cfRule>
    <cfRule type="containsText" priority="4439" operator="containsText" dxfId="15" text="GERIATRIC">
      <formula>NOT(ISERROR(SEARCH(("GERIATRIC"),(Y20))))</formula>
    </cfRule>
    <cfRule type="containsText" priority="4440" operator="containsText" dxfId="7" text="PATH">
      <formula>NOT(ISERROR(SEARCH(("PATH"),(Y20))))</formula>
    </cfRule>
    <cfRule type="containsText" priority="4441" operator="containsText" dxfId="7" text="NEPHRO">
      <formula>NOT(ISERROR(SEARCH(("NEPHRO"),(Y20))))</formula>
    </cfRule>
    <cfRule type="containsText" priority="4442" operator="containsText" dxfId="7" text="PULM">
      <formula>NOT(ISERROR(SEARCH(("PULM"),(Y20))))</formula>
    </cfRule>
    <cfRule type="containsText" priority="4443" operator="containsText" dxfId="7" text="RADIOLOGY">
      <formula>NOT(ISERROR(SEARCH(("RADIOLOGY"),(Y20))))</formula>
    </cfRule>
    <cfRule type="containsText" priority="4444" operator="containsText" dxfId="7" text="HEM/ONC">
      <formula>NOT(ISERROR(SEARCH(("HEM/ONC"),(Y20))))</formula>
    </cfRule>
    <cfRule type="containsText" priority="4445" operator="containsText" dxfId="7" text="CARDIO">
      <formula>NOT(ISERROR(SEARCH(("CARDIO"),(Y20))))</formula>
    </cfRule>
    <cfRule type="containsText" priority="4446" operator="containsText" dxfId="7" text="ID">
      <formula>NOT(ISERROR(SEARCH(("ID"),(Y20))))</formula>
    </cfRule>
    <cfRule type="containsText" priority="4447" operator="containsText" dxfId="7" text="NEURO">
      <formula>NOT(ISERROR(SEARCH(("NEURO"),(Y20))))</formula>
    </cfRule>
    <cfRule type="containsText" priority="4448" operator="containsText" dxfId="6" text="NEURO">
      <formula>NOT(ISERROR(SEARCH(("NEURO"),(Y20))))</formula>
    </cfRule>
    <cfRule type="containsText" priority="4449" operator="containsText" dxfId="5" text="NEURO">
      <formula>NOT(ISERROR(SEARCH(("NEURO"),(Y20))))</formula>
    </cfRule>
    <cfRule type="containsText" priority="4450" operator="containsText" dxfId="3" text="ICU">
      <formula>NOT(ISERROR(SEARCH(("ICU"),(Y20))))</formula>
    </cfRule>
    <cfRule type="containsText" priority="4451" operator="containsText" dxfId="0" text="SWING">
      <formula>NOT(ISERROR(SEARCH(("SWING"),(Y20))))</formula>
    </cfRule>
    <cfRule type="containsText" priority="4452" operator="containsText" dxfId="0" text="NF">
      <formula>NOT(ISERROR(SEARCH(("NF"),(Y20))))</formula>
    </cfRule>
    <cfRule type="containsText" priority="4437" operator="containsText" dxfId="17" text="VACATION">
      <formula>NOT(ISERROR(SEARCH(("VACATION"),(Y20))))</formula>
    </cfRule>
    <cfRule type="containsText" priority="4438" operator="containsText" dxfId="0" text="ICU N">
      <formula>NOT(ISERROR(SEARCH(("ICU N"),(Y20))))</formula>
    </cfRule>
  </conditionalFormatting>
  <conditionalFormatting sqref="L20">
    <cfRule type="containsText" priority="4435" operator="containsText" dxfId="17" text="VACATION">
      <formula>NOT(ISERROR(SEARCH(("VACATION"),(L20))))</formula>
    </cfRule>
    <cfRule type="containsText" priority="4436" operator="containsText" dxfId="0" text="ICU N">
      <formula>NOT(ISERROR(SEARCH(("ICU N"),(L20))))</formula>
    </cfRule>
    <cfRule type="containsText" priority="4434" operator="containsText" dxfId="17" text="VACATION">
      <formula>NOT(ISERROR(SEARCH(("VACATION"),(L20))))</formula>
    </cfRule>
    <cfRule type="containsText" priority="4419" operator="containsText" dxfId="7" text="PATH">
      <formula>NOT(ISERROR(SEARCH(("PATH"),(L20))))</formula>
    </cfRule>
    <cfRule type="containsText" priority="4420" operator="containsText" dxfId="7" text="NEPHRO">
      <formula>NOT(ISERROR(SEARCH(("NEPHRO"),(L20))))</formula>
    </cfRule>
    <cfRule type="containsText" priority="4421" operator="containsText" dxfId="7" text="PULM">
      <formula>NOT(ISERROR(SEARCH(("PULM"),(L20))))</formula>
    </cfRule>
    <cfRule type="containsText" priority="4422" operator="containsText" dxfId="7" text="RADIOLOGY">
      <formula>NOT(ISERROR(SEARCH(("RADIOLOGY"),(L20))))</formula>
    </cfRule>
    <cfRule type="containsText" priority="4423" operator="containsText" dxfId="7" text="HEM/ONC">
      <formula>NOT(ISERROR(SEARCH(("HEM/ONC"),(L20))))</formula>
    </cfRule>
    <cfRule type="containsText" priority="4424" operator="containsText" dxfId="7" text="CARDIO">
      <formula>NOT(ISERROR(SEARCH(("CARDIO"),(L20))))</formula>
    </cfRule>
    <cfRule type="containsText" priority="4425" operator="containsText" dxfId="7" text="ID">
      <formula>NOT(ISERROR(SEARCH(("ID"),(L20))))</formula>
    </cfRule>
    <cfRule type="containsText" priority="4426" operator="containsText" dxfId="7" text="NEURO">
      <formula>NOT(ISERROR(SEARCH(("NEURO"),(L20))))</formula>
    </cfRule>
    <cfRule type="containsText" priority="4427" operator="containsText" dxfId="6" text="NEURO">
      <formula>NOT(ISERROR(SEARCH(("NEURO"),(L20))))</formula>
    </cfRule>
    <cfRule type="containsText" priority="4428" operator="containsText" dxfId="5" text="NEURO">
      <formula>NOT(ISERROR(SEARCH(("NEURO"),(L20))))</formula>
    </cfRule>
    <cfRule type="containsText" priority="4429" operator="containsText" dxfId="0" text="ICU N">
      <formula>NOT(ISERROR(SEARCH(("ICU N"),(L20))))</formula>
    </cfRule>
    <cfRule type="containsText" priority="4430" operator="containsText" dxfId="3" text="ICU">
      <formula>NOT(ISERROR(SEARCH(("ICU"),(L20))))</formula>
    </cfRule>
    <cfRule type="containsText" priority="4431" operator="containsText" dxfId="0" text="SWING">
      <formula>NOT(ISERROR(SEARCH(("SWING"),(L20))))</formula>
    </cfRule>
    <cfRule type="containsText" priority="4432" operator="containsText" dxfId="0" text="NF">
      <formula>NOT(ISERROR(SEARCH(("NF"),(L20))))</formula>
    </cfRule>
    <cfRule type="containsText" priority="4433" operator="containsText" dxfId="0" text="ICU N">
      <formula>NOT(ISERROR(SEARCH(("ICU N"),(L20))))</formula>
    </cfRule>
  </conditionalFormatting>
  <conditionalFormatting sqref="AK51">
    <cfRule type="containsText" priority="4381" operator="containsText" dxfId="16" text="ED">
      <formula>NOT(ISERROR(SEARCH(("ED"),(AK51))))</formula>
    </cfRule>
    <cfRule type="containsText" priority="4382" operator="containsText" dxfId="17" text="VACATION">
      <formula>NOT(ISERROR(SEARCH(("VACATION"),(AK51))))</formula>
    </cfRule>
    <cfRule type="containsText" priority="4383" operator="containsText" dxfId="0" text="ICU N">
      <formula>NOT(ISERROR(SEARCH(("ICU N"),(AK51))))</formula>
    </cfRule>
  </conditionalFormatting>
  <conditionalFormatting sqref="AL51">
    <cfRule type="containsText" priority="4378" operator="containsText" dxfId="16" text="ED">
      <formula>NOT(ISERROR(SEARCH(("ED"),(AL51))))</formula>
    </cfRule>
    <cfRule type="containsText" priority="4379" operator="containsText" dxfId="17" text="VACATION">
      <formula>NOT(ISERROR(SEARCH(("VACATION"),(AL51))))</formula>
    </cfRule>
    <cfRule type="containsText" priority="4380" operator="containsText" dxfId="0" text="ICU N">
      <formula>NOT(ISERROR(SEARCH(("ICU N"),(AL51))))</formula>
    </cfRule>
  </conditionalFormatting>
  <conditionalFormatting sqref="AX51">
    <cfRule type="containsText" priority="4361" operator="containsText" dxfId="17" text="VACATION">
      <formula>NOT(ISERROR(SEARCH(("VACATION"),(AX51))))</formula>
    </cfRule>
    <cfRule type="containsText" priority="4362" operator="containsText" dxfId="16" text="ED">
      <formula>NOT(ISERROR(SEARCH(("ED"),(AX51))))</formula>
    </cfRule>
    <cfRule type="containsText" priority="4363" operator="containsText" dxfId="15" text="GERIATRIC">
      <formula>NOT(ISERROR(SEARCH(("GERIATRIC"),(AX51))))</formula>
    </cfRule>
    <cfRule type="containsText" priority="4364" operator="containsText" dxfId="7" text="PATH">
      <formula>NOT(ISERROR(SEARCH(("PATH"),(AX51))))</formula>
    </cfRule>
    <cfRule type="containsText" priority="4365" operator="containsText" dxfId="7" text="NEPHRO">
      <formula>NOT(ISERROR(SEARCH(("NEPHRO"),(AX51))))</formula>
    </cfRule>
    <cfRule type="containsText" priority="4366" operator="containsText" dxfId="7" text="PULM">
      <formula>NOT(ISERROR(SEARCH(("PULM"),(AX51))))</formula>
    </cfRule>
    <cfRule type="containsText" priority="4367" operator="containsText" dxfId="7" text="RADIOLOGY">
      <formula>NOT(ISERROR(SEARCH(("RADIOLOGY"),(AX51))))</formula>
    </cfRule>
    <cfRule type="containsText" priority="4368" operator="containsText" dxfId="7" text="HEM/ONC">
      <formula>NOT(ISERROR(SEARCH(("HEM/ONC"),(AX51))))</formula>
    </cfRule>
    <cfRule type="containsText" priority="4369" operator="containsText" dxfId="7" text="CARDIO">
      <formula>NOT(ISERROR(SEARCH(("CARDIO"),(AX51))))</formula>
    </cfRule>
    <cfRule type="containsText" priority="4370" operator="containsText" dxfId="7" text="ID">
      <formula>NOT(ISERROR(SEARCH(("ID"),(AX51))))</formula>
    </cfRule>
    <cfRule type="containsText" priority="4371" operator="containsText" dxfId="7" text="NEURO">
      <formula>NOT(ISERROR(SEARCH(("NEURO"),(AX51))))</formula>
    </cfRule>
    <cfRule type="containsText" priority="4372" operator="containsText" dxfId="6" text="NEURO">
      <formula>NOT(ISERROR(SEARCH(("NEURO"),(AX51))))</formula>
    </cfRule>
    <cfRule type="containsText" priority="4373" operator="containsText" dxfId="5" text="NEURO">
      <formula>NOT(ISERROR(SEARCH(("NEURO"),(AX51))))</formula>
    </cfRule>
    <cfRule type="containsText" priority="4374" operator="containsText" dxfId="0" text="ICU N">
      <formula>NOT(ISERROR(SEARCH(("ICU N"),(AX51))))</formula>
    </cfRule>
    <cfRule type="containsText" priority="4375" operator="containsText" dxfId="3" text="ICU">
      <formula>NOT(ISERROR(SEARCH(("ICU"),(AX51))))</formula>
    </cfRule>
    <cfRule type="containsText" priority="4376" operator="containsText" dxfId="0" text="SWING">
      <formula>NOT(ISERROR(SEARCH(("SWING"),(AX51))))</formula>
    </cfRule>
    <cfRule type="containsText" priority="4377" operator="containsText" dxfId="0" text="NF">
      <formula>NOT(ISERROR(SEARCH(("NF"),(AX51))))</formula>
    </cfRule>
  </conditionalFormatting>
  <conditionalFormatting sqref="AY51">
    <cfRule type="containsText" priority="4344" operator="containsText" dxfId="17" text="VACATION">
      <formula>NOT(ISERROR(SEARCH(("VACATION"),(AY51))))</formula>
    </cfRule>
    <cfRule type="containsText" priority="4345" operator="containsText" dxfId="16" text="ED">
      <formula>NOT(ISERROR(SEARCH(("ED"),(AY51))))</formula>
    </cfRule>
    <cfRule type="containsText" priority="4346" operator="containsText" dxfId="15" text="GERIATRIC">
      <formula>NOT(ISERROR(SEARCH(("GERIATRIC"),(AY51))))</formula>
    </cfRule>
    <cfRule type="containsText" priority="4347" operator="containsText" dxfId="7" text="PATH">
      <formula>NOT(ISERROR(SEARCH(("PATH"),(AY51))))</formula>
    </cfRule>
    <cfRule type="containsText" priority="4348" operator="containsText" dxfId="7" text="NEPHRO">
      <formula>NOT(ISERROR(SEARCH(("NEPHRO"),(AY51))))</formula>
    </cfRule>
    <cfRule type="containsText" priority="4349" operator="containsText" dxfId="7" text="PULM">
      <formula>NOT(ISERROR(SEARCH(("PULM"),(AY51))))</formula>
    </cfRule>
    <cfRule type="containsText" priority="4350" operator="containsText" dxfId="7" text="RADIOLOGY">
      <formula>NOT(ISERROR(SEARCH(("RADIOLOGY"),(AY51))))</formula>
    </cfRule>
    <cfRule type="containsText" priority="4351" operator="containsText" dxfId="7" text="HEM/ONC">
      <formula>NOT(ISERROR(SEARCH(("HEM/ONC"),(AY51))))</formula>
    </cfRule>
    <cfRule type="containsText" priority="4352" operator="containsText" dxfId="7" text="CARDIO">
      <formula>NOT(ISERROR(SEARCH(("CARDIO"),(AY51))))</formula>
    </cfRule>
    <cfRule type="containsText" priority="4353" operator="containsText" dxfId="7" text="ID">
      <formula>NOT(ISERROR(SEARCH(("ID"),(AY51))))</formula>
    </cfRule>
    <cfRule type="containsText" priority="4354" operator="containsText" dxfId="7" text="NEURO">
      <formula>NOT(ISERROR(SEARCH(("NEURO"),(AY51))))</formula>
    </cfRule>
    <cfRule type="containsText" priority="4355" operator="containsText" dxfId="6" text="NEURO">
      <formula>NOT(ISERROR(SEARCH(("NEURO"),(AY51))))</formula>
    </cfRule>
    <cfRule type="containsText" priority="4356" operator="containsText" dxfId="5" text="NEURO">
      <formula>NOT(ISERROR(SEARCH(("NEURO"),(AY51))))</formula>
    </cfRule>
    <cfRule type="containsText" priority="4357" operator="containsText" dxfId="0" text="ICU N">
      <formula>NOT(ISERROR(SEARCH(("ICU N"),(AY51))))</formula>
    </cfRule>
    <cfRule type="containsText" priority="4358" operator="containsText" dxfId="3" text="ICU">
      <formula>NOT(ISERROR(SEARCH(("ICU"),(AY51))))</formula>
    </cfRule>
    <cfRule type="containsText" priority="4359" operator="containsText" dxfId="0" text="SWING">
      <formula>NOT(ISERROR(SEARCH(("SWING"),(AY51))))</formula>
    </cfRule>
    <cfRule type="containsText" priority="4360" operator="containsText" dxfId="0" text="NF">
      <formula>NOT(ISERROR(SEARCH(("NF"),(AY51))))</formula>
    </cfRule>
  </conditionalFormatting>
  <conditionalFormatting sqref="X51">
    <cfRule type="containsText" priority="4326" operator="containsText" dxfId="16" text="ED">
      <formula>NOT(ISERROR(SEARCH(("ED"),(X51))))</formula>
    </cfRule>
    <cfRule type="containsText" priority="4327" operator="containsText" dxfId="15" text="GERIATRIC">
      <formula>NOT(ISERROR(SEARCH(("GERIATRIC"),(X51))))</formula>
    </cfRule>
    <cfRule type="containsText" priority="4328" operator="containsText" dxfId="17" text="VACATION">
      <formula>NOT(ISERROR(SEARCH(("VACATION"),(X51))))</formula>
    </cfRule>
    <cfRule type="containsText" priority="4329" operator="containsText" dxfId="7" text="PATH">
      <formula>NOT(ISERROR(SEARCH(("PATH"),(X51))))</formula>
    </cfRule>
    <cfRule type="containsText" priority="4330" operator="containsText" dxfId="7" text="NEPHRO">
      <formula>NOT(ISERROR(SEARCH(("NEPHRO"),(X51))))</formula>
    </cfRule>
    <cfRule type="containsText" priority="4331" operator="containsText" dxfId="7" text="PULM">
      <formula>NOT(ISERROR(SEARCH(("PULM"),(X51))))</formula>
    </cfRule>
    <cfRule type="containsText" priority="4332" operator="containsText" dxfId="7" text="RADIOLOGY">
      <formula>NOT(ISERROR(SEARCH(("RADIOLOGY"),(X51))))</formula>
    </cfRule>
    <cfRule type="containsText" priority="4333" operator="containsText" dxfId="7" text="HEM/ONC">
      <formula>NOT(ISERROR(SEARCH(("HEM/ONC"),(X51))))</formula>
    </cfRule>
    <cfRule type="containsText" priority="4334" operator="containsText" dxfId="7" text="CARDIO">
      <formula>NOT(ISERROR(SEARCH(("CARDIO"),(X51))))</formula>
    </cfRule>
    <cfRule type="containsText" priority="4335" operator="containsText" dxfId="7" text="ID">
      <formula>NOT(ISERROR(SEARCH(("ID"),(X51))))</formula>
    </cfRule>
    <cfRule type="containsText" priority="4336" operator="containsText" dxfId="7" text="NEURO">
      <formula>NOT(ISERROR(SEARCH(("NEURO"),(X51))))</formula>
    </cfRule>
    <cfRule type="containsText" priority="4337" operator="containsText" dxfId="6" text="NEURO">
      <formula>NOT(ISERROR(SEARCH(("NEURO"),(X51))))</formula>
    </cfRule>
    <cfRule type="containsText" priority="4338" operator="containsText" dxfId="5" text="NEURO">
      <formula>NOT(ISERROR(SEARCH(("NEURO"),(X51))))</formula>
    </cfRule>
    <cfRule type="containsText" priority="4339" operator="containsText" dxfId="0" text="ICU N">
      <formula>NOT(ISERROR(SEARCH(("ICU N"),(X51))))</formula>
    </cfRule>
    <cfRule type="containsText" priority="4340" operator="containsText" dxfId="3" text="ICU">
      <formula>NOT(ISERROR(SEARCH(("ICU"),(X51))))</formula>
    </cfRule>
    <cfRule type="containsText" priority="4341" operator="containsText" dxfId="0" text="SWING">
      <formula>NOT(ISERROR(SEARCH(("SWING"),(X51))))</formula>
    </cfRule>
    <cfRule type="containsText" priority="4342" operator="containsText" dxfId="0" text="NF">
      <formula>NOT(ISERROR(SEARCH(("NF"),(X51))))</formula>
    </cfRule>
    <cfRule type="containsText" priority="4343" operator="containsText" dxfId="0" text="ICU N">
      <formula>NOT(ISERROR(SEARCH(("ICU N"),(X51))))</formula>
    </cfRule>
  </conditionalFormatting>
  <conditionalFormatting sqref="W51">
    <cfRule type="containsText" priority="4255" operator="containsText" dxfId="16" text="ED">
      <formula>NOT(ISERROR(SEARCH(("ED"),(W51))))</formula>
    </cfRule>
    <cfRule type="containsText" priority="4256" operator="containsText" dxfId="15" text="GERIATRIC">
      <formula>NOT(ISERROR(SEARCH(("GERIATRIC"),(W51))))</formula>
    </cfRule>
    <cfRule type="containsText" priority="4257" operator="containsText" dxfId="17" text="VACATION">
      <formula>NOT(ISERROR(SEARCH(("VACATION"),(W51))))</formula>
    </cfRule>
    <cfRule type="containsText" priority="4258" operator="containsText" dxfId="7" text="PATH">
      <formula>NOT(ISERROR(SEARCH(("PATH"),(W51))))</formula>
    </cfRule>
    <cfRule type="containsText" priority="4259" operator="containsText" dxfId="7" text="NEPHRO">
      <formula>NOT(ISERROR(SEARCH(("NEPHRO"),(W51))))</formula>
    </cfRule>
    <cfRule type="containsText" priority="4260" operator="containsText" dxfId="7" text="PULM">
      <formula>NOT(ISERROR(SEARCH(("PULM"),(W51))))</formula>
    </cfRule>
    <cfRule type="containsText" priority="4261" operator="containsText" dxfId="7" text="RADIOLOGY">
      <formula>NOT(ISERROR(SEARCH(("RADIOLOGY"),(W51))))</formula>
    </cfRule>
    <cfRule type="containsText" priority="4262" operator="containsText" dxfId="7" text="HEM/ONC">
      <formula>NOT(ISERROR(SEARCH(("HEM/ONC"),(W51))))</formula>
    </cfRule>
    <cfRule type="containsText" priority="4263" operator="containsText" dxfId="7" text="CARDIO">
      <formula>NOT(ISERROR(SEARCH(("CARDIO"),(W51))))</formula>
    </cfRule>
    <cfRule type="containsText" priority="4264" operator="containsText" dxfId="7" text="ID">
      <formula>NOT(ISERROR(SEARCH(("ID"),(W51))))</formula>
    </cfRule>
    <cfRule type="containsText" priority="4265" operator="containsText" dxfId="7" text="NEURO">
      <formula>NOT(ISERROR(SEARCH(("NEURO"),(W51))))</formula>
    </cfRule>
    <cfRule type="containsText" priority="4266" operator="containsText" dxfId="6" text="NEURO">
      <formula>NOT(ISERROR(SEARCH(("NEURO"),(W51))))</formula>
    </cfRule>
    <cfRule type="containsText" priority="4267" operator="containsText" dxfId="5" text="NEURO">
      <formula>NOT(ISERROR(SEARCH(("NEURO"),(W51))))</formula>
    </cfRule>
    <cfRule type="containsText" priority="4268" operator="containsText" dxfId="0" text="ICU N">
      <formula>NOT(ISERROR(SEARCH(("ICU N"),(W51))))</formula>
    </cfRule>
    <cfRule type="containsText" priority="4269" operator="containsText" dxfId="3" text="ICU">
      <formula>NOT(ISERROR(SEARCH(("ICU"),(W51))))</formula>
    </cfRule>
    <cfRule type="containsText" priority="4270" operator="containsText" dxfId="0" text="SWING">
      <formula>NOT(ISERROR(SEARCH(("SWING"),(W51))))</formula>
    </cfRule>
    <cfRule type="containsText" priority="4271" operator="containsText" dxfId="0" text="NF">
      <formula>NOT(ISERROR(SEARCH(("NF"),(W51))))</formula>
    </cfRule>
    <cfRule type="containsText" priority="4272" operator="containsText" dxfId="0" text="ICU N">
      <formula>NOT(ISERROR(SEARCH(("ICU N"),(W51))))</formula>
    </cfRule>
  </conditionalFormatting>
  <conditionalFormatting sqref="D18">
    <cfRule type="containsText" priority="4220" operator="containsText" dxfId="16" text="ED">
      <formula>NOT(ISERROR(SEARCH(("ED"),(D18))))</formula>
    </cfRule>
    <cfRule type="containsText" priority="4221" operator="containsText" dxfId="15" text="GERIATRIC">
      <formula>NOT(ISERROR(SEARCH(("GERIATRIC"),(D18))))</formula>
    </cfRule>
    <cfRule type="containsText" priority="4222" operator="containsText" dxfId="17" text="VACATION">
      <formula>NOT(ISERROR(SEARCH(("VACATION"),(D18))))</formula>
    </cfRule>
    <cfRule type="containsText" priority="4223" operator="containsText" dxfId="7" text="PATH">
      <formula>NOT(ISERROR(SEARCH(("PATH"),(D18))))</formula>
    </cfRule>
    <cfRule type="containsText" priority="4224" operator="containsText" dxfId="7" text="NEPHRO">
      <formula>NOT(ISERROR(SEARCH(("NEPHRO"),(D18))))</formula>
    </cfRule>
    <cfRule type="containsText" priority="4225" operator="containsText" dxfId="7" text="PULM">
      <formula>NOT(ISERROR(SEARCH(("PULM"),(D18))))</formula>
    </cfRule>
    <cfRule type="containsText" priority="4226" operator="containsText" dxfId="7" text="RADIOLOGY">
      <formula>NOT(ISERROR(SEARCH(("RADIOLOGY"),(D18))))</formula>
    </cfRule>
    <cfRule type="containsText" priority="4227" operator="containsText" dxfId="7" text="HEM/ONC">
      <formula>NOT(ISERROR(SEARCH(("HEM/ONC"),(D18))))</formula>
    </cfRule>
    <cfRule type="containsText" priority="4228" operator="containsText" dxfId="7" text="CARDIO">
      <formula>NOT(ISERROR(SEARCH(("CARDIO"),(D18))))</formula>
    </cfRule>
    <cfRule type="containsText" priority="4229" operator="containsText" dxfId="7" text="ID">
      <formula>NOT(ISERROR(SEARCH(("ID"),(D18))))</formula>
    </cfRule>
    <cfRule type="containsText" priority="4230" operator="containsText" dxfId="7" text="NEURO">
      <formula>NOT(ISERROR(SEARCH(("NEURO"),(D18))))</formula>
    </cfRule>
    <cfRule type="containsText" priority="4231" operator="containsText" dxfId="6" text="NEURO">
      <formula>NOT(ISERROR(SEARCH(("NEURO"),(D18))))</formula>
    </cfRule>
    <cfRule type="containsText" priority="4232" operator="containsText" dxfId="5" text="NEURO">
      <formula>NOT(ISERROR(SEARCH(("NEURO"),(D18))))</formula>
    </cfRule>
    <cfRule type="containsText" priority="4233" operator="containsText" dxfId="0" text="ICU N">
      <formula>NOT(ISERROR(SEARCH(("ICU N"),(D18))))</formula>
    </cfRule>
    <cfRule type="containsText" priority="4234" operator="containsText" dxfId="3" text="ICU">
      <formula>NOT(ISERROR(SEARCH(("ICU"),(D18))))</formula>
    </cfRule>
    <cfRule type="containsText" priority="4235" operator="containsText" dxfId="0" text="SWING">
      <formula>NOT(ISERROR(SEARCH(("SWING"),(D18))))</formula>
    </cfRule>
    <cfRule type="containsText" priority="4236" operator="containsText" dxfId="0" text="NF">
      <formula>NOT(ISERROR(SEARCH(("NF"),(D18))))</formula>
    </cfRule>
    <cfRule type="containsText" priority="4237" operator="containsText" dxfId="0" text="ICU N">
      <formula>NOT(ISERROR(SEARCH(("ICU N"),(D18))))</formula>
    </cfRule>
  </conditionalFormatting>
  <conditionalFormatting sqref="D42">
    <cfRule type="containsText" priority="4202" operator="containsText" dxfId="16" text="ED">
      <formula>NOT(ISERROR(SEARCH(("ED"),(D42))))</formula>
    </cfRule>
    <cfRule type="containsText" priority="4203" operator="containsText" dxfId="15" text="GERIATRIC">
      <formula>NOT(ISERROR(SEARCH(("GERIATRIC"),(D42))))</formula>
    </cfRule>
    <cfRule type="containsText" priority="4204" operator="containsText" dxfId="17" text="VACATION">
      <formula>NOT(ISERROR(SEARCH(("VACATION"),(D42))))</formula>
    </cfRule>
    <cfRule type="containsText" priority="4205" operator="containsText" dxfId="7" text="PATH">
      <formula>NOT(ISERROR(SEARCH(("PATH"),(D42))))</formula>
    </cfRule>
    <cfRule type="containsText" priority="4206" operator="containsText" dxfId="7" text="NEPHRO">
      <formula>NOT(ISERROR(SEARCH(("NEPHRO"),(D42))))</formula>
    </cfRule>
    <cfRule type="containsText" priority="4207" operator="containsText" dxfId="7" text="PULM">
      <formula>NOT(ISERROR(SEARCH(("PULM"),(D42))))</formula>
    </cfRule>
    <cfRule type="containsText" priority="4208" operator="containsText" dxfId="7" text="RADIOLOGY">
      <formula>NOT(ISERROR(SEARCH(("RADIOLOGY"),(D42))))</formula>
    </cfRule>
    <cfRule type="containsText" priority="4209" operator="containsText" dxfId="7" text="HEM/ONC">
      <formula>NOT(ISERROR(SEARCH(("HEM/ONC"),(D42))))</formula>
    </cfRule>
    <cfRule type="containsText" priority="4210" operator="containsText" dxfId="7" text="CARDIO">
      <formula>NOT(ISERROR(SEARCH(("CARDIO"),(D42))))</formula>
    </cfRule>
    <cfRule type="containsText" priority="4211" operator="containsText" dxfId="7" text="ID">
      <formula>NOT(ISERROR(SEARCH(("ID"),(D42))))</formula>
    </cfRule>
    <cfRule type="containsText" priority="4212" operator="containsText" dxfId="7" text="NEURO">
      <formula>NOT(ISERROR(SEARCH(("NEURO"),(D42))))</formula>
    </cfRule>
    <cfRule type="containsText" priority="4213" operator="containsText" dxfId="6" text="NEURO">
      <formula>NOT(ISERROR(SEARCH(("NEURO"),(D42))))</formula>
    </cfRule>
    <cfRule type="containsText" priority="4214" operator="containsText" dxfId="5" text="NEURO">
      <formula>NOT(ISERROR(SEARCH(("NEURO"),(D42))))</formula>
    </cfRule>
    <cfRule type="containsText" priority="4215" operator="containsText" dxfId="0" text="ICU N">
      <formula>NOT(ISERROR(SEARCH(("ICU N"),(D42))))</formula>
    </cfRule>
    <cfRule type="containsText" priority="4216" operator="containsText" dxfId="3" text="ICU">
      <formula>NOT(ISERROR(SEARCH(("ICU"),(D42))))</formula>
    </cfRule>
    <cfRule type="containsText" priority="4217" operator="containsText" dxfId="0" text="SWING">
      <formula>NOT(ISERROR(SEARCH(("SWING"),(D42))))</formula>
    </cfRule>
    <cfRule type="containsText" priority="4218" operator="containsText" dxfId="0" text="NF">
      <formula>NOT(ISERROR(SEARCH(("NF"),(D42))))</formula>
    </cfRule>
    <cfRule type="containsText" priority="4219" operator="containsText" dxfId="0" text="ICU N">
      <formula>NOT(ISERROR(SEARCH(("ICU N"),(D42))))</formula>
    </cfRule>
  </conditionalFormatting>
  <conditionalFormatting sqref="AA43">
    <cfRule type="containsText" priority="4184" operator="containsText" dxfId="16" text="ED">
      <formula>NOT(ISERROR(SEARCH(("ED"),(AA43))))</formula>
    </cfRule>
    <cfRule type="containsText" priority="4185" operator="containsText" dxfId="15" text="GERIATRIC">
      <formula>NOT(ISERROR(SEARCH(("GERIATRIC"),(AA43))))</formula>
    </cfRule>
    <cfRule type="containsText" priority="4186" operator="containsText" dxfId="17" text="VACATION">
      <formula>NOT(ISERROR(SEARCH(("VACATION"),(AA43))))</formula>
    </cfRule>
    <cfRule type="containsText" priority="4187" operator="containsText" dxfId="7" text="PATH">
      <formula>NOT(ISERROR(SEARCH(("PATH"),(AA43))))</formula>
    </cfRule>
    <cfRule type="containsText" priority="4188" operator="containsText" dxfId="7" text="NEPHRO">
      <formula>NOT(ISERROR(SEARCH(("NEPHRO"),(AA43))))</formula>
    </cfRule>
    <cfRule type="containsText" priority="4189" operator="containsText" dxfId="7" text="PULM">
      <formula>NOT(ISERROR(SEARCH(("PULM"),(AA43))))</formula>
    </cfRule>
    <cfRule type="containsText" priority="4190" operator="containsText" dxfId="7" text="RADIOLOGY">
      <formula>NOT(ISERROR(SEARCH(("RADIOLOGY"),(AA43))))</formula>
    </cfRule>
    <cfRule type="containsText" priority="4191" operator="containsText" dxfId="7" text="HEM/ONC">
      <formula>NOT(ISERROR(SEARCH(("HEM/ONC"),(AA43))))</formula>
    </cfRule>
    <cfRule type="containsText" priority="4192" operator="containsText" dxfId="7" text="CARDIO">
      <formula>NOT(ISERROR(SEARCH(("CARDIO"),(AA43))))</formula>
    </cfRule>
    <cfRule type="containsText" priority="4193" operator="containsText" dxfId="7" text="ID">
      <formula>NOT(ISERROR(SEARCH(("ID"),(AA43))))</formula>
    </cfRule>
    <cfRule type="containsText" priority="4194" operator="containsText" dxfId="7" text="NEURO">
      <formula>NOT(ISERROR(SEARCH(("NEURO"),(AA43))))</formula>
    </cfRule>
    <cfRule type="containsText" priority="4195" operator="containsText" dxfId="6" text="NEURO">
      <formula>NOT(ISERROR(SEARCH(("NEURO"),(AA43))))</formula>
    </cfRule>
    <cfRule type="containsText" priority="4196" operator="containsText" dxfId="5" text="NEURO">
      <formula>NOT(ISERROR(SEARCH(("NEURO"),(AA43))))</formula>
    </cfRule>
    <cfRule type="containsText" priority="4197" operator="containsText" dxfId="0" text="ICU N">
      <formula>NOT(ISERROR(SEARCH(("ICU N"),(AA43))))</formula>
    </cfRule>
    <cfRule type="containsText" priority="4198" operator="containsText" dxfId="3" text="ICU">
      <formula>NOT(ISERROR(SEARCH(("ICU"),(AA43))))</formula>
    </cfRule>
    <cfRule type="containsText" priority="4199" operator="containsText" dxfId="0" text="SWING">
      <formula>NOT(ISERROR(SEARCH(("SWING"),(AA43))))</formula>
    </cfRule>
    <cfRule type="containsText" priority="4200" operator="containsText" dxfId="0" text="NF">
      <formula>NOT(ISERROR(SEARCH(("NF"),(AA43))))</formula>
    </cfRule>
    <cfRule type="containsText" priority="4201" operator="containsText" dxfId="0" text="ICU N">
      <formula>NOT(ISERROR(SEARCH(("ICU N"),(AA43))))</formula>
    </cfRule>
    <cfRule type="containsText" priority="4166" operator="containsText" dxfId="16" text="ED">
      <formula>NOT(ISERROR(SEARCH(("ED"),(AA43))))</formula>
    </cfRule>
    <cfRule type="containsText" priority="4167" operator="containsText" dxfId="15" text="GERIATRIC">
      <formula>NOT(ISERROR(SEARCH(("GERIATRIC"),(AA43))))</formula>
    </cfRule>
    <cfRule type="containsText" priority="4168" operator="containsText" dxfId="17" text="VACATION">
      <formula>NOT(ISERROR(SEARCH(("VACATION"),(AA43))))</formula>
    </cfRule>
    <cfRule type="containsText" priority="4169" operator="containsText" dxfId="7" text="PATH">
      <formula>NOT(ISERROR(SEARCH(("PATH"),(AA43))))</formula>
    </cfRule>
    <cfRule type="containsText" priority="4170" operator="containsText" dxfId="7" text="NEPHRO">
      <formula>NOT(ISERROR(SEARCH(("NEPHRO"),(AA43))))</formula>
    </cfRule>
    <cfRule type="containsText" priority="4171" operator="containsText" dxfId="7" text="PULM">
      <formula>NOT(ISERROR(SEARCH(("PULM"),(AA43))))</formula>
    </cfRule>
    <cfRule type="containsText" priority="4172" operator="containsText" dxfId="7" text="RADIOLOGY">
      <formula>NOT(ISERROR(SEARCH(("RADIOLOGY"),(AA43))))</formula>
    </cfRule>
    <cfRule type="containsText" priority="4173" operator="containsText" dxfId="7" text="HEM/ONC">
      <formula>NOT(ISERROR(SEARCH(("HEM/ONC"),(AA43))))</formula>
    </cfRule>
    <cfRule type="containsText" priority="4174" operator="containsText" dxfId="7" text="CARDIO">
      <formula>NOT(ISERROR(SEARCH(("CARDIO"),(AA43))))</formula>
    </cfRule>
    <cfRule type="containsText" priority="4175" operator="containsText" dxfId="7" text="ID">
      <formula>NOT(ISERROR(SEARCH(("ID"),(AA43))))</formula>
    </cfRule>
    <cfRule type="containsText" priority="4176" operator="containsText" dxfId="7" text="NEURO">
      <formula>NOT(ISERROR(SEARCH(("NEURO"),(AA43))))</formula>
    </cfRule>
    <cfRule type="containsText" priority="4177" operator="containsText" dxfId="6" text="NEURO">
      <formula>NOT(ISERROR(SEARCH(("NEURO"),(AA43))))</formula>
    </cfRule>
    <cfRule type="containsText" priority="4178" operator="containsText" dxfId="5" text="NEURO">
      <formula>NOT(ISERROR(SEARCH(("NEURO"),(AA43))))</formula>
    </cfRule>
    <cfRule type="containsText" priority="4179" operator="containsText" dxfId="0" text="ICU N">
      <formula>NOT(ISERROR(SEARCH(("ICU N"),(AA43))))</formula>
    </cfRule>
    <cfRule type="containsText" priority="4180" operator="containsText" dxfId="3" text="ICU">
      <formula>NOT(ISERROR(SEARCH(("ICU"),(AA43))))</formula>
    </cfRule>
    <cfRule type="containsText" priority="4181" operator="containsText" dxfId="0" text="SWING">
      <formula>NOT(ISERROR(SEARCH(("SWING"),(AA43))))</formula>
    </cfRule>
    <cfRule type="containsText" priority="4182" operator="containsText" dxfId="0" text="NF">
      <formula>NOT(ISERROR(SEARCH(("NF"),(AA43))))</formula>
    </cfRule>
    <cfRule type="containsText" priority="4183" operator="containsText" dxfId="0" text="ICU N">
      <formula>NOT(ISERROR(SEARCH(("ICU N"),(AA43))))</formula>
    </cfRule>
  </conditionalFormatting>
  <conditionalFormatting sqref="AR52">
    <cfRule type="containsText" priority="4115" operator="containsText" dxfId="17" text="VACATION">
      <formula>NOT(ISERROR(SEARCH(("VACATION"),(AR52))))</formula>
    </cfRule>
    <cfRule type="containsText" priority="4116" operator="containsText" dxfId="16" text="ED">
      <formula>NOT(ISERROR(SEARCH(("ED"),(AR52))))</formula>
    </cfRule>
    <cfRule type="containsText" priority="4117" operator="containsText" dxfId="15" text="GERIATRIC">
      <formula>NOT(ISERROR(SEARCH(("GERIATRIC"),(AR52))))</formula>
    </cfRule>
    <cfRule type="containsText" priority="4118" operator="containsText" dxfId="7" text="PATH">
      <formula>NOT(ISERROR(SEARCH(("PATH"),(AR52))))</formula>
    </cfRule>
    <cfRule type="containsText" priority="4119" operator="containsText" dxfId="7" text="NEPHRO">
      <formula>NOT(ISERROR(SEARCH(("NEPHRO"),(AR52))))</formula>
    </cfRule>
    <cfRule type="containsText" priority="4120" operator="containsText" dxfId="7" text="PULM">
      <formula>NOT(ISERROR(SEARCH(("PULM"),(AR52))))</formula>
    </cfRule>
    <cfRule type="containsText" priority="4121" operator="containsText" dxfId="7" text="RADIOLOGY">
      <formula>NOT(ISERROR(SEARCH(("RADIOLOGY"),(AR52))))</formula>
    </cfRule>
    <cfRule type="containsText" priority="4122" operator="containsText" dxfId="7" text="HEM/ONC">
      <formula>NOT(ISERROR(SEARCH(("HEM/ONC"),(AR52))))</formula>
    </cfRule>
    <cfRule type="containsText" priority="4123" operator="containsText" dxfId="7" text="CARDIO">
      <formula>NOT(ISERROR(SEARCH(("CARDIO"),(AR52))))</formula>
    </cfRule>
    <cfRule type="containsText" priority="4124" operator="containsText" dxfId="7" text="ID">
      <formula>NOT(ISERROR(SEARCH(("ID"),(AR52))))</formula>
    </cfRule>
    <cfRule type="containsText" priority="4125" operator="containsText" dxfId="7" text="NEURO">
      <formula>NOT(ISERROR(SEARCH(("NEURO"),(AR52))))</formula>
    </cfRule>
    <cfRule type="containsText" priority="4126" operator="containsText" dxfId="6" text="NEURO">
      <formula>NOT(ISERROR(SEARCH(("NEURO"),(AR52))))</formula>
    </cfRule>
    <cfRule type="containsText" priority="4127" operator="containsText" dxfId="5" text="NEURO">
      <formula>NOT(ISERROR(SEARCH(("NEURO"),(AR52))))</formula>
    </cfRule>
    <cfRule type="containsText" priority="4128" operator="containsText" dxfId="0" text="ICU N">
      <formula>NOT(ISERROR(SEARCH(("ICU N"),(AR52))))</formula>
    </cfRule>
    <cfRule type="containsText" priority="4129" operator="containsText" dxfId="3" text="ICU">
      <formula>NOT(ISERROR(SEARCH(("ICU"),(AR52))))</formula>
    </cfRule>
    <cfRule type="containsText" priority="4130" operator="containsText" dxfId="0" text="SWING">
      <formula>NOT(ISERROR(SEARCH(("SWING"),(AR52))))</formula>
    </cfRule>
    <cfRule type="containsText" priority="4131" operator="containsText" dxfId="0" text="NF">
      <formula>NOT(ISERROR(SEARCH(("NF"),(AR52))))</formula>
    </cfRule>
  </conditionalFormatting>
  <conditionalFormatting sqref="AV53">
    <cfRule type="containsText" priority="4097" operator="containsText" dxfId="16" text="ED">
      <formula>NOT(ISERROR(SEARCH(("ED"),(AV53))))</formula>
    </cfRule>
    <cfRule type="containsText" priority="4098" operator="containsText" dxfId="15" text="GERIATRIC">
      <formula>NOT(ISERROR(SEARCH(("GERIATRIC"),(AV53))))</formula>
    </cfRule>
    <cfRule type="containsText" priority="4099" operator="containsText" dxfId="17" text="VACATION">
      <formula>NOT(ISERROR(SEARCH(("VACATION"),(AV53))))</formula>
    </cfRule>
    <cfRule type="containsText" priority="4100" operator="containsText" dxfId="7" text="PATH">
      <formula>NOT(ISERROR(SEARCH(("PATH"),(AV53))))</formula>
    </cfRule>
    <cfRule type="containsText" priority="4101" operator="containsText" dxfId="7" text="NEPHRO">
      <formula>NOT(ISERROR(SEARCH(("NEPHRO"),(AV53))))</formula>
    </cfRule>
    <cfRule type="containsText" priority="4102" operator="containsText" dxfId="7" text="PULM">
      <formula>NOT(ISERROR(SEARCH(("PULM"),(AV53))))</formula>
    </cfRule>
    <cfRule type="containsText" priority="4103" operator="containsText" dxfId="7" text="RADIOLOGY">
      <formula>NOT(ISERROR(SEARCH(("RADIOLOGY"),(AV53))))</formula>
    </cfRule>
    <cfRule type="containsText" priority="4104" operator="containsText" dxfId="7" text="HEM/ONC">
      <formula>NOT(ISERROR(SEARCH(("HEM/ONC"),(AV53))))</formula>
    </cfRule>
    <cfRule type="containsText" priority="4105" operator="containsText" dxfId="7" text="CARDIO">
      <formula>NOT(ISERROR(SEARCH(("CARDIO"),(AV53))))</formula>
    </cfRule>
    <cfRule type="containsText" priority="4106" operator="containsText" dxfId="7" text="ID">
      <formula>NOT(ISERROR(SEARCH(("ID"),(AV53))))</formula>
    </cfRule>
    <cfRule type="containsText" priority="4107" operator="containsText" dxfId="7" text="NEURO">
      <formula>NOT(ISERROR(SEARCH(("NEURO"),(AV53))))</formula>
    </cfRule>
    <cfRule type="containsText" priority="4108" operator="containsText" dxfId="6" text="NEURO">
      <formula>NOT(ISERROR(SEARCH(("NEURO"),(AV53))))</formula>
    </cfRule>
    <cfRule type="containsText" priority="4109" operator="containsText" dxfId="5" text="NEURO">
      <formula>NOT(ISERROR(SEARCH(("NEURO"),(AV53))))</formula>
    </cfRule>
    <cfRule type="containsText" priority="4110" operator="containsText" dxfId="0" text="ICU N">
      <formula>NOT(ISERROR(SEARCH(("ICU N"),(AV53))))</formula>
    </cfRule>
    <cfRule type="containsText" priority="4111" operator="containsText" dxfId="3" text="ICU">
      <formula>NOT(ISERROR(SEARCH(("ICU"),(AV53))))</formula>
    </cfRule>
    <cfRule type="containsText" priority="4112" operator="containsText" dxfId="0" text="SWING">
      <formula>NOT(ISERROR(SEARCH(("SWING"),(AV53))))</formula>
    </cfRule>
    <cfRule type="containsText" priority="4113" operator="containsText" dxfId="0" text="NF">
      <formula>NOT(ISERROR(SEARCH(("NF"),(AV53))))</formula>
    </cfRule>
    <cfRule type="containsText" priority="4114" operator="containsText" dxfId="0" text="ICU N">
      <formula>NOT(ISERROR(SEARCH(("ICU N"),(AV53))))</formula>
    </cfRule>
    <cfRule type="containsText" priority="4080" operator="containsText" dxfId="17" text="VACATION">
      <formula>NOT(ISERROR(SEARCH(("VACATION"),(AV53))))</formula>
    </cfRule>
    <cfRule type="containsText" priority="4081" operator="containsText" dxfId="16" text="ED">
      <formula>NOT(ISERROR(SEARCH(("ED"),(AV53))))</formula>
    </cfRule>
    <cfRule type="containsText" priority="4082" operator="containsText" dxfId="15" text="GERIATRIC">
      <formula>NOT(ISERROR(SEARCH(("GERIATRIC"),(AV53))))</formula>
    </cfRule>
    <cfRule type="containsText" priority="4083" operator="containsText" dxfId="7" text="PATH">
      <formula>NOT(ISERROR(SEARCH(("PATH"),(AV53))))</formula>
    </cfRule>
    <cfRule type="containsText" priority="4084" operator="containsText" dxfId="7" text="NEPHRO">
      <formula>NOT(ISERROR(SEARCH(("NEPHRO"),(AV53))))</formula>
    </cfRule>
    <cfRule type="containsText" priority="4085" operator="containsText" dxfId="7" text="PULM">
      <formula>NOT(ISERROR(SEARCH(("PULM"),(AV53))))</formula>
    </cfRule>
    <cfRule type="containsText" priority="4086" operator="containsText" dxfId="7" text="RADIOLOGY">
      <formula>NOT(ISERROR(SEARCH(("RADIOLOGY"),(AV53))))</formula>
    </cfRule>
    <cfRule type="containsText" priority="4087" operator="containsText" dxfId="7" text="HEM/ONC">
      <formula>NOT(ISERROR(SEARCH(("HEM/ONC"),(AV53))))</formula>
    </cfRule>
    <cfRule type="containsText" priority="4088" operator="containsText" dxfId="7" text="CARDIO">
      <formula>NOT(ISERROR(SEARCH(("CARDIO"),(AV53))))</formula>
    </cfRule>
    <cfRule type="containsText" priority="4089" operator="containsText" dxfId="7" text="ID">
      <formula>NOT(ISERROR(SEARCH(("ID"),(AV53))))</formula>
    </cfRule>
    <cfRule type="containsText" priority="4090" operator="containsText" dxfId="7" text="NEURO">
      <formula>NOT(ISERROR(SEARCH(("NEURO"),(AV53))))</formula>
    </cfRule>
    <cfRule type="containsText" priority="4091" operator="containsText" dxfId="6" text="NEURO">
      <formula>NOT(ISERROR(SEARCH(("NEURO"),(AV53))))</formula>
    </cfRule>
    <cfRule type="containsText" priority="4092" operator="containsText" dxfId="5" text="NEURO">
      <formula>NOT(ISERROR(SEARCH(("NEURO"),(AV53))))</formula>
    </cfRule>
    <cfRule type="containsText" priority="4093" operator="containsText" dxfId="0" text="ICU N">
      <formula>NOT(ISERROR(SEARCH(("ICU N"),(AV53))))</formula>
    </cfRule>
    <cfRule type="containsText" priority="4094" operator="containsText" dxfId="3" text="ICU">
      <formula>NOT(ISERROR(SEARCH(("ICU"),(AV53))))</formula>
    </cfRule>
    <cfRule type="containsText" priority="4095" operator="containsText" dxfId="0" text="SWING">
      <formula>NOT(ISERROR(SEARCH(("SWING"),(AV53))))</formula>
    </cfRule>
    <cfRule type="containsText" priority="4096" operator="containsText" dxfId="0" text="NF">
      <formula>NOT(ISERROR(SEARCH(("NF"),(AV53))))</formula>
    </cfRule>
    <cfRule type="containsText" priority="4065" operator="containsText" dxfId="7" text="PATH">
      <formula>NOT(ISERROR(SEARCH(("PATH"),(AV53))))</formula>
    </cfRule>
    <cfRule type="containsText" priority="4066" operator="containsText" dxfId="7" text="NEPHRO">
      <formula>NOT(ISERROR(SEARCH(("NEPHRO"),(AV53))))</formula>
    </cfRule>
    <cfRule type="containsText" priority="4067" operator="containsText" dxfId="7" text="PULM">
      <formula>NOT(ISERROR(SEARCH(("PULM"),(AV53))))</formula>
    </cfRule>
    <cfRule type="containsText" priority="4068" operator="containsText" dxfId="7" text="RADIOLOGY">
      <formula>NOT(ISERROR(SEARCH(("RADIOLOGY"),(AV53))))</formula>
    </cfRule>
    <cfRule type="containsText" priority="4069" operator="containsText" dxfId="7" text="HEM/ONC">
      <formula>NOT(ISERROR(SEARCH(("HEM/ONC"),(AV53))))</formula>
    </cfRule>
    <cfRule type="containsText" priority="4070" operator="containsText" dxfId="7" text="CARDIO">
      <formula>NOT(ISERROR(SEARCH(("CARDIO"),(AV53))))</formula>
    </cfRule>
    <cfRule type="containsText" priority="4071" operator="containsText" dxfId="7" text="ID">
      <formula>NOT(ISERROR(SEARCH(("ID"),(AV53))))</formula>
    </cfRule>
    <cfRule type="containsText" priority="4072" operator="containsText" dxfId="7" text="NEURO">
      <formula>NOT(ISERROR(SEARCH(("NEURO"),(AV53))))</formula>
    </cfRule>
    <cfRule type="containsText" priority="4073" operator="containsText" dxfId="6" text="NEURO">
      <formula>NOT(ISERROR(SEARCH(("NEURO"),(AV53))))</formula>
    </cfRule>
    <cfRule type="containsText" priority="4074" operator="containsText" dxfId="5" text="NEURO">
      <formula>NOT(ISERROR(SEARCH(("NEURO"),(AV53))))</formula>
    </cfRule>
    <cfRule type="containsText" priority="4075" operator="containsText" dxfId="0" text="ICU N">
      <formula>NOT(ISERROR(SEARCH(("ICU N"),(AV53))))</formula>
    </cfRule>
    <cfRule type="containsText" priority="4076" operator="containsText" dxfId="3" text="ICU">
      <formula>NOT(ISERROR(SEARCH(("ICU"),(AV53))))</formula>
    </cfRule>
    <cfRule type="containsText" priority="4077" operator="containsText" dxfId="0" text="SWING">
      <formula>NOT(ISERROR(SEARCH(("SWING"),(AV53))))</formula>
    </cfRule>
    <cfRule type="containsText" priority="4078" operator="containsText" dxfId="0" text="NF">
      <formula>NOT(ISERROR(SEARCH(("NF"),(AV53))))</formula>
    </cfRule>
    <cfRule type="containsText" priority="4079" operator="containsText" dxfId="0" text="ICU N">
      <formula>NOT(ISERROR(SEARCH(("ICU N"),(AV53))))</formula>
    </cfRule>
  </conditionalFormatting>
  <conditionalFormatting sqref="AZ53">
    <cfRule type="containsText" priority="4048" operator="containsText" dxfId="17" text="VACATION">
      <formula>NOT(ISERROR(SEARCH(("VACATION"),(AZ53))))</formula>
    </cfRule>
    <cfRule type="containsText" priority="4049" operator="containsText" dxfId="16" text="ED">
      <formula>NOT(ISERROR(SEARCH(("ED"),(AZ53))))</formula>
    </cfRule>
    <cfRule type="containsText" priority="4050" operator="containsText" dxfId="15" text="GERIATRIC">
      <formula>NOT(ISERROR(SEARCH(("GERIATRIC"),(AZ53))))</formula>
    </cfRule>
    <cfRule type="containsText" priority="4051" operator="containsText" dxfId="7" text="PATH">
      <formula>NOT(ISERROR(SEARCH(("PATH"),(AZ53))))</formula>
    </cfRule>
    <cfRule type="containsText" priority="4052" operator="containsText" dxfId="7" text="NEPHRO">
      <formula>NOT(ISERROR(SEARCH(("NEPHRO"),(AZ53))))</formula>
    </cfRule>
    <cfRule type="containsText" priority="4053" operator="containsText" dxfId="7" text="PULM">
      <formula>NOT(ISERROR(SEARCH(("PULM"),(AZ53))))</formula>
    </cfRule>
    <cfRule type="containsText" priority="4054" operator="containsText" dxfId="7" text="RADIOLOGY">
      <formula>NOT(ISERROR(SEARCH(("RADIOLOGY"),(AZ53))))</formula>
    </cfRule>
    <cfRule type="containsText" priority="4055" operator="containsText" dxfId="7" text="HEM/ONC">
      <formula>NOT(ISERROR(SEARCH(("HEM/ONC"),(AZ53))))</formula>
    </cfRule>
    <cfRule type="containsText" priority="4056" operator="containsText" dxfId="7" text="CARDIO">
      <formula>NOT(ISERROR(SEARCH(("CARDIO"),(AZ53))))</formula>
    </cfRule>
    <cfRule type="containsText" priority="4057" operator="containsText" dxfId="7" text="ID">
      <formula>NOT(ISERROR(SEARCH(("ID"),(AZ53))))</formula>
    </cfRule>
    <cfRule type="containsText" priority="4058" operator="containsText" dxfId="7" text="NEURO">
      <formula>NOT(ISERROR(SEARCH(("NEURO"),(AZ53))))</formula>
    </cfRule>
    <cfRule type="containsText" priority="4059" operator="containsText" dxfId="6" text="NEURO">
      <formula>NOT(ISERROR(SEARCH(("NEURO"),(AZ53))))</formula>
    </cfRule>
    <cfRule type="containsText" priority="4060" operator="containsText" dxfId="5" text="NEURO">
      <formula>NOT(ISERROR(SEARCH(("NEURO"),(AZ53))))</formula>
    </cfRule>
    <cfRule type="containsText" priority="4061" operator="containsText" dxfId="0" text="ICU N">
      <formula>NOT(ISERROR(SEARCH(("ICU N"),(AZ53))))</formula>
    </cfRule>
    <cfRule type="containsText" priority="4062" operator="containsText" dxfId="3" text="ICU">
      <formula>NOT(ISERROR(SEARCH(("ICU"),(AZ53))))</formula>
    </cfRule>
    <cfRule type="containsText" priority="4063" operator="containsText" dxfId="0" text="SWING">
      <formula>NOT(ISERROR(SEARCH(("SWING"),(AZ53))))</formula>
    </cfRule>
    <cfRule type="containsText" priority="4064" operator="containsText" dxfId="0" text="NF">
      <formula>NOT(ISERROR(SEARCH(("NF"),(AZ53))))</formula>
    </cfRule>
  </conditionalFormatting>
  <conditionalFormatting sqref="BA53">
    <cfRule type="containsText" priority="4031" operator="containsText" dxfId="17" text="VACATION">
      <formula>NOT(ISERROR(SEARCH(("VACATION"),(BA53))))</formula>
    </cfRule>
    <cfRule type="containsText" priority="4032" operator="containsText" dxfId="16" text="ED">
      <formula>NOT(ISERROR(SEARCH(("ED"),(BA53))))</formula>
    </cfRule>
    <cfRule type="containsText" priority="4033" operator="containsText" dxfId="15" text="GERIATRIC">
      <formula>NOT(ISERROR(SEARCH(("GERIATRIC"),(BA53))))</formula>
    </cfRule>
    <cfRule type="containsText" priority="4034" operator="containsText" dxfId="7" text="PATH">
      <formula>NOT(ISERROR(SEARCH(("PATH"),(BA53))))</formula>
    </cfRule>
    <cfRule type="containsText" priority="4035" operator="containsText" dxfId="7" text="NEPHRO">
      <formula>NOT(ISERROR(SEARCH(("NEPHRO"),(BA53))))</formula>
    </cfRule>
    <cfRule type="containsText" priority="4036" operator="containsText" dxfId="7" text="PULM">
      <formula>NOT(ISERROR(SEARCH(("PULM"),(BA53))))</formula>
    </cfRule>
    <cfRule type="containsText" priority="4037" operator="containsText" dxfId="7" text="RADIOLOGY">
      <formula>NOT(ISERROR(SEARCH(("RADIOLOGY"),(BA53))))</formula>
    </cfRule>
    <cfRule type="containsText" priority="4038" operator="containsText" dxfId="7" text="HEM/ONC">
      <formula>NOT(ISERROR(SEARCH(("HEM/ONC"),(BA53))))</formula>
    </cfRule>
    <cfRule type="containsText" priority="4039" operator="containsText" dxfId="7" text="CARDIO">
      <formula>NOT(ISERROR(SEARCH(("CARDIO"),(BA53))))</formula>
    </cfRule>
    <cfRule type="containsText" priority="4040" operator="containsText" dxfId="7" text="ID">
      <formula>NOT(ISERROR(SEARCH(("ID"),(BA53))))</formula>
    </cfRule>
    <cfRule type="containsText" priority="4041" operator="containsText" dxfId="7" text="NEURO">
      <formula>NOT(ISERROR(SEARCH(("NEURO"),(BA53))))</formula>
    </cfRule>
    <cfRule type="containsText" priority="4042" operator="containsText" dxfId="6" text="NEURO">
      <formula>NOT(ISERROR(SEARCH(("NEURO"),(BA53))))</formula>
    </cfRule>
    <cfRule type="containsText" priority="4043" operator="containsText" dxfId="5" text="NEURO">
      <formula>NOT(ISERROR(SEARCH(("NEURO"),(BA53))))</formula>
    </cfRule>
    <cfRule type="containsText" priority="4044" operator="containsText" dxfId="0" text="ICU N">
      <formula>NOT(ISERROR(SEARCH(("ICU N"),(BA53))))</formula>
    </cfRule>
    <cfRule type="containsText" priority="4045" operator="containsText" dxfId="3" text="ICU">
      <formula>NOT(ISERROR(SEARCH(("ICU"),(BA53))))</formula>
    </cfRule>
    <cfRule type="containsText" priority="4046" operator="containsText" dxfId="0" text="SWING">
      <formula>NOT(ISERROR(SEARCH(("SWING"),(BA53))))</formula>
    </cfRule>
    <cfRule type="containsText" priority="4047" operator="containsText" dxfId="0" text="NF">
      <formula>NOT(ISERROR(SEARCH(("NF"),(BA53))))</formula>
    </cfRule>
  </conditionalFormatting>
  <conditionalFormatting sqref="J53">
    <cfRule type="containsText" priority="4014" operator="containsText" dxfId="17" text="VACATION">
      <formula>NOT(ISERROR(SEARCH(("VACATION"),(J53))))</formula>
    </cfRule>
    <cfRule type="containsText" priority="4015" operator="containsText" dxfId="16" text="ED">
      <formula>NOT(ISERROR(SEARCH(("ED"),(J53))))</formula>
    </cfRule>
    <cfRule type="containsText" priority="4016" operator="containsText" dxfId="15" text="GERIATRIC">
      <formula>NOT(ISERROR(SEARCH(("GERIATRIC"),(J53))))</formula>
    </cfRule>
    <cfRule type="containsText" priority="4017" operator="containsText" dxfId="7" text="PATH">
      <formula>NOT(ISERROR(SEARCH(("PATH"),(J53))))</formula>
    </cfRule>
    <cfRule type="containsText" priority="4018" operator="containsText" dxfId="7" text="NEPHRO">
      <formula>NOT(ISERROR(SEARCH(("NEPHRO"),(J53))))</formula>
    </cfRule>
    <cfRule type="containsText" priority="4019" operator="containsText" dxfId="7" text="PULM">
      <formula>NOT(ISERROR(SEARCH(("PULM"),(J53))))</formula>
    </cfRule>
    <cfRule type="containsText" priority="4020" operator="containsText" dxfId="7" text="RADIOLOGY">
      <formula>NOT(ISERROR(SEARCH(("RADIOLOGY"),(J53))))</formula>
    </cfRule>
    <cfRule type="containsText" priority="4021" operator="containsText" dxfId="7" text="HEM/ONC">
      <formula>NOT(ISERROR(SEARCH(("HEM/ONC"),(J53))))</formula>
    </cfRule>
    <cfRule type="containsText" priority="4022" operator="containsText" dxfId="7" text="CARDIO">
      <formula>NOT(ISERROR(SEARCH(("CARDIO"),(J53))))</formula>
    </cfRule>
    <cfRule type="containsText" priority="4023" operator="containsText" dxfId="7" text="ID">
      <formula>NOT(ISERROR(SEARCH(("ID"),(J53))))</formula>
    </cfRule>
    <cfRule type="containsText" priority="4024" operator="containsText" dxfId="7" text="NEURO">
      <formula>NOT(ISERROR(SEARCH(("NEURO"),(J53))))</formula>
    </cfRule>
    <cfRule type="containsText" priority="4025" operator="containsText" dxfId="6" text="NEURO">
      <formula>NOT(ISERROR(SEARCH(("NEURO"),(J53))))</formula>
    </cfRule>
    <cfRule type="containsText" priority="4026" operator="containsText" dxfId="5" text="NEURO">
      <formula>NOT(ISERROR(SEARCH(("NEURO"),(J53))))</formula>
    </cfRule>
    <cfRule type="containsText" priority="4027" operator="containsText" dxfId="0" text="ICU N">
      <formula>NOT(ISERROR(SEARCH(("ICU N"),(J53))))</formula>
    </cfRule>
    <cfRule type="containsText" priority="4028" operator="containsText" dxfId="3" text="ICU">
      <formula>NOT(ISERROR(SEARCH(("ICU"),(J53))))</formula>
    </cfRule>
    <cfRule type="containsText" priority="4029" operator="containsText" dxfId="0" text="SWING">
      <formula>NOT(ISERROR(SEARCH(("SWING"),(J53))))</formula>
    </cfRule>
    <cfRule type="containsText" priority="4030" operator="containsText" dxfId="0" text="NF">
      <formula>NOT(ISERROR(SEARCH(("NF"),(J53))))</formula>
    </cfRule>
  </conditionalFormatting>
  <conditionalFormatting sqref="J51">
    <cfRule type="containsText" priority="3997" operator="containsText" dxfId="17" text="VACATION">
      <formula>NOT(ISERROR(SEARCH(("VACATION"),(J51))))</formula>
    </cfRule>
    <cfRule type="containsText" priority="3998" operator="containsText" dxfId="16" text="ED">
      <formula>NOT(ISERROR(SEARCH(("ED"),(J51))))</formula>
    </cfRule>
    <cfRule type="containsText" priority="3999" operator="containsText" dxfId="15" text="GERIATRIC">
      <formula>NOT(ISERROR(SEARCH(("GERIATRIC"),(J51))))</formula>
    </cfRule>
    <cfRule type="containsText" priority="4000" operator="containsText" dxfId="7" text="PATH">
      <formula>NOT(ISERROR(SEARCH(("PATH"),(J51))))</formula>
    </cfRule>
    <cfRule type="containsText" priority="4001" operator="containsText" dxfId="7" text="NEPHRO">
      <formula>NOT(ISERROR(SEARCH(("NEPHRO"),(J51))))</formula>
    </cfRule>
    <cfRule type="containsText" priority="4002" operator="containsText" dxfId="7" text="PULM">
      <formula>NOT(ISERROR(SEARCH(("PULM"),(J51))))</formula>
    </cfRule>
    <cfRule type="containsText" priority="4003" operator="containsText" dxfId="7" text="RADIOLOGY">
      <formula>NOT(ISERROR(SEARCH(("RADIOLOGY"),(J51))))</formula>
    </cfRule>
    <cfRule type="containsText" priority="4004" operator="containsText" dxfId="7" text="HEM/ONC">
      <formula>NOT(ISERROR(SEARCH(("HEM/ONC"),(J51))))</formula>
    </cfRule>
    <cfRule type="containsText" priority="4005" operator="containsText" dxfId="7" text="CARDIO">
      <formula>NOT(ISERROR(SEARCH(("CARDIO"),(J51))))</formula>
    </cfRule>
    <cfRule type="containsText" priority="4006" operator="containsText" dxfId="7" text="ID">
      <formula>NOT(ISERROR(SEARCH(("ID"),(J51))))</formula>
    </cfRule>
    <cfRule type="containsText" priority="4007" operator="containsText" dxfId="7" text="NEURO">
      <formula>NOT(ISERROR(SEARCH(("NEURO"),(J51))))</formula>
    </cfRule>
    <cfRule type="containsText" priority="4008" operator="containsText" dxfId="6" text="NEURO">
      <formula>NOT(ISERROR(SEARCH(("NEURO"),(J51))))</formula>
    </cfRule>
    <cfRule type="containsText" priority="4009" operator="containsText" dxfId="5" text="NEURO">
      <formula>NOT(ISERROR(SEARCH(("NEURO"),(J51))))</formula>
    </cfRule>
    <cfRule type="containsText" priority="4010" operator="containsText" dxfId="0" text="ICU N">
      <formula>NOT(ISERROR(SEARCH(("ICU N"),(J51))))</formula>
    </cfRule>
    <cfRule type="containsText" priority="4011" operator="containsText" dxfId="3" text="ICU">
      <formula>NOT(ISERROR(SEARCH(("ICU"),(J51))))</formula>
    </cfRule>
    <cfRule type="containsText" priority="4012" operator="containsText" dxfId="0" text="SWING">
      <formula>NOT(ISERROR(SEARCH(("SWING"),(J51))))</formula>
    </cfRule>
    <cfRule type="containsText" priority="4013" operator="containsText" dxfId="0" text="NF">
      <formula>NOT(ISERROR(SEARCH(("NF"),(J51))))</formula>
    </cfRule>
  </conditionalFormatting>
  <conditionalFormatting sqref="Y51">
    <cfRule type="containsText" priority="3941" operator="containsText" dxfId="16" text="ED">
      <formula>NOT(ISERROR(SEARCH(("ED"),(Y51))))</formula>
    </cfRule>
    <cfRule type="containsText" priority="3942" operator="containsText" dxfId="17" text="VACATION">
      <formula>NOT(ISERROR(SEARCH(("VACATION"),(Y51))))</formula>
    </cfRule>
    <cfRule type="containsText" priority="3943" operator="containsText" dxfId="0" text="ICU N">
      <formula>NOT(ISERROR(SEARCH(("ICU N"),(Y51))))</formula>
    </cfRule>
    <cfRule type="containsText" priority="3923" operator="containsText" dxfId="16" text="ED">
      <formula>NOT(ISERROR(SEARCH(("ED"),(Y51))))</formula>
    </cfRule>
    <cfRule type="containsText" priority="3924" operator="containsText" dxfId="15" text="GERIATRIC">
      <formula>NOT(ISERROR(SEARCH(("GERIATRIC"),(Y51))))</formula>
    </cfRule>
    <cfRule type="containsText" priority="3925" operator="containsText" dxfId="17" text="VACATION">
      <formula>NOT(ISERROR(SEARCH(("VACATION"),(Y51))))</formula>
    </cfRule>
    <cfRule type="containsText" priority="3926" operator="containsText" dxfId="7" text="PATH">
      <formula>NOT(ISERROR(SEARCH(("PATH"),(Y51))))</formula>
    </cfRule>
    <cfRule type="containsText" priority="3927" operator="containsText" dxfId="7" text="NEPHRO">
      <formula>NOT(ISERROR(SEARCH(("NEPHRO"),(Y51))))</formula>
    </cfRule>
    <cfRule type="containsText" priority="3928" operator="containsText" dxfId="7" text="PULM">
      <formula>NOT(ISERROR(SEARCH(("PULM"),(Y51))))</formula>
    </cfRule>
    <cfRule type="containsText" priority="3929" operator="containsText" dxfId="7" text="RADIOLOGY">
      <formula>NOT(ISERROR(SEARCH(("RADIOLOGY"),(Y51))))</formula>
    </cfRule>
    <cfRule type="containsText" priority="3930" operator="containsText" dxfId="7" text="HEM/ONC">
      <formula>NOT(ISERROR(SEARCH(("HEM/ONC"),(Y51))))</formula>
    </cfRule>
    <cfRule type="containsText" priority="3931" operator="containsText" dxfId="7" text="CARDIO">
      <formula>NOT(ISERROR(SEARCH(("CARDIO"),(Y51))))</formula>
    </cfRule>
    <cfRule type="containsText" priority="3932" operator="containsText" dxfId="7" text="ID">
      <formula>NOT(ISERROR(SEARCH(("ID"),(Y51))))</formula>
    </cfRule>
    <cfRule type="containsText" priority="3933" operator="containsText" dxfId="7" text="NEURO">
      <formula>NOT(ISERROR(SEARCH(("NEURO"),(Y51))))</formula>
    </cfRule>
    <cfRule type="containsText" priority="3934" operator="containsText" dxfId="6" text="NEURO">
      <formula>NOT(ISERROR(SEARCH(("NEURO"),(Y51))))</formula>
    </cfRule>
    <cfRule type="containsText" priority="3935" operator="containsText" dxfId="5" text="NEURO">
      <formula>NOT(ISERROR(SEARCH(("NEURO"),(Y51))))</formula>
    </cfRule>
    <cfRule type="containsText" priority="3936" operator="containsText" dxfId="0" text="ICU N">
      <formula>NOT(ISERROR(SEARCH(("ICU N"),(Y51))))</formula>
    </cfRule>
    <cfRule type="containsText" priority="3937" operator="containsText" dxfId="3" text="ICU">
      <formula>NOT(ISERROR(SEARCH(("ICU"),(Y51))))</formula>
    </cfRule>
    <cfRule type="containsText" priority="3938" operator="containsText" dxfId="0" text="SWING">
      <formula>NOT(ISERROR(SEARCH(("SWING"),(Y51))))</formula>
    </cfRule>
    <cfRule type="containsText" priority="3939" operator="containsText" dxfId="0" text="NF">
      <formula>NOT(ISERROR(SEARCH(("NF"),(Y51))))</formula>
    </cfRule>
    <cfRule type="containsText" priority="3940" operator="containsText" dxfId="0" text="ICU N">
      <formula>NOT(ISERROR(SEARCH(("ICU N"),(Y51))))</formula>
    </cfRule>
    <cfRule type="containsText" priority="3906" operator="containsText" dxfId="17" text="VACATION">
      <formula>NOT(ISERROR(SEARCH(("VACATION"),(Y51))))</formula>
    </cfRule>
    <cfRule type="containsText" priority="3907" operator="containsText" dxfId="16" text="ED">
      <formula>NOT(ISERROR(SEARCH(("ED"),(Y51))))</formula>
    </cfRule>
    <cfRule type="containsText" priority="3908" operator="containsText" dxfId="15" text="GERIATRIC">
      <formula>NOT(ISERROR(SEARCH(("GERIATRIC"),(Y51))))</formula>
    </cfRule>
    <cfRule type="containsText" priority="3909" operator="containsText" dxfId="7" text="PATH">
      <formula>NOT(ISERROR(SEARCH(("PATH"),(Y51))))</formula>
    </cfRule>
    <cfRule type="containsText" priority="3910" operator="containsText" dxfId="7" text="NEPHRO">
      <formula>NOT(ISERROR(SEARCH(("NEPHRO"),(Y51))))</formula>
    </cfRule>
    <cfRule type="containsText" priority="3911" operator="containsText" dxfId="7" text="PULM">
      <formula>NOT(ISERROR(SEARCH(("PULM"),(Y51))))</formula>
    </cfRule>
    <cfRule type="containsText" priority="3912" operator="containsText" dxfId="7" text="RADIOLOGY">
      <formula>NOT(ISERROR(SEARCH(("RADIOLOGY"),(Y51))))</formula>
    </cfRule>
    <cfRule type="containsText" priority="3913" operator="containsText" dxfId="7" text="HEM/ONC">
      <formula>NOT(ISERROR(SEARCH(("HEM/ONC"),(Y51))))</formula>
    </cfRule>
    <cfRule type="containsText" priority="3914" operator="containsText" dxfId="7" text="CARDIO">
      <formula>NOT(ISERROR(SEARCH(("CARDIO"),(Y51))))</formula>
    </cfRule>
    <cfRule type="containsText" priority="3915" operator="containsText" dxfId="7" text="ID">
      <formula>NOT(ISERROR(SEARCH(("ID"),(Y51))))</formula>
    </cfRule>
    <cfRule type="containsText" priority="3916" operator="containsText" dxfId="7" text="NEURO">
      <formula>NOT(ISERROR(SEARCH(("NEURO"),(Y51))))</formula>
    </cfRule>
    <cfRule type="containsText" priority="3917" operator="containsText" dxfId="6" text="NEURO">
      <formula>NOT(ISERROR(SEARCH(("NEURO"),(Y51))))</formula>
    </cfRule>
    <cfRule type="containsText" priority="3918" operator="containsText" dxfId="5" text="NEURO">
      <formula>NOT(ISERROR(SEARCH(("NEURO"),(Y51))))</formula>
    </cfRule>
    <cfRule type="containsText" priority="3919" operator="containsText" dxfId="0" text="ICU N">
      <formula>NOT(ISERROR(SEARCH(("ICU N"),(Y51))))</formula>
    </cfRule>
    <cfRule type="containsText" priority="3920" operator="containsText" dxfId="3" text="ICU">
      <formula>NOT(ISERROR(SEARCH(("ICU"),(Y51))))</formula>
    </cfRule>
    <cfRule type="containsText" priority="3921" operator="containsText" dxfId="0" text="SWING">
      <formula>NOT(ISERROR(SEARCH(("SWING"),(Y51))))</formula>
    </cfRule>
    <cfRule type="containsText" priority="3922" operator="containsText" dxfId="0" text="NF">
      <formula>NOT(ISERROR(SEARCH(("NF"),(Y51))))</formula>
    </cfRule>
    <cfRule type="containsText" priority="3891" operator="containsText" dxfId="7" text="PATH">
      <formula>NOT(ISERROR(SEARCH(("PATH"),(Y51))))</formula>
    </cfRule>
    <cfRule type="containsText" priority="3892" operator="containsText" dxfId="7" text="NEPHRO">
      <formula>NOT(ISERROR(SEARCH(("NEPHRO"),(Y51))))</formula>
    </cfRule>
    <cfRule type="containsText" priority="3893" operator="containsText" dxfId="7" text="PULM">
      <formula>NOT(ISERROR(SEARCH(("PULM"),(Y51))))</formula>
    </cfRule>
    <cfRule type="containsText" priority="3894" operator="containsText" dxfId="7" text="RADIOLOGY">
      <formula>NOT(ISERROR(SEARCH(("RADIOLOGY"),(Y51))))</formula>
    </cfRule>
    <cfRule type="containsText" priority="3895" operator="containsText" dxfId="7" text="HEM/ONC">
      <formula>NOT(ISERROR(SEARCH(("HEM/ONC"),(Y51))))</formula>
    </cfRule>
    <cfRule type="containsText" priority="3896" operator="containsText" dxfId="7" text="CARDIO">
      <formula>NOT(ISERROR(SEARCH(("CARDIO"),(Y51))))</formula>
    </cfRule>
    <cfRule type="containsText" priority="3897" operator="containsText" dxfId="7" text="ID">
      <formula>NOT(ISERROR(SEARCH(("ID"),(Y51))))</formula>
    </cfRule>
    <cfRule type="containsText" priority="3898" operator="containsText" dxfId="7" text="NEURO">
      <formula>NOT(ISERROR(SEARCH(("NEURO"),(Y51))))</formula>
    </cfRule>
    <cfRule type="containsText" priority="3899" operator="containsText" dxfId="6" text="NEURO">
      <formula>NOT(ISERROR(SEARCH(("NEURO"),(Y51))))</formula>
    </cfRule>
    <cfRule type="containsText" priority="3900" operator="containsText" dxfId="5" text="NEURO">
      <formula>NOT(ISERROR(SEARCH(("NEURO"),(Y51))))</formula>
    </cfRule>
    <cfRule type="containsText" priority="3901" operator="containsText" dxfId="0" text="ICU N">
      <formula>NOT(ISERROR(SEARCH(("ICU N"),(Y51))))</formula>
    </cfRule>
    <cfRule type="containsText" priority="3902" operator="containsText" dxfId="3" text="ICU">
      <formula>NOT(ISERROR(SEARCH(("ICU"),(Y51))))</formula>
    </cfRule>
    <cfRule type="containsText" priority="3903" operator="containsText" dxfId="0" text="SWING">
      <formula>NOT(ISERROR(SEARCH(("SWING"),(Y51))))</formula>
    </cfRule>
    <cfRule type="containsText" priority="3904" operator="containsText" dxfId="0" text="NF">
      <formula>NOT(ISERROR(SEARCH(("NF"),(Y51))))</formula>
    </cfRule>
    <cfRule type="containsText" priority="3905" operator="containsText" dxfId="0" text="ICU N">
      <formula>NOT(ISERROR(SEARCH(("ICU N"),(Y51))))</formula>
    </cfRule>
  </conditionalFormatting>
  <conditionalFormatting sqref="P50">
    <cfRule type="containsText" priority="3873" operator="containsText" dxfId="16" text="ED">
      <formula>NOT(ISERROR(SEARCH(("ED"),(P50))))</formula>
    </cfRule>
    <cfRule type="containsText" priority="3874" operator="containsText" dxfId="15" text="GERIATRIC">
      <formula>NOT(ISERROR(SEARCH(("GERIATRIC"),(P50))))</formula>
    </cfRule>
    <cfRule type="containsText" priority="3875" operator="containsText" dxfId="17" text="VACATION">
      <formula>NOT(ISERROR(SEARCH(("VACATION"),(P50))))</formula>
    </cfRule>
    <cfRule type="containsText" priority="3876" operator="containsText" dxfId="7" text="PATH">
      <formula>NOT(ISERROR(SEARCH(("PATH"),(P50))))</formula>
    </cfRule>
    <cfRule type="containsText" priority="3877" operator="containsText" dxfId="7" text="NEPHRO">
      <formula>NOT(ISERROR(SEARCH(("NEPHRO"),(P50))))</formula>
    </cfRule>
    <cfRule type="containsText" priority="3878" operator="containsText" dxfId="7" text="PULM">
      <formula>NOT(ISERROR(SEARCH(("PULM"),(P50))))</formula>
    </cfRule>
    <cfRule type="containsText" priority="3879" operator="containsText" dxfId="7" text="RADIOLOGY">
      <formula>NOT(ISERROR(SEARCH(("RADIOLOGY"),(P50))))</formula>
    </cfRule>
    <cfRule type="containsText" priority="3880" operator="containsText" dxfId="7" text="HEM/ONC">
      <formula>NOT(ISERROR(SEARCH(("HEM/ONC"),(P50))))</formula>
    </cfRule>
    <cfRule type="containsText" priority="3881" operator="containsText" dxfId="7" text="CARDIO">
      <formula>NOT(ISERROR(SEARCH(("CARDIO"),(P50))))</formula>
    </cfRule>
    <cfRule type="containsText" priority="3882" operator="containsText" dxfId="7" text="ID">
      <formula>NOT(ISERROR(SEARCH(("ID"),(P50))))</formula>
    </cfRule>
    <cfRule type="containsText" priority="3883" operator="containsText" dxfId="7" text="NEURO">
      <formula>NOT(ISERROR(SEARCH(("NEURO"),(P50))))</formula>
    </cfRule>
    <cfRule type="containsText" priority="3884" operator="containsText" dxfId="6" text="NEURO">
      <formula>NOT(ISERROR(SEARCH(("NEURO"),(P50))))</formula>
    </cfRule>
    <cfRule type="containsText" priority="3885" operator="containsText" dxfId="5" text="NEURO">
      <formula>NOT(ISERROR(SEARCH(("NEURO"),(P50))))</formula>
    </cfRule>
    <cfRule type="containsText" priority="3886" operator="containsText" dxfId="0" text="ICU N">
      <formula>NOT(ISERROR(SEARCH(("ICU N"),(P50))))</formula>
    </cfRule>
    <cfRule type="containsText" priority="3887" operator="containsText" dxfId="3" text="ICU">
      <formula>NOT(ISERROR(SEARCH(("ICU"),(P50))))</formula>
    </cfRule>
    <cfRule type="containsText" priority="3888" operator="containsText" dxfId="0" text="SWING">
      <formula>NOT(ISERROR(SEARCH(("SWING"),(P50))))</formula>
    </cfRule>
    <cfRule type="containsText" priority="3889" operator="containsText" dxfId="0" text="NF">
      <formula>NOT(ISERROR(SEARCH(("NF"),(P50))))</formula>
    </cfRule>
    <cfRule type="containsText" priority="3890" operator="containsText" dxfId="0" text="ICU N">
      <formula>NOT(ISERROR(SEARCH(("ICU N"),(P50))))</formula>
    </cfRule>
    <cfRule type="containsText" priority="3855" operator="containsText" dxfId="16" text="ED">
      <formula>NOT(ISERROR(SEARCH(("ED"),(P50))))</formula>
    </cfRule>
    <cfRule type="containsText" priority="3856" operator="containsText" dxfId="15" text="GERIATRIC">
      <formula>NOT(ISERROR(SEARCH(("GERIATRIC"),(P50))))</formula>
    </cfRule>
    <cfRule type="containsText" priority="3857" operator="containsText" dxfId="17" text="VACATION">
      <formula>NOT(ISERROR(SEARCH(("VACATION"),(P50))))</formula>
    </cfRule>
    <cfRule type="containsText" priority="3858" operator="containsText" dxfId="7" text="PATH">
      <formula>NOT(ISERROR(SEARCH(("PATH"),(P50))))</formula>
    </cfRule>
    <cfRule type="containsText" priority="3859" operator="containsText" dxfId="7" text="NEPHRO">
      <formula>NOT(ISERROR(SEARCH(("NEPHRO"),(P50))))</formula>
    </cfRule>
    <cfRule type="containsText" priority="3860" operator="containsText" dxfId="7" text="PULM">
      <formula>NOT(ISERROR(SEARCH(("PULM"),(P50))))</formula>
    </cfRule>
    <cfRule type="containsText" priority="3861" operator="containsText" dxfId="7" text="RADIOLOGY">
      <formula>NOT(ISERROR(SEARCH(("RADIOLOGY"),(P50))))</formula>
    </cfRule>
    <cfRule type="containsText" priority="3862" operator="containsText" dxfId="7" text="HEM/ONC">
      <formula>NOT(ISERROR(SEARCH(("HEM/ONC"),(P50))))</formula>
    </cfRule>
    <cfRule type="containsText" priority="3863" operator="containsText" dxfId="7" text="CARDIO">
      <formula>NOT(ISERROR(SEARCH(("CARDIO"),(P50))))</formula>
    </cfRule>
    <cfRule type="containsText" priority="3864" operator="containsText" dxfId="7" text="ID">
      <formula>NOT(ISERROR(SEARCH(("ID"),(P50))))</formula>
    </cfRule>
    <cfRule type="containsText" priority="3865" operator="containsText" dxfId="7" text="NEURO">
      <formula>NOT(ISERROR(SEARCH(("NEURO"),(P50))))</formula>
    </cfRule>
    <cfRule type="containsText" priority="3866" operator="containsText" dxfId="6" text="NEURO">
      <formula>NOT(ISERROR(SEARCH(("NEURO"),(P50))))</formula>
    </cfRule>
    <cfRule type="containsText" priority="3867" operator="containsText" dxfId="5" text="NEURO">
      <formula>NOT(ISERROR(SEARCH(("NEURO"),(P50))))</formula>
    </cfRule>
    <cfRule type="containsText" priority="3868" operator="containsText" dxfId="0" text="ICU N">
      <formula>NOT(ISERROR(SEARCH(("ICU N"),(P50))))</formula>
    </cfRule>
    <cfRule type="containsText" priority="3869" operator="containsText" dxfId="3" text="ICU">
      <formula>NOT(ISERROR(SEARCH(("ICU"),(P50))))</formula>
    </cfRule>
    <cfRule type="containsText" priority="3870" operator="containsText" dxfId="0" text="SWING">
      <formula>NOT(ISERROR(SEARCH(("SWING"),(P50))))</formula>
    </cfRule>
    <cfRule type="containsText" priority="3871" operator="containsText" dxfId="0" text="NF">
      <formula>NOT(ISERROR(SEARCH(("NF"),(P50))))</formula>
    </cfRule>
    <cfRule type="containsText" priority="3872" operator="containsText" dxfId="0" text="ICU N">
      <formula>NOT(ISERROR(SEARCH(("ICU N"),(P50))))</formula>
    </cfRule>
    <cfRule type="containsText" priority="3838" operator="containsText" dxfId="17" text="VACATION">
      <formula>NOT(ISERROR(SEARCH(("VACATION"),(P50))))</formula>
    </cfRule>
    <cfRule type="containsText" priority="3839" operator="containsText" dxfId="16" text="ED">
      <formula>NOT(ISERROR(SEARCH(("ED"),(P50))))</formula>
    </cfRule>
    <cfRule type="containsText" priority="3840" operator="containsText" dxfId="15" text="GERIATRIC">
      <formula>NOT(ISERROR(SEARCH(("GERIATRIC"),(P50))))</formula>
    </cfRule>
    <cfRule type="containsText" priority="3841" operator="containsText" dxfId="7" text="PATH">
      <formula>NOT(ISERROR(SEARCH(("PATH"),(P50))))</formula>
    </cfRule>
    <cfRule type="containsText" priority="3842" operator="containsText" dxfId="7" text="NEPHRO">
      <formula>NOT(ISERROR(SEARCH(("NEPHRO"),(P50))))</formula>
    </cfRule>
    <cfRule type="containsText" priority="3843" operator="containsText" dxfId="7" text="PULM">
      <formula>NOT(ISERROR(SEARCH(("PULM"),(P50))))</formula>
    </cfRule>
    <cfRule type="containsText" priority="3844" operator="containsText" dxfId="7" text="RADIOLOGY">
      <formula>NOT(ISERROR(SEARCH(("RADIOLOGY"),(P50))))</formula>
    </cfRule>
    <cfRule type="containsText" priority="3845" operator="containsText" dxfId="7" text="HEM/ONC">
      <formula>NOT(ISERROR(SEARCH(("HEM/ONC"),(P50))))</formula>
    </cfRule>
    <cfRule type="containsText" priority="3846" operator="containsText" dxfId="7" text="CARDIO">
      <formula>NOT(ISERROR(SEARCH(("CARDIO"),(P50))))</formula>
    </cfRule>
    <cfRule type="containsText" priority="3847" operator="containsText" dxfId="7" text="ID">
      <formula>NOT(ISERROR(SEARCH(("ID"),(P50))))</formula>
    </cfRule>
    <cfRule type="containsText" priority="3848" operator="containsText" dxfId="7" text="NEURO">
      <formula>NOT(ISERROR(SEARCH(("NEURO"),(P50))))</formula>
    </cfRule>
    <cfRule type="containsText" priority="3849" operator="containsText" dxfId="6" text="NEURO">
      <formula>NOT(ISERROR(SEARCH(("NEURO"),(P50))))</formula>
    </cfRule>
    <cfRule type="containsText" priority="3850" operator="containsText" dxfId="5" text="NEURO">
      <formula>NOT(ISERROR(SEARCH(("NEURO"),(P50))))</formula>
    </cfRule>
    <cfRule type="containsText" priority="3851" operator="containsText" dxfId="0" text="ICU N">
      <formula>NOT(ISERROR(SEARCH(("ICU N"),(P50))))</formula>
    </cfRule>
    <cfRule type="containsText" priority="3852" operator="containsText" dxfId="3" text="ICU">
      <formula>NOT(ISERROR(SEARCH(("ICU"),(P50))))</formula>
    </cfRule>
    <cfRule type="containsText" priority="3853" operator="containsText" dxfId="0" text="SWING">
      <formula>NOT(ISERROR(SEARCH(("SWING"),(P50))))</formula>
    </cfRule>
    <cfRule type="containsText" priority="3854" operator="containsText" dxfId="0" text="NF">
      <formula>NOT(ISERROR(SEARCH(("NF"),(P50))))</formula>
    </cfRule>
    <cfRule type="containsText" priority="3823" operator="containsText" dxfId="7" text="PATH">
      <formula>NOT(ISERROR(SEARCH(("PATH"),(P50))))</formula>
    </cfRule>
    <cfRule type="containsText" priority="3824" operator="containsText" dxfId="7" text="NEPHRO">
      <formula>NOT(ISERROR(SEARCH(("NEPHRO"),(P50))))</formula>
    </cfRule>
    <cfRule type="containsText" priority="3825" operator="containsText" dxfId="7" text="PULM">
      <formula>NOT(ISERROR(SEARCH(("PULM"),(P50))))</formula>
    </cfRule>
    <cfRule type="containsText" priority="3826" operator="containsText" dxfId="7" text="RADIOLOGY">
      <formula>NOT(ISERROR(SEARCH(("RADIOLOGY"),(P50))))</formula>
    </cfRule>
    <cfRule type="containsText" priority="3827" operator="containsText" dxfId="7" text="HEM/ONC">
      <formula>NOT(ISERROR(SEARCH(("HEM/ONC"),(P50))))</formula>
    </cfRule>
    <cfRule type="containsText" priority="3828" operator="containsText" dxfId="7" text="CARDIO">
      <formula>NOT(ISERROR(SEARCH(("CARDIO"),(P50))))</formula>
    </cfRule>
    <cfRule type="containsText" priority="3829" operator="containsText" dxfId="7" text="ID">
      <formula>NOT(ISERROR(SEARCH(("ID"),(P50))))</formula>
    </cfRule>
    <cfRule type="containsText" priority="3830" operator="containsText" dxfId="7" text="NEURO">
      <formula>NOT(ISERROR(SEARCH(("NEURO"),(P50))))</formula>
    </cfRule>
    <cfRule type="containsText" priority="3831" operator="containsText" dxfId="6" text="NEURO">
      <formula>NOT(ISERROR(SEARCH(("NEURO"),(P50))))</formula>
    </cfRule>
    <cfRule type="containsText" priority="3832" operator="containsText" dxfId="5" text="NEURO">
      <formula>NOT(ISERROR(SEARCH(("NEURO"),(P50))))</formula>
    </cfRule>
    <cfRule type="containsText" priority="3833" operator="containsText" dxfId="0" text="ICU N">
      <formula>NOT(ISERROR(SEARCH(("ICU N"),(P50))))</formula>
    </cfRule>
    <cfRule type="containsText" priority="3834" operator="containsText" dxfId="3" text="ICU">
      <formula>NOT(ISERROR(SEARCH(("ICU"),(P50))))</formula>
    </cfRule>
    <cfRule type="containsText" priority="3835" operator="containsText" dxfId="0" text="SWING">
      <formula>NOT(ISERROR(SEARCH(("SWING"),(P50))))</formula>
    </cfRule>
    <cfRule type="containsText" priority="3836" operator="containsText" dxfId="0" text="NF">
      <formula>NOT(ISERROR(SEARCH(("NF"),(P50))))</formula>
    </cfRule>
    <cfRule type="containsText" priority="3837" operator="containsText" dxfId="0" text="ICU N">
      <formula>NOT(ISERROR(SEARCH(("ICU N"),(P50))))</formula>
    </cfRule>
  </conditionalFormatting>
  <conditionalFormatting sqref="X52">
    <cfRule type="containsText" priority="3805" operator="containsText" dxfId="16" text="ED">
      <formula>NOT(ISERROR(SEARCH(("ED"),(X52))))</formula>
    </cfRule>
    <cfRule type="containsText" priority="3806" operator="containsText" dxfId="15" text="GERIATRIC">
      <formula>NOT(ISERROR(SEARCH(("GERIATRIC"),(X52))))</formula>
    </cfRule>
    <cfRule type="containsText" priority="3807" operator="containsText" dxfId="17" text="VACATION">
      <formula>NOT(ISERROR(SEARCH(("VACATION"),(X52))))</formula>
    </cfRule>
    <cfRule type="containsText" priority="3808" operator="containsText" dxfId="7" text="PATH">
      <formula>NOT(ISERROR(SEARCH(("PATH"),(X52))))</formula>
    </cfRule>
    <cfRule type="containsText" priority="3809" operator="containsText" dxfId="7" text="NEPHRO">
      <formula>NOT(ISERROR(SEARCH(("NEPHRO"),(X52))))</formula>
    </cfRule>
    <cfRule type="containsText" priority="3810" operator="containsText" dxfId="7" text="PULM">
      <formula>NOT(ISERROR(SEARCH(("PULM"),(X52))))</formula>
    </cfRule>
    <cfRule type="containsText" priority="3811" operator="containsText" dxfId="7" text="RADIOLOGY">
      <formula>NOT(ISERROR(SEARCH(("RADIOLOGY"),(X52))))</formula>
    </cfRule>
    <cfRule type="containsText" priority="3812" operator="containsText" dxfId="7" text="HEM/ONC">
      <formula>NOT(ISERROR(SEARCH(("HEM/ONC"),(X52))))</formula>
    </cfRule>
    <cfRule type="containsText" priority="3813" operator="containsText" dxfId="7" text="CARDIO">
      <formula>NOT(ISERROR(SEARCH(("CARDIO"),(X52))))</formula>
    </cfRule>
    <cfRule type="containsText" priority="3814" operator="containsText" dxfId="7" text="ID">
      <formula>NOT(ISERROR(SEARCH(("ID"),(X52))))</formula>
    </cfRule>
    <cfRule type="containsText" priority="3815" operator="containsText" dxfId="7" text="NEURO">
      <formula>NOT(ISERROR(SEARCH(("NEURO"),(X52))))</formula>
    </cfRule>
    <cfRule type="containsText" priority="3816" operator="containsText" dxfId="6" text="NEURO">
      <formula>NOT(ISERROR(SEARCH(("NEURO"),(X52))))</formula>
    </cfRule>
    <cfRule type="containsText" priority="3817" operator="containsText" dxfId="5" text="NEURO">
      <formula>NOT(ISERROR(SEARCH(("NEURO"),(X52))))</formula>
    </cfRule>
    <cfRule type="containsText" priority="3818" operator="containsText" dxfId="0" text="ICU N">
      <formula>NOT(ISERROR(SEARCH(("ICU N"),(X52))))</formula>
    </cfRule>
    <cfRule type="containsText" priority="3819" operator="containsText" dxfId="3" text="ICU">
      <formula>NOT(ISERROR(SEARCH(("ICU"),(X52))))</formula>
    </cfRule>
    <cfRule type="containsText" priority="3820" operator="containsText" dxfId="0" text="SWING">
      <formula>NOT(ISERROR(SEARCH(("SWING"),(X52))))</formula>
    </cfRule>
    <cfRule type="containsText" priority="3821" operator="containsText" dxfId="0" text="NF">
      <formula>NOT(ISERROR(SEARCH(("NF"),(X52))))</formula>
    </cfRule>
    <cfRule type="containsText" priority="3822" operator="containsText" dxfId="0" text="ICU N">
      <formula>NOT(ISERROR(SEARCH(("ICU N"),(X52))))</formula>
    </cfRule>
  </conditionalFormatting>
  <conditionalFormatting sqref="X50">
    <cfRule type="containsText" priority="3787" operator="containsText" dxfId="16" text="ED">
      <formula>NOT(ISERROR(SEARCH(("ED"),(X50))))</formula>
    </cfRule>
    <cfRule type="containsText" priority="3788" operator="containsText" dxfId="15" text="GERIATRIC">
      <formula>NOT(ISERROR(SEARCH(("GERIATRIC"),(X50))))</formula>
    </cfRule>
    <cfRule type="containsText" priority="3789" operator="containsText" dxfId="17" text="VACATION">
      <formula>NOT(ISERROR(SEARCH(("VACATION"),(X50))))</formula>
    </cfRule>
    <cfRule type="containsText" priority="3790" operator="containsText" dxfId="7" text="PATH">
      <formula>NOT(ISERROR(SEARCH(("PATH"),(X50))))</formula>
    </cfRule>
    <cfRule type="containsText" priority="3791" operator="containsText" dxfId="7" text="NEPHRO">
      <formula>NOT(ISERROR(SEARCH(("NEPHRO"),(X50))))</formula>
    </cfRule>
    <cfRule type="containsText" priority="3792" operator="containsText" dxfId="7" text="PULM">
      <formula>NOT(ISERROR(SEARCH(("PULM"),(X50))))</formula>
    </cfRule>
    <cfRule type="containsText" priority="3793" operator="containsText" dxfId="7" text="RADIOLOGY">
      <formula>NOT(ISERROR(SEARCH(("RADIOLOGY"),(X50))))</formula>
    </cfRule>
    <cfRule type="containsText" priority="3794" operator="containsText" dxfId="7" text="HEM/ONC">
      <formula>NOT(ISERROR(SEARCH(("HEM/ONC"),(X50))))</formula>
    </cfRule>
    <cfRule type="containsText" priority="3795" operator="containsText" dxfId="7" text="CARDIO">
      <formula>NOT(ISERROR(SEARCH(("CARDIO"),(X50))))</formula>
    </cfRule>
    <cfRule type="containsText" priority="3796" operator="containsText" dxfId="7" text="ID">
      <formula>NOT(ISERROR(SEARCH(("ID"),(X50))))</formula>
    </cfRule>
    <cfRule type="containsText" priority="3797" operator="containsText" dxfId="7" text="NEURO">
      <formula>NOT(ISERROR(SEARCH(("NEURO"),(X50))))</formula>
    </cfRule>
    <cfRule type="containsText" priority="3798" operator="containsText" dxfId="6" text="NEURO">
      <formula>NOT(ISERROR(SEARCH(("NEURO"),(X50))))</formula>
    </cfRule>
    <cfRule type="containsText" priority="3799" operator="containsText" dxfId="5" text="NEURO">
      <formula>NOT(ISERROR(SEARCH(("NEURO"),(X50))))</formula>
    </cfRule>
    <cfRule type="containsText" priority="3800" operator="containsText" dxfId="0" text="ICU N">
      <formula>NOT(ISERROR(SEARCH(("ICU N"),(X50))))</formula>
    </cfRule>
    <cfRule type="containsText" priority="3801" operator="containsText" dxfId="3" text="ICU">
      <formula>NOT(ISERROR(SEARCH(("ICU"),(X50))))</formula>
    </cfRule>
    <cfRule type="containsText" priority="3802" operator="containsText" dxfId="0" text="SWING">
      <formula>NOT(ISERROR(SEARCH(("SWING"),(X50))))</formula>
    </cfRule>
    <cfRule type="containsText" priority="3803" operator="containsText" dxfId="0" text="NF">
      <formula>NOT(ISERROR(SEARCH(("NF"),(X50))))</formula>
    </cfRule>
    <cfRule type="containsText" priority="3804" operator="containsText" dxfId="0" text="ICU N">
      <formula>NOT(ISERROR(SEARCH(("ICU N"),(X50))))</formula>
    </cfRule>
    <cfRule type="containsText" priority="3769" operator="containsText" dxfId="16" text="ED">
      <formula>NOT(ISERROR(SEARCH(("ED"),(X50))))</formula>
    </cfRule>
    <cfRule type="containsText" priority="3770" operator="containsText" dxfId="15" text="GERIATRIC">
      <formula>NOT(ISERROR(SEARCH(("GERIATRIC"),(X50))))</formula>
    </cfRule>
    <cfRule type="containsText" priority="3771" operator="containsText" dxfId="17" text="VACATION">
      <formula>NOT(ISERROR(SEARCH(("VACATION"),(X50))))</formula>
    </cfRule>
    <cfRule type="containsText" priority="3772" operator="containsText" dxfId="7" text="PATH">
      <formula>NOT(ISERROR(SEARCH(("PATH"),(X50))))</formula>
    </cfRule>
    <cfRule type="containsText" priority="3773" operator="containsText" dxfId="7" text="NEPHRO">
      <formula>NOT(ISERROR(SEARCH(("NEPHRO"),(X50))))</formula>
    </cfRule>
    <cfRule type="containsText" priority="3774" operator="containsText" dxfId="7" text="PULM">
      <formula>NOT(ISERROR(SEARCH(("PULM"),(X50))))</formula>
    </cfRule>
    <cfRule type="containsText" priority="3775" operator="containsText" dxfId="7" text="RADIOLOGY">
      <formula>NOT(ISERROR(SEARCH(("RADIOLOGY"),(X50))))</formula>
    </cfRule>
    <cfRule type="containsText" priority="3776" operator="containsText" dxfId="7" text="HEM/ONC">
      <formula>NOT(ISERROR(SEARCH(("HEM/ONC"),(X50))))</formula>
    </cfRule>
    <cfRule type="containsText" priority="3777" operator="containsText" dxfId="7" text="CARDIO">
      <formula>NOT(ISERROR(SEARCH(("CARDIO"),(X50))))</formula>
    </cfRule>
    <cfRule type="containsText" priority="3778" operator="containsText" dxfId="7" text="ID">
      <formula>NOT(ISERROR(SEARCH(("ID"),(X50))))</formula>
    </cfRule>
    <cfRule type="containsText" priority="3779" operator="containsText" dxfId="7" text="NEURO">
      <formula>NOT(ISERROR(SEARCH(("NEURO"),(X50))))</formula>
    </cfRule>
    <cfRule type="containsText" priority="3780" operator="containsText" dxfId="6" text="NEURO">
      <formula>NOT(ISERROR(SEARCH(("NEURO"),(X50))))</formula>
    </cfRule>
    <cfRule type="containsText" priority="3781" operator="containsText" dxfId="5" text="NEURO">
      <formula>NOT(ISERROR(SEARCH(("NEURO"),(X50))))</formula>
    </cfRule>
    <cfRule type="containsText" priority="3782" operator="containsText" dxfId="0" text="ICU N">
      <formula>NOT(ISERROR(SEARCH(("ICU N"),(X50))))</formula>
    </cfRule>
    <cfRule type="containsText" priority="3783" operator="containsText" dxfId="3" text="ICU">
      <formula>NOT(ISERROR(SEARCH(("ICU"),(X50))))</formula>
    </cfRule>
    <cfRule type="containsText" priority="3784" operator="containsText" dxfId="0" text="SWING">
      <formula>NOT(ISERROR(SEARCH(("SWING"),(X50))))</formula>
    </cfRule>
    <cfRule type="containsText" priority="3785" operator="containsText" dxfId="0" text="NF">
      <formula>NOT(ISERROR(SEARCH(("NF"),(X50))))</formula>
    </cfRule>
    <cfRule type="containsText" priority="3786" operator="containsText" dxfId="0" text="ICU N">
      <formula>NOT(ISERROR(SEARCH(("ICU N"),(X50))))</formula>
    </cfRule>
    <cfRule type="containsText" priority="3752" operator="containsText" dxfId="17" text="VACATION">
      <formula>NOT(ISERROR(SEARCH(("VACATION"),(X50))))</formula>
    </cfRule>
    <cfRule type="containsText" priority="3753" operator="containsText" dxfId="16" text="ED">
      <formula>NOT(ISERROR(SEARCH(("ED"),(X50))))</formula>
    </cfRule>
    <cfRule type="containsText" priority="3754" operator="containsText" dxfId="15" text="GERIATRIC">
      <formula>NOT(ISERROR(SEARCH(("GERIATRIC"),(X50))))</formula>
    </cfRule>
    <cfRule type="containsText" priority="3755" operator="containsText" dxfId="7" text="PATH">
      <formula>NOT(ISERROR(SEARCH(("PATH"),(X50))))</formula>
    </cfRule>
    <cfRule type="containsText" priority="3756" operator="containsText" dxfId="7" text="NEPHRO">
      <formula>NOT(ISERROR(SEARCH(("NEPHRO"),(X50))))</formula>
    </cfRule>
    <cfRule type="containsText" priority="3757" operator="containsText" dxfId="7" text="PULM">
      <formula>NOT(ISERROR(SEARCH(("PULM"),(X50))))</formula>
    </cfRule>
    <cfRule type="containsText" priority="3758" operator="containsText" dxfId="7" text="RADIOLOGY">
      <formula>NOT(ISERROR(SEARCH(("RADIOLOGY"),(X50))))</formula>
    </cfRule>
    <cfRule type="containsText" priority="3759" operator="containsText" dxfId="7" text="HEM/ONC">
      <formula>NOT(ISERROR(SEARCH(("HEM/ONC"),(X50))))</formula>
    </cfRule>
    <cfRule type="containsText" priority="3760" operator="containsText" dxfId="7" text="CARDIO">
      <formula>NOT(ISERROR(SEARCH(("CARDIO"),(X50))))</formula>
    </cfRule>
    <cfRule type="containsText" priority="3761" operator="containsText" dxfId="7" text="ID">
      <formula>NOT(ISERROR(SEARCH(("ID"),(X50))))</formula>
    </cfRule>
    <cfRule type="containsText" priority="3762" operator="containsText" dxfId="7" text="NEURO">
      <formula>NOT(ISERROR(SEARCH(("NEURO"),(X50))))</formula>
    </cfRule>
    <cfRule type="containsText" priority="3763" operator="containsText" dxfId="6" text="NEURO">
      <formula>NOT(ISERROR(SEARCH(("NEURO"),(X50))))</formula>
    </cfRule>
    <cfRule type="containsText" priority="3764" operator="containsText" dxfId="5" text="NEURO">
      <formula>NOT(ISERROR(SEARCH(("NEURO"),(X50))))</formula>
    </cfRule>
    <cfRule type="containsText" priority="3765" operator="containsText" dxfId="0" text="ICU N">
      <formula>NOT(ISERROR(SEARCH(("ICU N"),(X50))))</formula>
    </cfRule>
    <cfRule type="containsText" priority="3766" operator="containsText" dxfId="3" text="ICU">
      <formula>NOT(ISERROR(SEARCH(("ICU"),(X50))))</formula>
    </cfRule>
    <cfRule type="containsText" priority="3767" operator="containsText" dxfId="0" text="SWING">
      <formula>NOT(ISERROR(SEARCH(("SWING"),(X50))))</formula>
    </cfRule>
    <cfRule type="containsText" priority="3768" operator="containsText" dxfId="0" text="NF">
      <formula>NOT(ISERROR(SEARCH(("NF"),(X50))))</formula>
    </cfRule>
    <cfRule type="containsText" priority="3737" operator="containsText" dxfId="7" text="PATH">
      <formula>NOT(ISERROR(SEARCH(("PATH"),(X50))))</formula>
    </cfRule>
    <cfRule type="containsText" priority="3738" operator="containsText" dxfId="7" text="NEPHRO">
      <formula>NOT(ISERROR(SEARCH(("NEPHRO"),(X50))))</formula>
    </cfRule>
    <cfRule type="containsText" priority="3739" operator="containsText" dxfId="7" text="PULM">
      <formula>NOT(ISERROR(SEARCH(("PULM"),(X50))))</formula>
    </cfRule>
    <cfRule type="containsText" priority="3740" operator="containsText" dxfId="7" text="RADIOLOGY">
      <formula>NOT(ISERROR(SEARCH(("RADIOLOGY"),(X50))))</formula>
    </cfRule>
    <cfRule type="containsText" priority="3741" operator="containsText" dxfId="7" text="HEM/ONC">
      <formula>NOT(ISERROR(SEARCH(("HEM/ONC"),(X50))))</formula>
    </cfRule>
    <cfRule type="containsText" priority="3742" operator="containsText" dxfId="7" text="CARDIO">
      <formula>NOT(ISERROR(SEARCH(("CARDIO"),(X50))))</formula>
    </cfRule>
    <cfRule type="containsText" priority="3743" operator="containsText" dxfId="7" text="ID">
      <formula>NOT(ISERROR(SEARCH(("ID"),(X50))))</formula>
    </cfRule>
    <cfRule type="containsText" priority="3744" operator="containsText" dxfId="7" text="NEURO">
      <formula>NOT(ISERROR(SEARCH(("NEURO"),(X50))))</formula>
    </cfRule>
    <cfRule type="containsText" priority="3745" operator="containsText" dxfId="6" text="NEURO">
      <formula>NOT(ISERROR(SEARCH(("NEURO"),(X50))))</formula>
    </cfRule>
    <cfRule type="containsText" priority="3746" operator="containsText" dxfId="5" text="NEURO">
      <formula>NOT(ISERROR(SEARCH(("NEURO"),(X50))))</formula>
    </cfRule>
    <cfRule type="containsText" priority="3747" operator="containsText" dxfId="0" text="ICU N">
      <formula>NOT(ISERROR(SEARCH(("ICU N"),(X50))))</formula>
    </cfRule>
    <cfRule type="containsText" priority="3748" operator="containsText" dxfId="3" text="ICU">
      <formula>NOT(ISERROR(SEARCH(("ICU"),(X50))))</formula>
    </cfRule>
    <cfRule type="containsText" priority="3749" operator="containsText" dxfId="0" text="SWING">
      <formula>NOT(ISERROR(SEARCH(("SWING"),(X50))))</formula>
    </cfRule>
    <cfRule type="containsText" priority="3750" operator="containsText" dxfId="0" text="NF">
      <formula>NOT(ISERROR(SEARCH(("NF"),(X50))))</formula>
    </cfRule>
    <cfRule type="containsText" priority="3751" operator="containsText" dxfId="0" text="ICU N">
      <formula>NOT(ISERROR(SEARCH(("ICU N"),(X50))))</formula>
    </cfRule>
  </conditionalFormatting>
  <conditionalFormatting sqref="P49:Q49">
    <cfRule type="containsText" priority="3669" operator="containsText" dxfId="16" text="ED">
      <formula>NOT(ISERROR(SEARCH(("ED"),(P49))))</formula>
    </cfRule>
    <cfRule type="containsText" priority="3670" operator="containsText" dxfId="15" text="GERIATRIC">
      <formula>NOT(ISERROR(SEARCH(("GERIATRIC"),(P49))))</formula>
    </cfRule>
    <cfRule type="containsText" priority="3671" operator="containsText" dxfId="17" text="VACATION">
      <formula>NOT(ISERROR(SEARCH(("VACATION"),(P49))))</formula>
    </cfRule>
    <cfRule type="containsText" priority="3672" operator="containsText" dxfId="7" text="PATH">
      <formula>NOT(ISERROR(SEARCH(("PATH"),(P49))))</formula>
    </cfRule>
    <cfRule type="containsText" priority="3673" operator="containsText" dxfId="7" text="NEPHRO">
      <formula>NOT(ISERROR(SEARCH(("NEPHRO"),(P49))))</formula>
    </cfRule>
    <cfRule type="containsText" priority="3674" operator="containsText" dxfId="7" text="PULM">
      <formula>NOT(ISERROR(SEARCH(("PULM"),(P49))))</formula>
    </cfRule>
    <cfRule type="containsText" priority="3675" operator="containsText" dxfId="7" text="RADIOLOGY">
      <formula>NOT(ISERROR(SEARCH(("RADIOLOGY"),(P49))))</formula>
    </cfRule>
    <cfRule type="containsText" priority="3676" operator="containsText" dxfId="7" text="HEM/ONC">
      <formula>NOT(ISERROR(SEARCH(("HEM/ONC"),(P49))))</formula>
    </cfRule>
    <cfRule type="containsText" priority="3677" operator="containsText" dxfId="7" text="CARDIO">
      <formula>NOT(ISERROR(SEARCH(("CARDIO"),(P49))))</formula>
    </cfRule>
    <cfRule type="containsText" priority="3678" operator="containsText" dxfId="7" text="ID">
      <formula>NOT(ISERROR(SEARCH(("ID"),(P49))))</formula>
    </cfRule>
    <cfRule type="containsText" priority="3679" operator="containsText" dxfId="7" text="NEURO">
      <formula>NOT(ISERROR(SEARCH(("NEURO"),(P49))))</formula>
    </cfRule>
    <cfRule type="containsText" priority="3680" operator="containsText" dxfId="6" text="NEURO">
      <formula>NOT(ISERROR(SEARCH(("NEURO"),(P49))))</formula>
    </cfRule>
    <cfRule type="containsText" priority="3681" operator="containsText" dxfId="5" text="NEURO">
      <formula>NOT(ISERROR(SEARCH(("NEURO"),(P49))))</formula>
    </cfRule>
    <cfRule type="containsText" priority="3682" operator="containsText" dxfId="0" text="ICU N">
      <formula>NOT(ISERROR(SEARCH(("ICU N"),(P49))))</formula>
    </cfRule>
    <cfRule type="containsText" priority="3683" operator="containsText" dxfId="3" text="ICU">
      <formula>NOT(ISERROR(SEARCH(("ICU"),(P49))))</formula>
    </cfRule>
    <cfRule type="containsText" priority="3684" operator="containsText" dxfId="0" text="SWING">
      <formula>NOT(ISERROR(SEARCH(("SWING"),(P49))))</formula>
    </cfRule>
    <cfRule type="containsText" priority="3685" operator="containsText" dxfId="0" text="NF">
      <formula>NOT(ISERROR(SEARCH(("NF"),(P49))))</formula>
    </cfRule>
    <cfRule type="containsText" priority="3686" operator="containsText" dxfId="0" text="ICU N">
      <formula>NOT(ISERROR(SEARCH(("ICU N"),(P49))))</formula>
    </cfRule>
    <cfRule type="containsText" priority="3652" operator="containsText" dxfId="17" text="VACATION">
      <formula>NOT(ISERROR(SEARCH(("VACATION"),(P49))))</formula>
    </cfRule>
    <cfRule type="containsText" priority="3653" operator="containsText" dxfId="16" text="ED">
      <formula>NOT(ISERROR(SEARCH(("ED"),(P49))))</formula>
    </cfRule>
    <cfRule type="containsText" priority="3654" operator="containsText" dxfId="15" text="GERIATRIC">
      <formula>NOT(ISERROR(SEARCH(("GERIATRIC"),(P49))))</formula>
    </cfRule>
    <cfRule type="containsText" priority="3655" operator="containsText" dxfId="7" text="PATH">
      <formula>NOT(ISERROR(SEARCH(("PATH"),(P49))))</formula>
    </cfRule>
    <cfRule type="containsText" priority="3656" operator="containsText" dxfId="7" text="NEPHRO">
      <formula>NOT(ISERROR(SEARCH(("NEPHRO"),(P49))))</formula>
    </cfRule>
    <cfRule type="containsText" priority="3657" operator="containsText" dxfId="7" text="PULM">
      <formula>NOT(ISERROR(SEARCH(("PULM"),(P49))))</formula>
    </cfRule>
    <cfRule type="containsText" priority="3658" operator="containsText" dxfId="7" text="RADIOLOGY">
      <formula>NOT(ISERROR(SEARCH(("RADIOLOGY"),(P49))))</formula>
    </cfRule>
    <cfRule type="containsText" priority="3659" operator="containsText" dxfId="7" text="HEM/ONC">
      <formula>NOT(ISERROR(SEARCH(("HEM/ONC"),(P49))))</formula>
    </cfRule>
    <cfRule type="containsText" priority="3660" operator="containsText" dxfId="7" text="CARDIO">
      <formula>NOT(ISERROR(SEARCH(("CARDIO"),(P49))))</formula>
    </cfRule>
    <cfRule type="containsText" priority="3661" operator="containsText" dxfId="7" text="ID">
      <formula>NOT(ISERROR(SEARCH(("ID"),(P49))))</formula>
    </cfRule>
    <cfRule type="containsText" priority="3662" operator="containsText" dxfId="7" text="NEURO">
      <formula>NOT(ISERROR(SEARCH(("NEURO"),(P49))))</formula>
    </cfRule>
    <cfRule type="containsText" priority="3663" operator="containsText" dxfId="6" text="NEURO">
      <formula>NOT(ISERROR(SEARCH(("NEURO"),(P49))))</formula>
    </cfRule>
    <cfRule type="containsText" priority="3664" operator="containsText" dxfId="5" text="NEURO">
      <formula>NOT(ISERROR(SEARCH(("NEURO"),(P49))))</formula>
    </cfRule>
    <cfRule type="containsText" priority="3665" operator="containsText" dxfId="0" text="ICU N">
      <formula>NOT(ISERROR(SEARCH(("ICU N"),(P49))))</formula>
    </cfRule>
    <cfRule type="containsText" priority="3666" operator="containsText" dxfId="3" text="ICU">
      <formula>NOT(ISERROR(SEARCH(("ICU"),(P49))))</formula>
    </cfRule>
    <cfRule type="containsText" priority="3667" operator="containsText" dxfId="0" text="SWING">
      <formula>NOT(ISERROR(SEARCH(("SWING"),(P49))))</formula>
    </cfRule>
    <cfRule type="containsText" priority="3668" operator="containsText" dxfId="0" text="NF">
      <formula>NOT(ISERROR(SEARCH(("NF"),(P49))))</formula>
    </cfRule>
    <cfRule type="containsText" priority="3637" operator="containsText" dxfId="7" text="PATH">
      <formula>NOT(ISERROR(SEARCH(("PATH"),(P49))))</formula>
    </cfRule>
    <cfRule type="containsText" priority="3638" operator="containsText" dxfId="7" text="NEPHRO">
      <formula>NOT(ISERROR(SEARCH(("NEPHRO"),(P49))))</formula>
    </cfRule>
    <cfRule type="containsText" priority="3639" operator="containsText" dxfId="7" text="PULM">
      <formula>NOT(ISERROR(SEARCH(("PULM"),(P49))))</formula>
    </cfRule>
    <cfRule type="containsText" priority="3640" operator="containsText" dxfId="7" text="RADIOLOGY">
      <formula>NOT(ISERROR(SEARCH(("RADIOLOGY"),(P49))))</formula>
    </cfRule>
    <cfRule type="containsText" priority="3641" operator="containsText" dxfId="7" text="HEM/ONC">
      <formula>NOT(ISERROR(SEARCH(("HEM/ONC"),(P49))))</formula>
    </cfRule>
    <cfRule type="containsText" priority="3642" operator="containsText" dxfId="7" text="CARDIO">
      <formula>NOT(ISERROR(SEARCH(("CARDIO"),(P49))))</formula>
    </cfRule>
    <cfRule type="containsText" priority="3643" operator="containsText" dxfId="7" text="ID">
      <formula>NOT(ISERROR(SEARCH(("ID"),(P49))))</formula>
    </cfRule>
    <cfRule type="containsText" priority="3644" operator="containsText" dxfId="7" text="NEURO">
      <formula>NOT(ISERROR(SEARCH(("NEURO"),(P49))))</formula>
    </cfRule>
    <cfRule type="containsText" priority="3645" operator="containsText" dxfId="6" text="NEURO">
      <formula>NOT(ISERROR(SEARCH(("NEURO"),(P49))))</formula>
    </cfRule>
    <cfRule type="containsText" priority="3646" operator="containsText" dxfId="5" text="NEURO">
      <formula>NOT(ISERROR(SEARCH(("NEURO"),(P49))))</formula>
    </cfRule>
    <cfRule type="containsText" priority="3647" operator="containsText" dxfId="0" text="ICU N">
      <formula>NOT(ISERROR(SEARCH(("ICU N"),(P49))))</formula>
    </cfRule>
    <cfRule type="containsText" priority="3648" operator="containsText" dxfId="3" text="ICU">
      <formula>NOT(ISERROR(SEARCH(("ICU"),(P49))))</formula>
    </cfRule>
    <cfRule type="containsText" priority="3649" operator="containsText" dxfId="0" text="SWING">
      <formula>NOT(ISERROR(SEARCH(("SWING"),(P49))))</formula>
    </cfRule>
    <cfRule type="containsText" priority="3650" operator="containsText" dxfId="0" text="NF">
      <formula>NOT(ISERROR(SEARCH(("NF"),(P49))))</formula>
    </cfRule>
    <cfRule type="containsText" priority="3651" operator="containsText" dxfId="0" text="ICU N">
      <formula>NOT(ISERROR(SEARCH(("ICU N"),(P49))))</formula>
    </cfRule>
  </conditionalFormatting>
  <conditionalFormatting sqref="G50">
    <cfRule type="containsText" priority="3631" operator="containsText" dxfId="16" text="ED">
      <formula>NOT(ISERROR(SEARCH(("ED"),(G50))))</formula>
    </cfRule>
    <cfRule type="containsText" priority="3632" operator="containsText" dxfId="17" text="VACATION">
      <formula>NOT(ISERROR(SEARCH(("VACATION"),(G50))))</formula>
    </cfRule>
    <cfRule type="containsText" priority="3633" operator="containsText" dxfId="0" text="ICU N">
      <formula>NOT(ISERROR(SEARCH(("ICU N"),(G50))))</formula>
    </cfRule>
  </conditionalFormatting>
  <conditionalFormatting sqref="F50">
    <cfRule type="containsText" priority="3625" operator="containsText" dxfId="16" text="ED">
      <formula>NOT(ISERROR(SEARCH(("ED"),(F50))))</formula>
    </cfRule>
    <cfRule type="containsText" priority="3626" operator="containsText" dxfId="17" text="VACATION">
      <formula>NOT(ISERROR(SEARCH(("VACATION"),(F50))))</formula>
    </cfRule>
    <cfRule type="containsText" priority="3627" operator="containsText" dxfId="0" text="ICU N">
      <formula>NOT(ISERROR(SEARCH(("ICU N"),(F50))))</formula>
    </cfRule>
  </conditionalFormatting>
  <conditionalFormatting sqref="F49">
    <cfRule type="containsText" priority="3605" operator="containsText" dxfId="17" text="VACATION">
      <formula>NOT(ISERROR(SEARCH(("VACATION"),(F49))))</formula>
    </cfRule>
    <cfRule type="containsText" priority="3606" operator="containsText" dxfId="16" text="ED">
      <formula>NOT(ISERROR(SEARCH(("ED"),(F49))))</formula>
    </cfRule>
    <cfRule type="containsText" priority="3607" operator="containsText" dxfId="15" text="GERIATRIC">
      <formula>NOT(ISERROR(SEARCH(("GERIATRIC"),(F49))))</formula>
    </cfRule>
    <cfRule type="containsText" priority="3608" operator="containsText" dxfId="7" text="PATH">
      <formula>NOT(ISERROR(SEARCH(("PATH"),(F49))))</formula>
    </cfRule>
    <cfRule type="containsText" priority="3609" operator="containsText" dxfId="7" text="NEPHRO">
      <formula>NOT(ISERROR(SEARCH(("NEPHRO"),(F49))))</formula>
    </cfRule>
    <cfRule type="containsText" priority="3610" operator="containsText" dxfId="7" text="PULM">
      <formula>NOT(ISERROR(SEARCH(("PULM"),(F49))))</formula>
    </cfRule>
    <cfRule type="containsText" priority="3611" operator="containsText" dxfId="7" text="RADIOLOGY">
      <formula>NOT(ISERROR(SEARCH(("RADIOLOGY"),(F49))))</formula>
    </cfRule>
    <cfRule type="containsText" priority="3612" operator="containsText" dxfId="7" text="HEM/ONC">
      <formula>NOT(ISERROR(SEARCH(("HEM/ONC"),(F49))))</formula>
    </cfRule>
    <cfRule type="containsText" priority="3613" operator="containsText" dxfId="7" text="CARDIO">
      <formula>NOT(ISERROR(SEARCH(("CARDIO"),(F49))))</formula>
    </cfRule>
    <cfRule type="containsText" priority="3614" operator="containsText" dxfId="7" text="ID">
      <formula>NOT(ISERROR(SEARCH(("ID"),(F49))))</formula>
    </cfRule>
    <cfRule type="containsText" priority="3615" operator="containsText" dxfId="7" text="NEURO">
      <formula>NOT(ISERROR(SEARCH(("NEURO"),(F49))))</formula>
    </cfRule>
    <cfRule type="containsText" priority="3616" operator="containsText" dxfId="6" text="NEURO">
      <formula>NOT(ISERROR(SEARCH(("NEURO"),(F49))))</formula>
    </cfRule>
    <cfRule type="containsText" priority="3617" operator="containsText" dxfId="5" text="NEURO">
      <formula>NOT(ISERROR(SEARCH(("NEURO"),(F49))))</formula>
    </cfRule>
    <cfRule type="containsText" priority="3618" operator="containsText" dxfId="0" text="ICU N">
      <formula>NOT(ISERROR(SEARCH(("ICU N"),(F49))))</formula>
    </cfRule>
    <cfRule type="containsText" priority="3619" operator="containsText" dxfId="3" text="ICU">
      <formula>NOT(ISERROR(SEARCH(("ICU"),(F49))))</formula>
    </cfRule>
    <cfRule type="containsText" priority="3620" operator="containsText" dxfId="0" text="SWING">
      <formula>NOT(ISERROR(SEARCH(("SWING"),(F49))))</formula>
    </cfRule>
    <cfRule type="containsText" priority="3621" operator="containsText" dxfId="0" text="NF">
      <formula>NOT(ISERROR(SEARCH(("NF"),(F49))))</formula>
    </cfRule>
  </conditionalFormatting>
  <conditionalFormatting sqref="G49">
    <cfRule type="containsText" priority="3588" operator="containsText" dxfId="17" text="VACATION">
      <formula>NOT(ISERROR(SEARCH(("VACATION"),(G49))))</formula>
    </cfRule>
    <cfRule type="containsText" priority="3589" operator="containsText" dxfId="16" text="ED">
      <formula>NOT(ISERROR(SEARCH(("ED"),(G49))))</formula>
    </cfRule>
    <cfRule type="containsText" priority="3590" operator="containsText" dxfId="15" text="GERIATRIC">
      <formula>NOT(ISERROR(SEARCH(("GERIATRIC"),(G49))))</formula>
    </cfRule>
    <cfRule type="containsText" priority="3591" operator="containsText" dxfId="7" text="PATH">
      <formula>NOT(ISERROR(SEARCH(("PATH"),(G49))))</formula>
    </cfRule>
    <cfRule type="containsText" priority="3592" operator="containsText" dxfId="7" text="NEPHRO">
      <formula>NOT(ISERROR(SEARCH(("NEPHRO"),(G49))))</formula>
    </cfRule>
    <cfRule type="containsText" priority="3593" operator="containsText" dxfId="7" text="PULM">
      <formula>NOT(ISERROR(SEARCH(("PULM"),(G49))))</formula>
    </cfRule>
    <cfRule type="containsText" priority="3594" operator="containsText" dxfId="7" text="RADIOLOGY">
      <formula>NOT(ISERROR(SEARCH(("RADIOLOGY"),(G49))))</formula>
    </cfRule>
    <cfRule type="containsText" priority="3595" operator="containsText" dxfId="7" text="HEM/ONC">
      <formula>NOT(ISERROR(SEARCH(("HEM/ONC"),(G49))))</formula>
    </cfRule>
    <cfRule type="containsText" priority="3596" operator="containsText" dxfId="7" text="CARDIO">
      <formula>NOT(ISERROR(SEARCH(("CARDIO"),(G49))))</formula>
    </cfRule>
    <cfRule type="containsText" priority="3597" operator="containsText" dxfId="7" text="ID">
      <formula>NOT(ISERROR(SEARCH(("ID"),(G49))))</formula>
    </cfRule>
    <cfRule type="containsText" priority="3598" operator="containsText" dxfId="7" text="NEURO">
      <formula>NOT(ISERROR(SEARCH(("NEURO"),(G49))))</formula>
    </cfRule>
    <cfRule type="containsText" priority="3599" operator="containsText" dxfId="6" text="NEURO">
      <formula>NOT(ISERROR(SEARCH(("NEURO"),(G49))))</formula>
    </cfRule>
    <cfRule type="containsText" priority="3600" operator="containsText" dxfId="5" text="NEURO">
      <formula>NOT(ISERROR(SEARCH(("NEURO"),(G49))))</formula>
    </cfRule>
    <cfRule type="containsText" priority="3601" operator="containsText" dxfId="0" text="ICU N">
      <formula>NOT(ISERROR(SEARCH(("ICU N"),(G49))))</formula>
    </cfRule>
    <cfRule type="containsText" priority="3602" operator="containsText" dxfId="3" text="ICU">
      <formula>NOT(ISERROR(SEARCH(("ICU"),(G49))))</formula>
    </cfRule>
    <cfRule type="containsText" priority="3603" operator="containsText" dxfId="0" text="SWING">
      <formula>NOT(ISERROR(SEARCH(("SWING"),(G49))))</formula>
    </cfRule>
    <cfRule type="containsText" priority="3604" operator="containsText" dxfId="0" text="NF">
      <formula>NOT(ISERROR(SEARCH(("NF"),(G49))))</formula>
    </cfRule>
  </conditionalFormatting>
  <conditionalFormatting sqref="AA49">
    <cfRule type="containsText" priority="3585" operator="containsText" dxfId="16" text="ED">
      <formula>NOT(ISERROR(SEARCH(("ED"),(AA49))))</formula>
    </cfRule>
    <cfRule type="containsText" priority="3586" operator="containsText" dxfId="17" text="VACATION">
      <formula>NOT(ISERROR(SEARCH(("VACATION"),(AA49))))</formula>
    </cfRule>
    <cfRule type="containsText" priority="3587" operator="containsText" dxfId="0" text="ICU N">
      <formula>NOT(ISERROR(SEARCH(("ICU N"),(AA49))))</formula>
    </cfRule>
  </conditionalFormatting>
  <conditionalFormatting sqref="AN49">
    <cfRule type="containsText" priority="3582" operator="containsText" dxfId="16" text="ED">
      <formula>NOT(ISERROR(SEARCH(("ED"),(AN49))))</formula>
    </cfRule>
    <cfRule type="containsText" priority="3583" operator="containsText" dxfId="17" text="VACATION">
      <formula>NOT(ISERROR(SEARCH(("VACATION"),(AN49))))</formula>
    </cfRule>
    <cfRule type="containsText" priority="3584" operator="containsText" dxfId="0" text="ICU N">
      <formula>NOT(ISERROR(SEARCH(("ICU N"),(AN49))))</formula>
    </cfRule>
  </conditionalFormatting>
  <conditionalFormatting sqref="Z49">
    <cfRule type="containsText" priority="3579" operator="containsText" dxfId="16" text="ED">
      <formula>NOT(ISERROR(SEARCH(("ED"),(Z49))))</formula>
    </cfRule>
    <cfRule type="containsText" priority="3580" operator="containsText" dxfId="17" text="VACATION">
      <formula>NOT(ISERROR(SEARCH(("VACATION"),(Z49))))</formula>
    </cfRule>
    <cfRule type="containsText" priority="3581" operator="containsText" dxfId="0" text="ICU N">
      <formula>NOT(ISERROR(SEARCH(("ICU N"),(Z49))))</formula>
    </cfRule>
    <cfRule type="containsText" priority="3561" operator="containsText" dxfId="16" text="ED">
      <formula>NOT(ISERROR(SEARCH(("ED"),(Z49))))</formula>
    </cfRule>
    <cfRule type="containsText" priority="3562" operator="containsText" dxfId="15" text="GERIATRIC">
      <formula>NOT(ISERROR(SEARCH(("GERIATRIC"),(Z49))))</formula>
    </cfRule>
    <cfRule type="containsText" priority="3563" operator="containsText" dxfId="17" text="VACATION">
      <formula>NOT(ISERROR(SEARCH(("VACATION"),(Z49))))</formula>
    </cfRule>
    <cfRule type="containsText" priority="3564" operator="containsText" dxfId="7" text="PATH">
      <formula>NOT(ISERROR(SEARCH(("PATH"),(Z49))))</formula>
    </cfRule>
    <cfRule type="containsText" priority="3565" operator="containsText" dxfId="7" text="NEPHRO">
      <formula>NOT(ISERROR(SEARCH(("NEPHRO"),(Z49))))</formula>
    </cfRule>
    <cfRule type="containsText" priority="3566" operator="containsText" dxfId="7" text="PULM">
      <formula>NOT(ISERROR(SEARCH(("PULM"),(Z49))))</formula>
    </cfRule>
    <cfRule type="containsText" priority="3567" operator="containsText" dxfId="7" text="RADIOLOGY">
      <formula>NOT(ISERROR(SEARCH(("RADIOLOGY"),(Z49))))</formula>
    </cfRule>
    <cfRule type="containsText" priority="3568" operator="containsText" dxfId="7" text="HEM/ONC">
      <formula>NOT(ISERROR(SEARCH(("HEM/ONC"),(Z49))))</formula>
    </cfRule>
    <cfRule type="containsText" priority="3569" operator="containsText" dxfId="7" text="CARDIO">
      <formula>NOT(ISERROR(SEARCH(("CARDIO"),(Z49))))</formula>
    </cfRule>
    <cfRule type="containsText" priority="3570" operator="containsText" dxfId="7" text="ID">
      <formula>NOT(ISERROR(SEARCH(("ID"),(Z49))))</formula>
    </cfRule>
    <cfRule type="containsText" priority="3571" operator="containsText" dxfId="7" text="NEURO">
      <formula>NOT(ISERROR(SEARCH(("NEURO"),(Z49))))</formula>
    </cfRule>
    <cfRule type="containsText" priority="3572" operator="containsText" dxfId="6" text="NEURO">
      <formula>NOT(ISERROR(SEARCH(("NEURO"),(Z49))))</formula>
    </cfRule>
    <cfRule type="containsText" priority="3573" operator="containsText" dxfId="5" text="NEURO">
      <formula>NOT(ISERROR(SEARCH(("NEURO"),(Z49))))</formula>
    </cfRule>
    <cfRule type="containsText" priority="3574" operator="containsText" dxfId="0" text="ICU N">
      <formula>NOT(ISERROR(SEARCH(("ICU N"),(Z49))))</formula>
    </cfRule>
    <cfRule type="containsText" priority="3575" operator="containsText" dxfId="3" text="ICU">
      <formula>NOT(ISERROR(SEARCH(("ICU"),(Z49))))</formula>
    </cfRule>
    <cfRule type="containsText" priority="3576" operator="containsText" dxfId="0" text="SWING">
      <formula>NOT(ISERROR(SEARCH(("SWING"),(Z49))))</formula>
    </cfRule>
    <cfRule type="containsText" priority="3577" operator="containsText" dxfId="0" text="NF">
      <formula>NOT(ISERROR(SEARCH(("NF"),(Z49))))</formula>
    </cfRule>
    <cfRule type="containsText" priority="3578" operator="containsText" dxfId="0" text="ICU N">
      <formula>NOT(ISERROR(SEARCH(("ICU N"),(Z49))))</formula>
    </cfRule>
    <cfRule type="containsText" priority="3544" operator="containsText" dxfId="17" text="VACATION">
      <formula>NOT(ISERROR(SEARCH(("VACATION"),(Z49))))</formula>
    </cfRule>
    <cfRule type="containsText" priority="3545" operator="containsText" dxfId="16" text="ED">
      <formula>NOT(ISERROR(SEARCH(("ED"),(Z49))))</formula>
    </cfRule>
    <cfRule type="containsText" priority="3546" operator="containsText" dxfId="15" text="GERIATRIC">
      <formula>NOT(ISERROR(SEARCH(("GERIATRIC"),(Z49))))</formula>
    </cfRule>
    <cfRule type="containsText" priority="3547" operator="containsText" dxfId="7" text="PATH">
      <formula>NOT(ISERROR(SEARCH(("PATH"),(Z49))))</formula>
    </cfRule>
    <cfRule type="containsText" priority="3548" operator="containsText" dxfId="7" text="NEPHRO">
      <formula>NOT(ISERROR(SEARCH(("NEPHRO"),(Z49))))</formula>
    </cfRule>
    <cfRule type="containsText" priority="3549" operator="containsText" dxfId="7" text="PULM">
      <formula>NOT(ISERROR(SEARCH(("PULM"),(Z49))))</formula>
    </cfRule>
    <cfRule type="containsText" priority="3550" operator="containsText" dxfId="7" text="RADIOLOGY">
      <formula>NOT(ISERROR(SEARCH(("RADIOLOGY"),(Z49))))</formula>
    </cfRule>
    <cfRule type="containsText" priority="3551" operator="containsText" dxfId="7" text="HEM/ONC">
      <formula>NOT(ISERROR(SEARCH(("HEM/ONC"),(Z49))))</formula>
    </cfRule>
    <cfRule type="containsText" priority="3552" operator="containsText" dxfId="7" text="CARDIO">
      <formula>NOT(ISERROR(SEARCH(("CARDIO"),(Z49))))</formula>
    </cfRule>
    <cfRule type="containsText" priority="3553" operator="containsText" dxfId="7" text="ID">
      <formula>NOT(ISERROR(SEARCH(("ID"),(Z49))))</formula>
    </cfRule>
    <cfRule type="containsText" priority="3554" operator="containsText" dxfId="7" text="NEURO">
      <formula>NOT(ISERROR(SEARCH(("NEURO"),(Z49))))</formula>
    </cfRule>
    <cfRule type="containsText" priority="3555" operator="containsText" dxfId="6" text="NEURO">
      <formula>NOT(ISERROR(SEARCH(("NEURO"),(Z49))))</formula>
    </cfRule>
    <cfRule type="containsText" priority="3556" operator="containsText" dxfId="5" text="NEURO">
      <formula>NOT(ISERROR(SEARCH(("NEURO"),(Z49))))</formula>
    </cfRule>
    <cfRule type="containsText" priority="3557" operator="containsText" dxfId="0" text="ICU N">
      <formula>NOT(ISERROR(SEARCH(("ICU N"),(Z49))))</formula>
    </cfRule>
    <cfRule type="containsText" priority="3558" operator="containsText" dxfId="3" text="ICU">
      <formula>NOT(ISERROR(SEARCH(("ICU"),(Z49))))</formula>
    </cfRule>
    <cfRule type="containsText" priority="3559" operator="containsText" dxfId="0" text="SWING">
      <formula>NOT(ISERROR(SEARCH(("SWING"),(Z49))))</formula>
    </cfRule>
    <cfRule type="containsText" priority="3560" operator="containsText" dxfId="0" text="NF">
      <formula>NOT(ISERROR(SEARCH(("NF"),(Z49))))</formula>
    </cfRule>
    <cfRule type="containsText" priority="3529" operator="containsText" dxfId="7" text="PATH">
      <formula>NOT(ISERROR(SEARCH(("PATH"),(Z49))))</formula>
    </cfRule>
    <cfRule type="containsText" priority="3530" operator="containsText" dxfId="7" text="NEPHRO">
      <formula>NOT(ISERROR(SEARCH(("NEPHRO"),(Z49))))</formula>
    </cfRule>
    <cfRule type="containsText" priority="3531" operator="containsText" dxfId="7" text="PULM">
      <formula>NOT(ISERROR(SEARCH(("PULM"),(Z49))))</formula>
    </cfRule>
    <cfRule type="containsText" priority="3532" operator="containsText" dxfId="7" text="RADIOLOGY">
      <formula>NOT(ISERROR(SEARCH(("RADIOLOGY"),(Z49))))</formula>
    </cfRule>
    <cfRule type="containsText" priority="3533" operator="containsText" dxfId="7" text="HEM/ONC">
      <formula>NOT(ISERROR(SEARCH(("HEM/ONC"),(Z49))))</formula>
    </cfRule>
    <cfRule type="containsText" priority="3534" operator="containsText" dxfId="7" text="CARDIO">
      <formula>NOT(ISERROR(SEARCH(("CARDIO"),(Z49))))</formula>
    </cfRule>
    <cfRule type="containsText" priority="3535" operator="containsText" dxfId="7" text="ID">
      <formula>NOT(ISERROR(SEARCH(("ID"),(Z49))))</formula>
    </cfRule>
    <cfRule type="containsText" priority="3536" operator="containsText" dxfId="7" text="NEURO">
      <formula>NOT(ISERROR(SEARCH(("NEURO"),(Z49))))</formula>
    </cfRule>
    <cfRule type="containsText" priority="3537" operator="containsText" dxfId="6" text="NEURO">
      <formula>NOT(ISERROR(SEARCH(("NEURO"),(Z49))))</formula>
    </cfRule>
    <cfRule type="containsText" priority="3538" operator="containsText" dxfId="5" text="NEURO">
      <formula>NOT(ISERROR(SEARCH(("NEURO"),(Z49))))</formula>
    </cfRule>
    <cfRule type="containsText" priority="3539" operator="containsText" dxfId="0" text="ICU N">
      <formula>NOT(ISERROR(SEARCH(("ICU N"),(Z49))))</formula>
    </cfRule>
    <cfRule type="containsText" priority="3540" operator="containsText" dxfId="3" text="ICU">
      <formula>NOT(ISERROR(SEARCH(("ICU"),(Z49))))</formula>
    </cfRule>
    <cfRule type="containsText" priority="3541" operator="containsText" dxfId="0" text="SWING">
      <formula>NOT(ISERROR(SEARCH(("SWING"),(Z49))))</formula>
    </cfRule>
    <cfRule type="containsText" priority="3542" operator="containsText" dxfId="0" text="NF">
      <formula>NOT(ISERROR(SEARCH(("NF"),(Z49))))</formula>
    </cfRule>
    <cfRule type="containsText" priority="3543" operator="containsText" dxfId="0" text="ICU N">
      <formula>NOT(ISERROR(SEARCH(("ICU N"),(Z49))))</formula>
    </cfRule>
  </conditionalFormatting>
  <conditionalFormatting sqref="I49">
    <cfRule type="containsText" priority="3511" operator="containsText" dxfId="16" text="ED">
      <formula>NOT(ISERROR(SEARCH(("ED"),(I49))))</formula>
    </cfRule>
    <cfRule type="containsText" priority="3512" operator="containsText" dxfId="15" text="GERIATRIC">
      <formula>NOT(ISERROR(SEARCH(("GERIATRIC"),(I49))))</formula>
    </cfRule>
    <cfRule type="containsText" priority="3513" operator="containsText" dxfId="17" text="VACATION">
      <formula>NOT(ISERROR(SEARCH(("VACATION"),(I49))))</formula>
    </cfRule>
    <cfRule type="containsText" priority="3514" operator="containsText" dxfId="7" text="PATH">
      <formula>NOT(ISERROR(SEARCH(("PATH"),(I49))))</formula>
    </cfRule>
    <cfRule type="containsText" priority="3515" operator="containsText" dxfId="7" text="NEPHRO">
      <formula>NOT(ISERROR(SEARCH(("NEPHRO"),(I49))))</formula>
    </cfRule>
    <cfRule type="containsText" priority="3516" operator="containsText" dxfId="7" text="PULM">
      <formula>NOT(ISERROR(SEARCH(("PULM"),(I49))))</formula>
    </cfRule>
    <cfRule type="containsText" priority="3517" operator="containsText" dxfId="7" text="RADIOLOGY">
      <formula>NOT(ISERROR(SEARCH(("RADIOLOGY"),(I49))))</formula>
    </cfRule>
    <cfRule type="containsText" priority="3518" operator="containsText" dxfId="7" text="HEM/ONC">
      <formula>NOT(ISERROR(SEARCH(("HEM/ONC"),(I49))))</formula>
    </cfRule>
    <cfRule type="containsText" priority="3519" operator="containsText" dxfId="7" text="CARDIO">
      <formula>NOT(ISERROR(SEARCH(("CARDIO"),(I49))))</formula>
    </cfRule>
    <cfRule type="containsText" priority="3520" operator="containsText" dxfId="7" text="ID">
      <formula>NOT(ISERROR(SEARCH(("ID"),(I49))))</formula>
    </cfRule>
    <cfRule type="containsText" priority="3521" operator="containsText" dxfId="7" text="NEURO">
      <formula>NOT(ISERROR(SEARCH(("NEURO"),(I49))))</formula>
    </cfRule>
    <cfRule type="containsText" priority="3522" operator="containsText" dxfId="6" text="NEURO">
      <formula>NOT(ISERROR(SEARCH(("NEURO"),(I49))))</formula>
    </cfRule>
    <cfRule type="containsText" priority="3523" operator="containsText" dxfId="5" text="NEURO">
      <formula>NOT(ISERROR(SEARCH(("NEURO"),(I49))))</formula>
    </cfRule>
    <cfRule type="containsText" priority="3524" operator="containsText" dxfId="0" text="ICU N">
      <formula>NOT(ISERROR(SEARCH(("ICU N"),(I49))))</formula>
    </cfRule>
    <cfRule type="containsText" priority="3525" operator="containsText" dxfId="3" text="ICU">
      <formula>NOT(ISERROR(SEARCH(("ICU"),(I49))))</formula>
    </cfRule>
    <cfRule type="containsText" priority="3526" operator="containsText" dxfId="0" text="SWING">
      <formula>NOT(ISERROR(SEARCH(("SWING"),(I49))))</formula>
    </cfRule>
    <cfRule type="containsText" priority="3527" operator="containsText" dxfId="0" text="NF">
      <formula>NOT(ISERROR(SEARCH(("NF"),(I49))))</formula>
    </cfRule>
    <cfRule type="containsText" priority="3528" operator="containsText" dxfId="0" text="ICU N">
      <formula>NOT(ISERROR(SEARCH(("ICU N"),(I49))))</formula>
    </cfRule>
  </conditionalFormatting>
  <conditionalFormatting sqref="AH43">
    <cfRule type="containsText" priority="3458" operator="containsText" dxfId="16" text="ED">
      <formula>NOT(ISERROR(SEARCH(("ED"),(AH43))))</formula>
    </cfRule>
    <cfRule type="containsText" priority="3459" operator="containsText" dxfId="15" text="GERIATRIC">
      <formula>NOT(ISERROR(SEARCH(("GERIATRIC"),(AH43))))</formula>
    </cfRule>
    <cfRule type="containsText" priority="3460" operator="containsText" dxfId="17" text="VACATION">
      <formula>NOT(ISERROR(SEARCH(("VACATION"),(AH43))))</formula>
    </cfRule>
    <cfRule type="containsText" priority="3461" operator="containsText" dxfId="7" text="PATH">
      <formula>NOT(ISERROR(SEARCH(("PATH"),(AH43))))</formula>
    </cfRule>
    <cfRule type="containsText" priority="3462" operator="containsText" dxfId="7" text="NEPHRO">
      <formula>NOT(ISERROR(SEARCH(("NEPHRO"),(AH43))))</formula>
    </cfRule>
    <cfRule type="containsText" priority="3463" operator="containsText" dxfId="7" text="PULM">
      <formula>NOT(ISERROR(SEARCH(("PULM"),(AH43))))</formula>
    </cfRule>
    <cfRule type="containsText" priority="3464" operator="containsText" dxfId="7" text="RADIOLOGY">
      <formula>NOT(ISERROR(SEARCH(("RADIOLOGY"),(AH43))))</formula>
    </cfRule>
    <cfRule type="containsText" priority="3465" operator="containsText" dxfId="7" text="HEM/ONC">
      <formula>NOT(ISERROR(SEARCH(("HEM/ONC"),(AH43))))</formula>
    </cfRule>
    <cfRule type="containsText" priority="3466" operator="containsText" dxfId="7" text="CARDIO">
      <formula>NOT(ISERROR(SEARCH(("CARDIO"),(AH43))))</formula>
    </cfRule>
    <cfRule type="containsText" priority="3467" operator="containsText" dxfId="7" text="ID">
      <formula>NOT(ISERROR(SEARCH(("ID"),(AH43))))</formula>
    </cfRule>
    <cfRule type="containsText" priority="3468" operator="containsText" dxfId="7" text="NEURO">
      <formula>NOT(ISERROR(SEARCH(("NEURO"),(AH43))))</formula>
    </cfRule>
    <cfRule type="containsText" priority="3469" operator="containsText" dxfId="6" text="NEURO">
      <formula>NOT(ISERROR(SEARCH(("NEURO"),(AH43))))</formula>
    </cfRule>
    <cfRule type="containsText" priority="3470" operator="containsText" dxfId="5" text="NEURO">
      <formula>NOT(ISERROR(SEARCH(("NEURO"),(AH43))))</formula>
    </cfRule>
    <cfRule type="containsText" priority="3471" operator="containsText" dxfId="0" text="ICU N">
      <formula>NOT(ISERROR(SEARCH(("ICU N"),(AH43))))</formula>
    </cfRule>
    <cfRule type="containsText" priority="3472" operator="containsText" dxfId="3" text="ICU">
      <formula>NOT(ISERROR(SEARCH(("ICU"),(AH43))))</formula>
    </cfRule>
    <cfRule type="containsText" priority="3473" operator="containsText" dxfId="0" text="SWING">
      <formula>NOT(ISERROR(SEARCH(("SWING"),(AH43))))</formula>
    </cfRule>
    <cfRule type="containsText" priority="3474" operator="containsText" dxfId="0" text="NF">
      <formula>NOT(ISERROR(SEARCH(("NF"),(AH43))))</formula>
    </cfRule>
    <cfRule type="containsText" priority="3475" operator="containsText" dxfId="0" text="ICU N">
      <formula>NOT(ISERROR(SEARCH(("ICU N"),(AH43))))</formula>
    </cfRule>
    <cfRule type="containsText" priority="3440" operator="containsText" dxfId="16" text="ED">
      <formula>NOT(ISERROR(SEARCH(("ED"),(AH43))))</formula>
    </cfRule>
    <cfRule type="containsText" priority="3441" operator="containsText" dxfId="15" text="GERIATRIC">
      <formula>NOT(ISERROR(SEARCH(("GERIATRIC"),(AH43))))</formula>
    </cfRule>
    <cfRule type="containsText" priority="3442" operator="containsText" dxfId="17" text="VACATION">
      <formula>NOT(ISERROR(SEARCH(("VACATION"),(AH43))))</formula>
    </cfRule>
    <cfRule type="containsText" priority="3443" operator="containsText" dxfId="7" text="PATH">
      <formula>NOT(ISERROR(SEARCH(("PATH"),(AH43))))</formula>
    </cfRule>
    <cfRule type="containsText" priority="3444" operator="containsText" dxfId="7" text="NEPHRO">
      <formula>NOT(ISERROR(SEARCH(("NEPHRO"),(AH43))))</formula>
    </cfRule>
    <cfRule type="containsText" priority="3445" operator="containsText" dxfId="7" text="PULM">
      <formula>NOT(ISERROR(SEARCH(("PULM"),(AH43))))</formula>
    </cfRule>
    <cfRule type="containsText" priority="3446" operator="containsText" dxfId="7" text="RADIOLOGY">
      <formula>NOT(ISERROR(SEARCH(("RADIOLOGY"),(AH43))))</formula>
    </cfRule>
    <cfRule type="containsText" priority="3447" operator="containsText" dxfId="7" text="HEM/ONC">
      <formula>NOT(ISERROR(SEARCH(("HEM/ONC"),(AH43))))</formula>
    </cfRule>
    <cfRule type="containsText" priority="3448" operator="containsText" dxfId="7" text="CARDIO">
      <formula>NOT(ISERROR(SEARCH(("CARDIO"),(AH43))))</formula>
    </cfRule>
    <cfRule type="containsText" priority="3449" operator="containsText" dxfId="7" text="ID">
      <formula>NOT(ISERROR(SEARCH(("ID"),(AH43))))</formula>
    </cfRule>
    <cfRule type="containsText" priority="3450" operator="containsText" dxfId="7" text="NEURO">
      <formula>NOT(ISERROR(SEARCH(("NEURO"),(AH43))))</formula>
    </cfRule>
    <cfRule type="containsText" priority="3451" operator="containsText" dxfId="6" text="NEURO">
      <formula>NOT(ISERROR(SEARCH(("NEURO"),(AH43))))</formula>
    </cfRule>
    <cfRule type="containsText" priority="3452" operator="containsText" dxfId="5" text="NEURO">
      <formula>NOT(ISERROR(SEARCH(("NEURO"),(AH43))))</formula>
    </cfRule>
    <cfRule type="containsText" priority="3453" operator="containsText" dxfId="0" text="ICU N">
      <formula>NOT(ISERROR(SEARCH(("ICU N"),(AH43))))</formula>
    </cfRule>
    <cfRule type="containsText" priority="3454" operator="containsText" dxfId="3" text="ICU">
      <formula>NOT(ISERROR(SEARCH(("ICU"),(AH43))))</formula>
    </cfRule>
    <cfRule type="containsText" priority="3455" operator="containsText" dxfId="0" text="SWING">
      <formula>NOT(ISERROR(SEARCH(("SWING"),(AH43))))</formula>
    </cfRule>
    <cfRule type="containsText" priority="3456" operator="containsText" dxfId="0" text="NF">
      <formula>NOT(ISERROR(SEARCH(("NF"),(AH43))))</formula>
    </cfRule>
    <cfRule type="containsText" priority="3457" operator="containsText" dxfId="0" text="ICU N">
      <formula>NOT(ISERROR(SEARCH(("ICU N"),(AH43))))</formula>
    </cfRule>
  </conditionalFormatting>
  <conditionalFormatting sqref="AH50">
    <cfRule type="containsText" priority="3421" operator="containsText" dxfId="17" text="VACATION">
      <formula>NOT(ISERROR(SEARCH(("VACATION"),(AH50))))</formula>
    </cfRule>
    <cfRule type="containsText" priority="3422" operator="containsText" dxfId="16" text="ED">
      <formula>NOT(ISERROR(SEARCH(("ED"),(AH50))))</formula>
    </cfRule>
    <cfRule type="containsText" priority="3423" operator="containsText" dxfId="15" text="GERIATRIC">
      <formula>NOT(ISERROR(SEARCH(("GERIATRIC"),(AH50))))</formula>
    </cfRule>
    <cfRule type="containsText" priority="3424" operator="containsText" dxfId="17" text="VACATION">
      <formula>NOT(ISERROR(SEARCH(("VACATION"),(AH50))))</formula>
    </cfRule>
    <cfRule type="containsText" priority="3425" operator="containsText" dxfId="7" text="PATH">
      <formula>NOT(ISERROR(SEARCH(("PATH"),(AH50))))</formula>
    </cfRule>
    <cfRule type="containsText" priority="3426" operator="containsText" dxfId="7" text="NEPHRO">
      <formula>NOT(ISERROR(SEARCH(("NEPHRO"),(AH50))))</formula>
    </cfRule>
    <cfRule type="containsText" priority="3427" operator="containsText" dxfId="7" text="PULM">
      <formula>NOT(ISERROR(SEARCH(("PULM"),(AH50))))</formula>
    </cfRule>
    <cfRule type="containsText" priority="3428" operator="containsText" dxfId="7" text="RADIOLOGY">
      <formula>NOT(ISERROR(SEARCH(("RADIOLOGY"),(AH50))))</formula>
    </cfRule>
    <cfRule type="containsText" priority="3429" operator="containsText" dxfId="7" text="HEM/ONC">
      <formula>NOT(ISERROR(SEARCH(("HEM/ONC"),(AH50))))</formula>
    </cfRule>
    <cfRule type="containsText" priority="3430" operator="containsText" dxfId="7" text="CARDIO">
      <formula>NOT(ISERROR(SEARCH(("CARDIO"),(AH50))))</formula>
    </cfRule>
    <cfRule type="containsText" priority="3431" operator="containsText" dxfId="7" text="ID">
      <formula>NOT(ISERROR(SEARCH(("ID"),(AH50))))</formula>
    </cfRule>
    <cfRule type="containsText" priority="3432" operator="containsText" dxfId="7" text="NEURO">
      <formula>NOT(ISERROR(SEARCH(("NEURO"),(AH50))))</formula>
    </cfRule>
    <cfRule type="containsText" priority="3433" operator="containsText" dxfId="6" text="NEURO">
      <formula>NOT(ISERROR(SEARCH(("NEURO"),(AH50))))</formula>
    </cfRule>
    <cfRule type="containsText" priority="3434" operator="containsText" dxfId="5" text="NEURO">
      <formula>NOT(ISERROR(SEARCH(("NEURO"),(AH50))))</formula>
    </cfRule>
    <cfRule type="containsText" priority="3435" operator="containsText" dxfId="0" text="ICU N">
      <formula>NOT(ISERROR(SEARCH(("ICU N"),(AH50))))</formula>
    </cfRule>
    <cfRule type="containsText" priority="3436" operator="containsText" dxfId="3" text="ICU">
      <formula>NOT(ISERROR(SEARCH(("ICU"),(AH50))))</formula>
    </cfRule>
    <cfRule type="containsText" priority="3437" operator="containsText" dxfId="0" text="SWING">
      <formula>NOT(ISERROR(SEARCH(("SWING"),(AH50))))</formula>
    </cfRule>
    <cfRule type="containsText" priority="3438" operator="containsText" dxfId="0" text="NF">
      <formula>NOT(ISERROR(SEARCH(("NF"),(AH50))))</formula>
    </cfRule>
    <cfRule type="containsText" priority="3439" operator="containsText" dxfId="0" text="ICU N">
      <formula>NOT(ISERROR(SEARCH(("ICU N"),(AH50))))</formula>
    </cfRule>
    <cfRule type="containsText" priority="3407" operator="containsText" dxfId="15" text="GERIATRIC">
      <formula>NOT(ISERROR(SEARCH(("GERIATRIC"),(AH50))))</formula>
    </cfRule>
    <cfRule type="containsText" priority="3408" operator="containsText" dxfId="7" text="PATH">
      <formula>NOT(ISERROR(SEARCH(("PATH"),(AH50))))</formula>
    </cfRule>
    <cfRule type="containsText" priority="3409" operator="containsText" dxfId="7" text="NEPHRO">
      <formula>NOT(ISERROR(SEARCH(("NEPHRO"),(AH50))))</formula>
    </cfRule>
    <cfRule type="containsText" priority="3410" operator="containsText" dxfId="7" text="PULM">
      <formula>NOT(ISERROR(SEARCH(("PULM"),(AH50))))</formula>
    </cfRule>
    <cfRule type="containsText" priority="3411" operator="containsText" dxfId="7" text="RADIOLOGY">
      <formula>NOT(ISERROR(SEARCH(("RADIOLOGY"),(AH50))))</formula>
    </cfRule>
    <cfRule type="containsText" priority="3412" operator="containsText" dxfId="7" text="HEM/ONC">
      <formula>NOT(ISERROR(SEARCH(("HEM/ONC"),(AH50))))</formula>
    </cfRule>
    <cfRule type="containsText" priority="3413" operator="containsText" dxfId="7" text="CARDIO">
      <formula>NOT(ISERROR(SEARCH(("CARDIO"),(AH50))))</formula>
    </cfRule>
    <cfRule type="containsText" priority="3414" operator="containsText" dxfId="7" text="ID">
      <formula>NOT(ISERROR(SEARCH(("ID"),(AH50))))</formula>
    </cfRule>
    <cfRule type="containsText" priority="3415" operator="containsText" dxfId="7" text="NEURO">
      <formula>NOT(ISERROR(SEARCH(("NEURO"),(AH50))))</formula>
    </cfRule>
    <cfRule type="containsText" priority="3416" operator="containsText" dxfId="6" text="NEURO">
      <formula>NOT(ISERROR(SEARCH(("NEURO"),(AH50))))</formula>
    </cfRule>
    <cfRule type="containsText" priority="3417" operator="containsText" dxfId="5" text="NEURO">
      <formula>NOT(ISERROR(SEARCH(("NEURO"),(AH50))))</formula>
    </cfRule>
    <cfRule type="containsText" priority="3418" operator="containsText" dxfId="3" text="ICU">
      <formula>NOT(ISERROR(SEARCH(("ICU"),(AH50))))</formula>
    </cfRule>
    <cfRule type="containsText" priority="3419" operator="containsText" dxfId="0" text="SWING">
      <formula>NOT(ISERROR(SEARCH(("SWING"),(AH50))))</formula>
    </cfRule>
    <cfRule type="containsText" priority="3420" operator="containsText" dxfId="0" text="NF">
      <formula>NOT(ISERROR(SEARCH(("NF"),(AH50))))</formula>
    </cfRule>
  </conditionalFormatting>
  <conditionalFormatting sqref="AH49">
    <cfRule type="containsText" priority="3404" operator="containsText" dxfId="16" text="ED">
      <formula>NOT(ISERROR(SEARCH(("ED"),(AH49))))</formula>
    </cfRule>
    <cfRule type="containsText" priority="3405" operator="containsText" dxfId="17" text="VACATION">
      <formula>NOT(ISERROR(SEARCH(("VACATION"),(AH49))))</formula>
    </cfRule>
    <cfRule type="containsText" priority="3406" operator="containsText" dxfId="0" text="ICU N">
      <formula>NOT(ISERROR(SEARCH(("ICU N"),(AH49))))</formula>
    </cfRule>
    <cfRule type="containsText" priority="3386" operator="containsText" dxfId="16" text="ED">
      <formula>NOT(ISERROR(SEARCH(("ED"),(AH49))))</formula>
    </cfRule>
    <cfRule type="containsText" priority="3387" operator="containsText" dxfId="15" text="GERIATRIC">
      <formula>NOT(ISERROR(SEARCH(("GERIATRIC"),(AH49))))</formula>
    </cfRule>
    <cfRule type="containsText" priority="3388" operator="containsText" dxfId="17" text="VACATION">
      <formula>NOT(ISERROR(SEARCH(("VACATION"),(AH49))))</formula>
    </cfRule>
    <cfRule type="containsText" priority="3389" operator="containsText" dxfId="7" text="PATH">
      <formula>NOT(ISERROR(SEARCH(("PATH"),(AH49))))</formula>
    </cfRule>
    <cfRule type="containsText" priority="3390" operator="containsText" dxfId="7" text="NEPHRO">
      <formula>NOT(ISERROR(SEARCH(("NEPHRO"),(AH49))))</formula>
    </cfRule>
    <cfRule type="containsText" priority="3391" operator="containsText" dxfId="7" text="PULM">
      <formula>NOT(ISERROR(SEARCH(("PULM"),(AH49))))</formula>
    </cfRule>
    <cfRule type="containsText" priority="3392" operator="containsText" dxfId="7" text="RADIOLOGY">
      <formula>NOT(ISERROR(SEARCH(("RADIOLOGY"),(AH49))))</formula>
    </cfRule>
    <cfRule type="containsText" priority="3393" operator="containsText" dxfId="7" text="HEM/ONC">
      <formula>NOT(ISERROR(SEARCH(("HEM/ONC"),(AH49))))</formula>
    </cfRule>
    <cfRule type="containsText" priority="3394" operator="containsText" dxfId="7" text="CARDIO">
      <formula>NOT(ISERROR(SEARCH(("CARDIO"),(AH49))))</formula>
    </cfRule>
    <cfRule type="containsText" priority="3395" operator="containsText" dxfId="7" text="ID">
      <formula>NOT(ISERROR(SEARCH(("ID"),(AH49))))</formula>
    </cfRule>
    <cfRule type="containsText" priority="3396" operator="containsText" dxfId="7" text="NEURO">
      <formula>NOT(ISERROR(SEARCH(("NEURO"),(AH49))))</formula>
    </cfRule>
    <cfRule type="containsText" priority="3397" operator="containsText" dxfId="6" text="NEURO">
      <formula>NOT(ISERROR(SEARCH(("NEURO"),(AH49))))</formula>
    </cfRule>
    <cfRule type="containsText" priority="3398" operator="containsText" dxfId="5" text="NEURO">
      <formula>NOT(ISERROR(SEARCH(("NEURO"),(AH49))))</formula>
    </cfRule>
    <cfRule type="containsText" priority="3399" operator="containsText" dxfId="0" text="ICU N">
      <formula>NOT(ISERROR(SEARCH(("ICU N"),(AH49))))</formula>
    </cfRule>
    <cfRule type="containsText" priority="3400" operator="containsText" dxfId="3" text="ICU">
      <formula>NOT(ISERROR(SEARCH(("ICU"),(AH49))))</formula>
    </cfRule>
    <cfRule type="containsText" priority="3401" operator="containsText" dxfId="0" text="SWING">
      <formula>NOT(ISERROR(SEARCH(("SWING"),(AH49))))</formula>
    </cfRule>
    <cfRule type="containsText" priority="3402" operator="containsText" dxfId="0" text="NF">
      <formula>NOT(ISERROR(SEARCH(("NF"),(AH49))))</formula>
    </cfRule>
    <cfRule type="containsText" priority="3403" operator="containsText" dxfId="0" text="ICU N">
      <formula>NOT(ISERROR(SEARCH(("ICU N"),(AH49))))</formula>
    </cfRule>
    <cfRule type="containsText" priority="3369" operator="containsText" dxfId="17" text="VACATION">
      <formula>NOT(ISERROR(SEARCH(("VACATION"),(AH49))))</formula>
    </cfRule>
    <cfRule type="containsText" priority="3370" operator="containsText" dxfId="16" text="ED">
      <formula>NOT(ISERROR(SEARCH(("ED"),(AH49))))</formula>
    </cfRule>
    <cfRule type="containsText" priority="3371" operator="containsText" dxfId="15" text="GERIATRIC">
      <formula>NOT(ISERROR(SEARCH(("GERIATRIC"),(AH49))))</formula>
    </cfRule>
    <cfRule type="containsText" priority="3372" operator="containsText" dxfId="7" text="PATH">
      <formula>NOT(ISERROR(SEARCH(("PATH"),(AH49))))</formula>
    </cfRule>
    <cfRule type="containsText" priority="3373" operator="containsText" dxfId="7" text="NEPHRO">
      <formula>NOT(ISERROR(SEARCH(("NEPHRO"),(AH49))))</formula>
    </cfRule>
    <cfRule type="containsText" priority="3374" operator="containsText" dxfId="7" text="PULM">
      <formula>NOT(ISERROR(SEARCH(("PULM"),(AH49))))</formula>
    </cfRule>
    <cfRule type="containsText" priority="3375" operator="containsText" dxfId="7" text="RADIOLOGY">
      <formula>NOT(ISERROR(SEARCH(("RADIOLOGY"),(AH49))))</formula>
    </cfRule>
    <cfRule type="containsText" priority="3376" operator="containsText" dxfId="7" text="HEM/ONC">
      <formula>NOT(ISERROR(SEARCH(("HEM/ONC"),(AH49))))</formula>
    </cfRule>
    <cfRule type="containsText" priority="3377" operator="containsText" dxfId="7" text="CARDIO">
      <formula>NOT(ISERROR(SEARCH(("CARDIO"),(AH49))))</formula>
    </cfRule>
    <cfRule type="containsText" priority="3378" operator="containsText" dxfId="7" text="ID">
      <formula>NOT(ISERROR(SEARCH(("ID"),(AH49))))</formula>
    </cfRule>
    <cfRule type="containsText" priority="3379" operator="containsText" dxfId="7" text="NEURO">
      <formula>NOT(ISERROR(SEARCH(("NEURO"),(AH49))))</formula>
    </cfRule>
    <cfRule type="containsText" priority="3380" operator="containsText" dxfId="6" text="NEURO">
      <formula>NOT(ISERROR(SEARCH(("NEURO"),(AH49))))</formula>
    </cfRule>
    <cfRule type="containsText" priority="3381" operator="containsText" dxfId="5" text="NEURO">
      <formula>NOT(ISERROR(SEARCH(("NEURO"),(AH49))))</formula>
    </cfRule>
    <cfRule type="containsText" priority="3382" operator="containsText" dxfId="0" text="ICU N">
      <formula>NOT(ISERROR(SEARCH(("ICU N"),(AH49))))</formula>
    </cfRule>
    <cfRule type="containsText" priority="3383" operator="containsText" dxfId="3" text="ICU">
      <formula>NOT(ISERROR(SEARCH(("ICU"),(AH49))))</formula>
    </cfRule>
    <cfRule type="containsText" priority="3384" operator="containsText" dxfId="0" text="SWING">
      <formula>NOT(ISERROR(SEARCH(("SWING"),(AH49))))</formula>
    </cfRule>
    <cfRule type="containsText" priority="3385" operator="containsText" dxfId="0" text="NF">
      <formula>NOT(ISERROR(SEARCH(("NF"),(AH49))))</formula>
    </cfRule>
    <cfRule type="containsText" priority="3354" operator="containsText" dxfId="7" text="PATH">
      <formula>NOT(ISERROR(SEARCH(("PATH"),(AH49))))</formula>
    </cfRule>
    <cfRule type="containsText" priority="3355" operator="containsText" dxfId="7" text="NEPHRO">
      <formula>NOT(ISERROR(SEARCH(("NEPHRO"),(AH49))))</formula>
    </cfRule>
    <cfRule type="containsText" priority="3356" operator="containsText" dxfId="7" text="PULM">
      <formula>NOT(ISERROR(SEARCH(("PULM"),(AH49))))</formula>
    </cfRule>
    <cfRule type="containsText" priority="3357" operator="containsText" dxfId="7" text="RADIOLOGY">
      <formula>NOT(ISERROR(SEARCH(("RADIOLOGY"),(AH49))))</formula>
    </cfRule>
    <cfRule type="containsText" priority="3358" operator="containsText" dxfId="7" text="HEM/ONC">
      <formula>NOT(ISERROR(SEARCH(("HEM/ONC"),(AH49))))</formula>
    </cfRule>
    <cfRule type="containsText" priority="3359" operator="containsText" dxfId="7" text="CARDIO">
      <formula>NOT(ISERROR(SEARCH(("CARDIO"),(AH49))))</formula>
    </cfRule>
    <cfRule type="containsText" priority="3360" operator="containsText" dxfId="7" text="ID">
      <formula>NOT(ISERROR(SEARCH(("ID"),(AH49))))</formula>
    </cfRule>
    <cfRule type="containsText" priority="3361" operator="containsText" dxfId="7" text="NEURO">
      <formula>NOT(ISERROR(SEARCH(("NEURO"),(AH49))))</formula>
    </cfRule>
    <cfRule type="containsText" priority="3362" operator="containsText" dxfId="6" text="NEURO">
      <formula>NOT(ISERROR(SEARCH(("NEURO"),(AH49))))</formula>
    </cfRule>
    <cfRule type="containsText" priority="3363" operator="containsText" dxfId="5" text="NEURO">
      <formula>NOT(ISERROR(SEARCH(("NEURO"),(AH49))))</formula>
    </cfRule>
    <cfRule type="containsText" priority="3364" operator="containsText" dxfId="0" text="ICU N">
      <formula>NOT(ISERROR(SEARCH(("ICU N"),(AH49))))</formula>
    </cfRule>
    <cfRule type="containsText" priority="3365" operator="containsText" dxfId="3" text="ICU">
      <formula>NOT(ISERROR(SEARCH(("ICU"),(AH49))))</formula>
    </cfRule>
    <cfRule type="containsText" priority="3366" operator="containsText" dxfId="0" text="SWING">
      <formula>NOT(ISERROR(SEARCH(("SWING"),(AH49))))</formula>
    </cfRule>
    <cfRule type="containsText" priority="3367" operator="containsText" dxfId="0" text="NF">
      <formula>NOT(ISERROR(SEARCH(("NF"),(AH49))))</formula>
    </cfRule>
    <cfRule type="containsText" priority="3368" operator="containsText" dxfId="0" text="ICU N">
      <formula>NOT(ISERROR(SEARCH(("ICU N"),(AH49))))</formula>
    </cfRule>
  </conditionalFormatting>
  <conditionalFormatting sqref="AB50">
    <cfRule type="containsText" priority="3286" operator="containsText" dxfId="16" text="ED">
      <formula>NOT(ISERROR(SEARCH(("ED"),(AB50))))</formula>
    </cfRule>
    <cfRule type="containsText" priority="3287" operator="containsText" dxfId="15" text="GERIATRIC">
      <formula>NOT(ISERROR(SEARCH(("GERIATRIC"),(AB50))))</formula>
    </cfRule>
    <cfRule type="containsText" priority="3288" operator="containsText" dxfId="17" text="VACATION">
      <formula>NOT(ISERROR(SEARCH(("VACATION"),(AB50))))</formula>
    </cfRule>
    <cfRule type="containsText" priority="3289" operator="containsText" dxfId="7" text="PATH">
      <formula>NOT(ISERROR(SEARCH(("PATH"),(AB50))))</formula>
    </cfRule>
    <cfRule type="containsText" priority="3290" operator="containsText" dxfId="7" text="NEPHRO">
      <formula>NOT(ISERROR(SEARCH(("NEPHRO"),(AB50))))</formula>
    </cfRule>
    <cfRule type="containsText" priority="3291" operator="containsText" dxfId="7" text="PULM">
      <formula>NOT(ISERROR(SEARCH(("PULM"),(AB50))))</formula>
    </cfRule>
    <cfRule type="containsText" priority="3292" operator="containsText" dxfId="7" text="RADIOLOGY">
      <formula>NOT(ISERROR(SEARCH(("RADIOLOGY"),(AB50))))</formula>
    </cfRule>
    <cfRule type="containsText" priority="3293" operator="containsText" dxfId="7" text="HEM/ONC">
      <formula>NOT(ISERROR(SEARCH(("HEM/ONC"),(AB50))))</formula>
    </cfRule>
    <cfRule type="containsText" priority="3294" operator="containsText" dxfId="7" text="CARDIO">
      <formula>NOT(ISERROR(SEARCH(("CARDIO"),(AB50))))</formula>
    </cfRule>
    <cfRule type="containsText" priority="3295" operator="containsText" dxfId="7" text="ID">
      <formula>NOT(ISERROR(SEARCH(("ID"),(AB50))))</formula>
    </cfRule>
    <cfRule type="containsText" priority="3296" operator="containsText" dxfId="7" text="NEURO">
      <formula>NOT(ISERROR(SEARCH(("NEURO"),(AB50))))</formula>
    </cfRule>
    <cfRule type="containsText" priority="3297" operator="containsText" dxfId="6" text="NEURO">
      <formula>NOT(ISERROR(SEARCH(("NEURO"),(AB50))))</formula>
    </cfRule>
    <cfRule type="containsText" priority="3298" operator="containsText" dxfId="5" text="NEURO">
      <formula>NOT(ISERROR(SEARCH(("NEURO"),(AB50))))</formula>
    </cfRule>
    <cfRule type="containsText" priority="3299" operator="containsText" dxfId="0" text="ICU N">
      <formula>NOT(ISERROR(SEARCH(("ICU N"),(AB50))))</formula>
    </cfRule>
    <cfRule type="containsText" priority="3300" operator="containsText" dxfId="3" text="ICU">
      <formula>NOT(ISERROR(SEARCH(("ICU"),(AB50))))</formula>
    </cfRule>
    <cfRule type="containsText" priority="3301" operator="containsText" dxfId="0" text="SWING">
      <formula>NOT(ISERROR(SEARCH(("SWING"),(AB50))))</formula>
    </cfRule>
    <cfRule type="containsText" priority="3302" operator="containsText" dxfId="0" text="NF">
      <formula>NOT(ISERROR(SEARCH(("NF"),(AB50))))</formula>
    </cfRule>
    <cfRule type="containsText" priority="3303" operator="containsText" dxfId="0" text="ICU N">
      <formula>NOT(ISERROR(SEARCH(("ICU N"),(AB50))))</formula>
    </cfRule>
    <cfRule type="containsText" priority="3269" operator="containsText" dxfId="17" text="VACATION">
      <formula>NOT(ISERROR(SEARCH(("VACATION"),(AB50))))</formula>
    </cfRule>
    <cfRule type="containsText" priority="3270" operator="containsText" dxfId="16" text="ED">
      <formula>NOT(ISERROR(SEARCH(("ED"),(AB50))))</formula>
    </cfRule>
    <cfRule type="containsText" priority="3271" operator="containsText" dxfId="15" text="GERIATRIC">
      <formula>NOT(ISERROR(SEARCH(("GERIATRIC"),(AB50))))</formula>
    </cfRule>
    <cfRule type="containsText" priority="3272" operator="containsText" dxfId="7" text="PATH">
      <formula>NOT(ISERROR(SEARCH(("PATH"),(AB50))))</formula>
    </cfRule>
    <cfRule type="containsText" priority="3273" operator="containsText" dxfId="7" text="NEPHRO">
      <formula>NOT(ISERROR(SEARCH(("NEPHRO"),(AB50))))</formula>
    </cfRule>
    <cfRule type="containsText" priority="3274" operator="containsText" dxfId="7" text="PULM">
      <formula>NOT(ISERROR(SEARCH(("PULM"),(AB50))))</formula>
    </cfRule>
    <cfRule type="containsText" priority="3275" operator="containsText" dxfId="7" text="RADIOLOGY">
      <formula>NOT(ISERROR(SEARCH(("RADIOLOGY"),(AB50))))</formula>
    </cfRule>
    <cfRule type="containsText" priority="3276" operator="containsText" dxfId="7" text="HEM/ONC">
      <formula>NOT(ISERROR(SEARCH(("HEM/ONC"),(AB50))))</formula>
    </cfRule>
    <cfRule type="containsText" priority="3277" operator="containsText" dxfId="7" text="CARDIO">
      <formula>NOT(ISERROR(SEARCH(("CARDIO"),(AB50))))</formula>
    </cfRule>
    <cfRule type="containsText" priority="3278" operator="containsText" dxfId="7" text="ID">
      <formula>NOT(ISERROR(SEARCH(("ID"),(AB50))))</formula>
    </cfRule>
    <cfRule type="containsText" priority="3279" operator="containsText" dxfId="7" text="NEURO">
      <formula>NOT(ISERROR(SEARCH(("NEURO"),(AB50))))</formula>
    </cfRule>
    <cfRule type="containsText" priority="3280" operator="containsText" dxfId="6" text="NEURO">
      <formula>NOT(ISERROR(SEARCH(("NEURO"),(AB50))))</formula>
    </cfRule>
    <cfRule type="containsText" priority="3281" operator="containsText" dxfId="5" text="NEURO">
      <formula>NOT(ISERROR(SEARCH(("NEURO"),(AB50))))</formula>
    </cfRule>
    <cfRule type="containsText" priority="3282" operator="containsText" dxfId="0" text="ICU N">
      <formula>NOT(ISERROR(SEARCH(("ICU N"),(AB50))))</formula>
    </cfRule>
    <cfRule type="containsText" priority="3283" operator="containsText" dxfId="3" text="ICU">
      <formula>NOT(ISERROR(SEARCH(("ICU"),(AB50))))</formula>
    </cfRule>
    <cfRule type="containsText" priority="3284" operator="containsText" dxfId="0" text="SWING">
      <formula>NOT(ISERROR(SEARCH(("SWING"),(AB50))))</formula>
    </cfRule>
    <cfRule type="containsText" priority="3285" operator="containsText" dxfId="0" text="NF">
      <formula>NOT(ISERROR(SEARCH(("NF"),(AB50))))</formula>
    </cfRule>
    <cfRule type="containsText" priority="3254" operator="containsText" dxfId="7" text="PATH">
      <formula>NOT(ISERROR(SEARCH(("PATH"),(AB50))))</formula>
    </cfRule>
    <cfRule type="containsText" priority="3255" operator="containsText" dxfId="7" text="NEPHRO">
      <formula>NOT(ISERROR(SEARCH(("NEPHRO"),(AB50))))</formula>
    </cfRule>
    <cfRule type="containsText" priority="3256" operator="containsText" dxfId="7" text="PULM">
      <formula>NOT(ISERROR(SEARCH(("PULM"),(AB50))))</formula>
    </cfRule>
    <cfRule type="containsText" priority="3257" operator="containsText" dxfId="7" text="RADIOLOGY">
      <formula>NOT(ISERROR(SEARCH(("RADIOLOGY"),(AB50))))</formula>
    </cfRule>
    <cfRule type="containsText" priority="3258" operator="containsText" dxfId="7" text="HEM/ONC">
      <formula>NOT(ISERROR(SEARCH(("HEM/ONC"),(AB50))))</formula>
    </cfRule>
    <cfRule type="containsText" priority="3259" operator="containsText" dxfId="7" text="CARDIO">
      <formula>NOT(ISERROR(SEARCH(("CARDIO"),(AB50))))</formula>
    </cfRule>
    <cfRule type="containsText" priority="3260" operator="containsText" dxfId="7" text="ID">
      <formula>NOT(ISERROR(SEARCH(("ID"),(AB50))))</formula>
    </cfRule>
    <cfRule type="containsText" priority="3261" operator="containsText" dxfId="7" text="NEURO">
      <formula>NOT(ISERROR(SEARCH(("NEURO"),(AB50))))</formula>
    </cfRule>
    <cfRule type="containsText" priority="3262" operator="containsText" dxfId="6" text="NEURO">
      <formula>NOT(ISERROR(SEARCH(("NEURO"),(AB50))))</formula>
    </cfRule>
    <cfRule type="containsText" priority="3263" operator="containsText" dxfId="5" text="NEURO">
      <formula>NOT(ISERROR(SEARCH(("NEURO"),(AB50))))</formula>
    </cfRule>
    <cfRule type="containsText" priority="3264" operator="containsText" dxfId="0" text="ICU N">
      <formula>NOT(ISERROR(SEARCH(("ICU N"),(AB50))))</formula>
    </cfRule>
    <cfRule type="containsText" priority="3265" operator="containsText" dxfId="3" text="ICU">
      <formula>NOT(ISERROR(SEARCH(("ICU"),(AB50))))</formula>
    </cfRule>
    <cfRule type="containsText" priority="3266" operator="containsText" dxfId="0" text="SWING">
      <formula>NOT(ISERROR(SEARCH(("SWING"),(AB50))))</formula>
    </cfRule>
    <cfRule type="containsText" priority="3267" operator="containsText" dxfId="0" text="NF">
      <formula>NOT(ISERROR(SEARCH(("NF"),(AB50))))</formula>
    </cfRule>
    <cfRule type="containsText" priority="3268" operator="containsText" dxfId="0" text="ICU N">
      <formula>NOT(ISERROR(SEARCH(("ICU N"),(AB50))))</formula>
    </cfRule>
  </conditionalFormatting>
  <conditionalFormatting sqref="AI50">
    <cfRule type="containsText" priority="3236" operator="containsText" dxfId="16" text="ED">
      <formula>NOT(ISERROR(SEARCH(("ED"),(AI50))))</formula>
    </cfRule>
    <cfRule type="containsText" priority="3237" operator="containsText" dxfId="15" text="GERIATRIC">
      <formula>NOT(ISERROR(SEARCH(("GERIATRIC"),(AI50))))</formula>
    </cfRule>
    <cfRule type="containsText" priority="3238" operator="containsText" dxfId="17" text="VACATION">
      <formula>NOT(ISERROR(SEARCH(("VACATION"),(AI50))))</formula>
    </cfRule>
    <cfRule type="containsText" priority="3239" operator="containsText" dxfId="7" text="PATH">
      <formula>NOT(ISERROR(SEARCH(("PATH"),(AI50))))</formula>
    </cfRule>
    <cfRule type="containsText" priority="3240" operator="containsText" dxfId="7" text="NEPHRO">
      <formula>NOT(ISERROR(SEARCH(("NEPHRO"),(AI50))))</formula>
    </cfRule>
    <cfRule type="containsText" priority="3241" operator="containsText" dxfId="7" text="PULM">
      <formula>NOT(ISERROR(SEARCH(("PULM"),(AI50))))</formula>
    </cfRule>
    <cfRule type="containsText" priority="3242" operator="containsText" dxfId="7" text="RADIOLOGY">
      <formula>NOT(ISERROR(SEARCH(("RADIOLOGY"),(AI50))))</formula>
    </cfRule>
    <cfRule type="containsText" priority="3243" operator="containsText" dxfId="7" text="HEM/ONC">
      <formula>NOT(ISERROR(SEARCH(("HEM/ONC"),(AI50))))</formula>
    </cfRule>
    <cfRule type="containsText" priority="3244" operator="containsText" dxfId="7" text="CARDIO">
      <formula>NOT(ISERROR(SEARCH(("CARDIO"),(AI50))))</formula>
    </cfRule>
    <cfRule type="containsText" priority="3245" operator="containsText" dxfId="7" text="ID">
      <formula>NOT(ISERROR(SEARCH(("ID"),(AI50))))</formula>
    </cfRule>
    <cfRule type="containsText" priority="3246" operator="containsText" dxfId="7" text="NEURO">
      <formula>NOT(ISERROR(SEARCH(("NEURO"),(AI50))))</formula>
    </cfRule>
    <cfRule type="containsText" priority="3247" operator="containsText" dxfId="6" text="NEURO">
      <formula>NOT(ISERROR(SEARCH(("NEURO"),(AI50))))</formula>
    </cfRule>
    <cfRule type="containsText" priority="3248" operator="containsText" dxfId="5" text="NEURO">
      <formula>NOT(ISERROR(SEARCH(("NEURO"),(AI50))))</formula>
    </cfRule>
    <cfRule type="containsText" priority="3249" operator="containsText" dxfId="0" text="ICU N">
      <formula>NOT(ISERROR(SEARCH(("ICU N"),(AI50))))</formula>
    </cfRule>
    <cfRule type="containsText" priority="3250" operator="containsText" dxfId="3" text="ICU">
      <formula>NOT(ISERROR(SEARCH(("ICU"),(AI50))))</formula>
    </cfRule>
    <cfRule type="containsText" priority="3251" operator="containsText" dxfId="0" text="SWING">
      <formula>NOT(ISERROR(SEARCH(("SWING"),(AI50))))</formula>
    </cfRule>
    <cfRule type="containsText" priority="3252" operator="containsText" dxfId="0" text="NF">
      <formula>NOT(ISERROR(SEARCH(("NF"),(AI50))))</formula>
    </cfRule>
    <cfRule type="containsText" priority="3253" operator="containsText" dxfId="0" text="ICU N">
      <formula>NOT(ISERROR(SEARCH(("ICU N"),(AI50))))</formula>
    </cfRule>
    <cfRule type="containsText" priority="3219" operator="containsText" dxfId="17" text="VACATION">
      <formula>NOT(ISERROR(SEARCH(("VACATION"),(AI50))))</formula>
    </cfRule>
    <cfRule type="containsText" priority="3220" operator="containsText" dxfId="16" text="ED">
      <formula>NOT(ISERROR(SEARCH(("ED"),(AI50))))</formula>
    </cfRule>
    <cfRule type="containsText" priority="3221" operator="containsText" dxfId="15" text="GERIATRIC">
      <formula>NOT(ISERROR(SEARCH(("GERIATRIC"),(AI50))))</formula>
    </cfRule>
    <cfRule type="containsText" priority="3222" operator="containsText" dxfId="7" text="PATH">
      <formula>NOT(ISERROR(SEARCH(("PATH"),(AI50))))</formula>
    </cfRule>
    <cfRule type="containsText" priority="3223" operator="containsText" dxfId="7" text="NEPHRO">
      <formula>NOT(ISERROR(SEARCH(("NEPHRO"),(AI50))))</formula>
    </cfRule>
    <cfRule type="containsText" priority="3224" operator="containsText" dxfId="7" text="PULM">
      <formula>NOT(ISERROR(SEARCH(("PULM"),(AI50))))</formula>
    </cfRule>
    <cfRule type="containsText" priority="3225" operator="containsText" dxfId="7" text="RADIOLOGY">
      <formula>NOT(ISERROR(SEARCH(("RADIOLOGY"),(AI50))))</formula>
    </cfRule>
    <cfRule type="containsText" priority="3226" operator="containsText" dxfId="7" text="HEM/ONC">
      <formula>NOT(ISERROR(SEARCH(("HEM/ONC"),(AI50))))</formula>
    </cfRule>
    <cfRule type="containsText" priority="3227" operator="containsText" dxfId="7" text="CARDIO">
      <formula>NOT(ISERROR(SEARCH(("CARDIO"),(AI50))))</formula>
    </cfRule>
    <cfRule type="containsText" priority="3228" operator="containsText" dxfId="7" text="ID">
      <formula>NOT(ISERROR(SEARCH(("ID"),(AI50))))</formula>
    </cfRule>
    <cfRule type="containsText" priority="3229" operator="containsText" dxfId="7" text="NEURO">
      <formula>NOT(ISERROR(SEARCH(("NEURO"),(AI50))))</formula>
    </cfRule>
    <cfRule type="containsText" priority="3230" operator="containsText" dxfId="6" text="NEURO">
      <formula>NOT(ISERROR(SEARCH(("NEURO"),(AI50))))</formula>
    </cfRule>
    <cfRule type="containsText" priority="3231" operator="containsText" dxfId="5" text="NEURO">
      <formula>NOT(ISERROR(SEARCH(("NEURO"),(AI50))))</formula>
    </cfRule>
    <cfRule type="containsText" priority="3232" operator="containsText" dxfId="0" text="ICU N">
      <formula>NOT(ISERROR(SEARCH(("ICU N"),(AI50))))</formula>
    </cfRule>
    <cfRule type="containsText" priority="3233" operator="containsText" dxfId="3" text="ICU">
      <formula>NOT(ISERROR(SEARCH(("ICU"),(AI50))))</formula>
    </cfRule>
    <cfRule type="containsText" priority="3234" operator="containsText" dxfId="0" text="SWING">
      <formula>NOT(ISERROR(SEARCH(("SWING"),(AI50))))</formula>
    </cfRule>
    <cfRule type="containsText" priority="3235" operator="containsText" dxfId="0" text="NF">
      <formula>NOT(ISERROR(SEARCH(("NF"),(AI50))))</formula>
    </cfRule>
    <cfRule type="containsText" priority="3204" operator="containsText" dxfId="7" text="PATH">
      <formula>NOT(ISERROR(SEARCH(("PATH"),(AI50))))</formula>
    </cfRule>
    <cfRule type="containsText" priority="3205" operator="containsText" dxfId="7" text="NEPHRO">
      <formula>NOT(ISERROR(SEARCH(("NEPHRO"),(AI50))))</formula>
    </cfRule>
    <cfRule type="containsText" priority="3206" operator="containsText" dxfId="7" text="PULM">
      <formula>NOT(ISERROR(SEARCH(("PULM"),(AI50))))</formula>
    </cfRule>
    <cfRule type="containsText" priority="3207" operator="containsText" dxfId="7" text="RADIOLOGY">
      <formula>NOT(ISERROR(SEARCH(("RADIOLOGY"),(AI50))))</formula>
    </cfRule>
    <cfRule type="containsText" priority="3208" operator="containsText" dxfId="7" text="HEM/ONC">
      <formula>NOT(ISERROR(SEARCH(("HEM/ONC"),(AI50))))</formula>
    </cfRule>
    <cfRule type="containsText" priority="3209" operator="containsText" dxfId="7" text="CARDIO">
      <formula>NOT(ISERROR(SEARCH(("CARDIO"),(AI50))))</formula>
    </cfRule>
    <cfRule type="containsText" priority="3210" operator="containsText" dxfId="7" text="ID">
      <formula>NOT(ISERROR(SEARCH(("ID"),(AI50))))</formula>
    </cfRule>
    <cfRule type="containsText" priority="3211" operator="containsText" dxfId="7" text="NEURO">
      <formula>NOT(ISERROR(SEARCH(("NEURO"),(AI50))))</formula>
    </cfRule>
    <cfRule type="containsText" priority="3212" operator="containsText" dxfId="6" text="NEURO">
      <formula>NOT(ISERROR(SEARCH(("NEURO"),(AI50))))</formula>
    </cfRule>
    <cfRule type="containsText" priority="3213" operator="containsText" dxfId="5" text="NEURO">
      <formula>NOT(ISERROR(SEARCH(("NEURO"),(AI50))))</formula>
    </cfRule>
    <cfRule type="containsText" priority="3214" operator="containsText" dxfId="0" text="ICU N">
      <formula>NOT(ISERROR(SEARCH(("ICU N"),(AI50))))</formula>
    </cfRule>
    <cfRule type="containsText" priority="3215" operator="containsText" dxfId="3" text="ICU">
      <formula>NOT(ISERROR(SEARCH(("ICU"),(AI50))))</formula>
    </cfRule>
    <cfRule type="containsText" priority="3216" operator="containsText" dxfId="0" text="SWING">
      <formula>NOT(ISERROR(SEARCH(("SWING"),(AI50))))</formula>
    </cfRule>
    <cfRule type="containsText" priority="3217" operator="containsText" dxfId="0" text="NF">
      <formula>NOT(ISERROR(SEARCH(("NF"),(AI50))))</formula>
    </cfRule>
    <cfRule type="containsText" priority="3218" operator="containsText" dxfId="0" text="ICU N">
      <formula>NOT(ISERROR(SEARCH(("ICU N"),(AI50))))</formula>
    </cfRule>
  </conditionalFormatting>
  <conditionalFormatting sqref="L24">
    <cfRule type="containsText" priority="3203" operator="containsText" dxfId="17" text="VACATION">
      <formula>NOT(ISERROR(SEARCH(("VACATION"),(L24))))</formula>
    </cfRule>
  </conditionalFormatting>
  <conditionalFormatting sqref="Q19">
    <cfRule type="containsText" priority="3185" operator="containsText" dxfId="16" text="ED">
      <formula>NOT(ISERROR(SEARCH(("ED"),(Q19))))</formula>
    </cfRule>
    <cfRule type="containsText" priority="3186" operator="containsText" dxfId="15" text="GERIATRIC">
      <formula>NOT(ISERROR(SEARCH(("GERIATRIC"),(Q19))))</formula>
    </cfRule>
    <cfRule type="containsText" priority="3187" operator="containsText" dxfId="17" text="VACATION">
      <formula>NOT(ISERROR(SEARCH(("VACATION"),(Q19))))</formula>
    </cfRule>
    <cfRule type="containsText" priority="3188" operator="containsText" dxfId="7" text="PATH">
      <formula>NOT(ISERROR(SEARCH(("PATH"),(Q19))))</formula>
    </cfRule>
    <cfRule type="containsText" priority="3189" operator="containsText" dxfId="7" text="NEPHRO">
      <formula>NOT(ISERROR(SEARCH(("NEPHRO"),(Q19))))</formula>
    </cfRule>
    <cfRule type="containsText" priority="3190" operator="containsText" dxfId="7" text="PULM">
      <formula>NOT(ISERROR(SEARCH(("PULM"),(Q19))))</formula>
    </cfRule>
    <cfRule type="containsText" priority="3191" operator="containsText" dxfId="7" text="RADIOLOGY">
      <formula>NOT(ISERROR(SEARCH(("RADIOLOGY"),(Q19))))</formula>
    </cfRule>
    <cfRule type="containsText" priority="3192" operator="containsText" dxfId="7" text="HEM/ONC">
      <formula>NOT(ISERROR(SEARCH(("HEM/ONC"),(Q19))))</formula>
    </cfRule>
    <cfRule type="containsText" priority="3193" operator="containsText" dxfId="7" text="CARDIO">
      <formula>NOT(ISERROR(SEARCH(("CARDIO"),(Q19))))</formula>
    </cfRule>
    <cfRule type="containsText" priority="3194" operator="containsText" dxfId="7" text="ID">
      <formula>NOT(ISERROR(SEARCH(("ID"),(Q19))))</formula>
    </cfRule>
    <cfRule type="containsText" priority="3195" operator="containsText" dxfId="7" text="NEURO">
      <formula>NOT(ISERROR(SEARCH(("NEURO"),(Q19))))</formula>
    </cfRule>
    <cfRule type="containsText" priority="3196" operator="containsText" dxfId="6" text="NEURO">
      <formula>NOT(ISERROR(SEARCH(("NEURO"),(Q19))))</formula>
    </cfRule>
    <cfRule type="containsText" priority="3197" operator="containsText" dxfId="5" text="NEURO">
      <formula>NOT(ISERROR(SEARCH(("NEURO"),(Q19))))</formula>
    </cfRule>
    <cfRule type="containsText" priority="3198" operator="containsText" dxfId="0" text="ICU N">
      <formula>NOT(ISERROR(SEARCH(("ICU N"),(Q19))))</formula>
    </cfRule>
    <cfRule type="containsText" priority="3199" operator="containsText" dxfId="3" text="ICU">
      <formula>NOT(ISERROR(SEARCH(("ICU"),(Q19))))</formula>
    </cfRule>
    <cfRule type="containsText" priority="3200" operator="containsText" dxfId="0" text="SWING">
      <formula>NOT(ISERROR(SEARCH(("SWING"),(Q19))))</formula>
    </cfRule>
    <cfRule type="containsText" priority="3201" operator="containsText" dxfId="0" text="NF">
      <formula>NOT(ISERROR(SEARCH(("NF"),(Q19))))</formula>
    </cfRule>
    <cfRule type="containsText" priority="3202" operator="containsText" dxfId="0" text="ICU N">
      <formula>NOT(ISERROR(SEARCH(("ICU N"),(Q19))))</formula>
    </cfRule>
    <cfRule type="containsText" priority="3167" operator="containsText" dxfId="16" text="ED">
      <formula>NOT(ISERROR(SEARCH(("ED"),(Q19))))</formula>
    </cfRule>
    <cfRule type="containsText" priority="3168" operator="containsText" dxfId="15" text="GERIATRIC">
      <formula>NOT(ISERROR(SEARCH(("GERIATRIC"),(Q19))))</formula>
    </cfRule>
    <cfRule type="containsText" priority="3169" operator="containsText" dxfId="17" text="VACATION">
      <formula>NOT(ISERROR(SEARCH(("VACATION"),(Q19))))</formula>
    </cfRule>
    <cfRule type="containsText" priority="3170" operator="containsText" dxfId="7" text="PATH">
      <formula>NOT(ISERROR(SEARCH(("PATH"),(Q19))))</formula>
    </cfRule>
    <cfRule type="containsText" priority="3171" operator="containsText" dxfId="7" text="NEPHRO">
      <formula>NOT(ISERROR(SEARCH(("NEPHRO"),(Q19))))</formula>
    </cfRule>
    <cfRule type="containsText" priority="3172" operator="containsText" dxfId="7" text="PULM">
      <formula>NOT(ISERROR(SEARCH(("PULM"),(Q19))))</formula>
    </cfRule>
    <cfRule type="containsText" priority="3173" operator="containsText" dxfId="7" text="RADIOLOGY">
      <formula>NOT(ISERROR(SEARCH(("RADIOLOGY"),(Q19))))</formula>
    </cfRule>
    <cfRule type="containsText" priority="3174" operator="containsText" dxfId="7" text="HEM/ONC">
      <formula>NOT(ISERROR(SEARCH(("HEM/ONC"),(Q19))))</formula>
    </cfRule>
    <cfRule type="containsText" priority="3175" operator="containsText" dxfId="7" text="CARDIO">
      <formula>NOT(ISERROR(SEARCH(("CARDIO"),(Q19))))</formula>
    </cfRule>
    <cfRule type="containsText" priority="3176" operator="containsText" dxfId="7" text="ID">
      <formula>NOT(ISERROR(SEARCH(("ID"),(Q19))))</formula>
    </cfRule>
    <cfRule type="containsText" priority="3177" operator="containsText" dxfId="7" text="NEURO">
      <formula>NOT(ISERROR(SEARCH(("NEURO"),(Q19))))</formula>
    </cfRule>
    <cfRule type="containsText" priority="3178" operator="containsText" dxfId="6" text="NEURO">
      <formula>NOT(ISERROR(SEARCH(("NEURO"),(Q19))))</formula>
    </cfRule>
    <cfRule type="containsText" priority="3179" operator="containsText" dxfId="5" text="NEURO">
      <formula>NOT(ISERROR(SEARCH(("NEURO"),(Q19))))</formula>
    </cfRule>
    <cfRule type="containsText" priority="3180" operator="containsText" dxfId="0" text="ICU N">
      <formula>NOT(ISERROR(SEARCH(("ICU N"),(Q19))))</formula>
    </cfRule>
    <cfRule type="containsText" priority="3181" operator="containsText" dxfId="3" text="ICU">
      <formula>NOT(ISERROR(SEARCH(("ICU"),(Q19))))</formula>
    </cfRule>
    <cfRule type="containsText" priority="3182" operator="containsText" dxfId="0" text="SWING">
      <formula>NOT(ISERROR(SEARCH(("SWING"),(Q19))))</formula>
    </cfRule>
    <cfRule type="containsText" priority="3183" operator="containsText" dxfId="0" text="NF">
      <formula>NOT(ISERROR(SEARCH(("NF"),(Q19))))</formula>
    </cfRule>
    <cfRule type="containsText" priority="3184" operator="containsText" dxfId="0" text="ICU N">
      <formula>NOT(ISERROR(SEARCH(("ICU N"),(Q19))))</formula>
    </cfRule>
  </conditionalFormatting>
  <conditionalFormatting sqref="M53">
    <cfRule type="containsText" priority="3150" operator="containsText" dxfId="17" text="VACATION">
      <formula>NOT(ISERROR(SEARCH(("VACATION"),(M53))))</formula>
    </cfRule>
    <cfRule type="containsText" priority="3151" operator="containsText" dxfId="16" text="ED">
      <formula>NOT(ISERROR(SEARCH(("ED"),(M53))))</formula>
    </cfRule>
    <cfRule type="containsText" priority="3152" operator="containsText" dxfId="15" text="GERIATRIC">
      <formula>NOT(ISERROR(SEARCH(("GERIATRIC"),(M53))))</formula>
    </cfRule>
    <cfRule type="containsText" priority="3153" operator="containsText" dxfId="7" text="PATH">
      <formula>NOT(ISERROR(SEARCH(("PATH"),(M53))))</formula>
    </cfRule>
    <cfRule type="containsText" priority="3154" operator="containsText" dxfId="7" text="NEPHRO">
      <formula>NOT(ISERROR(SEARCH(("NEPHRO"),(M53))))</formula>
    </cfRule>
    <cfRule type="containsText" priority="3155" operator="containsText" dxfId="7" text="PULM">
      <formula>NOT(ISERROR(SEARCH(("PULM"),(M53))))</formula>
    </cfRule>
    <cfRule type="containsText" priority="3156" operator="containsText" dxfId="7" text="RADIOLOGY">
      <formula>NOT(ISERROR(SEARCH(("RADIOLOGY"),(M53))))</formula>
    </cfRule>
    <cfRule type="containsText" priority="3157" operator="containsText" dxfId="7" text="HEM/ONC">
      <formula>NOT(ISERROR(SEARCH(("HEM/ONC"),(M53))))</formula>
    </cfRule>
    <cfRule type="containsText" priority="3158" operator="containsText" dxfId="7" text="CARDIO">
      <formula>NOT(ISERROR(SEARCH(("CARDIO"),(M53))))</formula>
    </cfRule>
    <cfRule type="containsText" priority="3159" operator="containsText" dxfId="7" text="ID">
      <formula>NOT(ISERROR(SEARCH(("ID"),(M53))))</formula>
    </cfRule>
    <cfRule type="containsText" priority="3160" operator="containsText" dxfId="7" text="NEURO">
      <formula>NOT(ISERROR(SEARCH(("NEURO"),(M53))))</formula>
    </cfRule>
    <cfRule type="containsText" priority="3161" operator="containsText" dxfId="6" text="NEURO">
      <formula>NOT(ISERROR(SEARCH(("NEURO"),(M53))))</formula>
    </cfRule>
    <cfRule type="containsText" priority="3162" operator="containsText" dxfId="5" text="NEURO">
      <formula>NOT(ISERROR(SEARCH(("NEURO"),(M53))))</formula>
    </cfRule>
    <cfRule type="containsText" priority="3163" operator="containsText" dxfId="0" text="ICU N">
      <formula>NOT(ISERROR(SEARCH(("ICU N"),(M53))))</formula>
    </cfRule>
    <cfRule type="containsText" priority="3164" operator="containsText" dxfId="3" text="ICU">
      <formula>NOT(ISERROR(SEARCH(("ICU"),(M53))))</formula>
    </cfRule>
    <cfRule type="containsText" priority="3165" operator="containsText" dxfId="0" text="SWING">
      <formula>NOT(ISERROR(SEARCH(("SWING"),(M53))))</formula>
    </cfRule>
    <cfRule type="containsText" priority="3166" operator="containsText" dxfId="0" text="NF">
      <formula>NOT(ISERROR(SEARCH(("NF"),(M53))))</formula>
    </cfRule>
  </conditionalFormatting>
  <conditionalFormatting sqref="AB53">
    <cfRule type="containsText" priority="3147" operator="containsText" dxfId="16" text="ED">
      <formula>NOT(ISERROR(SEARCH(("ED"),(AB53))))</formula>
    </cfRule>
    <cfRule type="containsText" priority="3148" operator="containsText" dxfId="17" text="VACATION">
      <formula>NOT(ISERROR(SEARCH(("VACATION"),(AB53))))</formula>
    </cfRule>
    <cfRule type="containsText" priority="3149" operator="containsText" dxfId="0" text="ICU N">
      <formula>NOT(ISERROR(SEARCH(("ICU N"),(AB53))))</formula>
    </cfRule>
  </conditionalFormatting>
  <conditionalFormatting sqref="AE18">
    <cfRule type="containsText" priority="3129" operator="containsText" dxfId="16" text="ED">
      <formula>NOT(ISERROR(SEARCH(("ED"),(AE18))))</formula>
    </cfRule>
    <cfRule type="containsText" priority="3130" operator="containsText" dxfId="15" text="GERIATRIC">
      <formula>NOT(ISERROR(SEARCH(("GERIATRIC"),(AE18))))</formula>
    </cfRule>
    <cfRule type="containsText" priority="3131" operator="containsText" dxfId="17" text="VACATION">
      <formula>NOT(ISERROR(SEARCH(("VACATION"),(AE18))))</formula>
    </cfRule>
    <cfRule type="containsText" priority="3132" operator="containsText" dxfId="7" text="PATH">
      <formula>NOT(ISERROR(SEARCH(("PATH"),(AE18))))</formula>
    </cfRule>
    <cfRule type="containsText" priority="3133" operator="containsText" dxfId="7" text="NEPHRO">
      <formula>NOT(ISERROR(SEARCH(("NEPHRO"),(AE18))))</formula>
    </cfRule>
    <cfRule type="containsText" priority="3134" operator="containsText" dxfId="7" text="PULM">
      <formula>NOT(ISERROR(SEARCH(("PULM"),(AE18))))</formula>
    </cfRule>
    <cfRule type="containsText" priority="3135" operator="containsText" dxfId="7" text="RADIOLOGY">
      <formula>NOT(ISERROR(SEARCH(("RADIOLOGY"),(AE18))))</formula>
    </cfRule>
    <cfRule type="containsText" priority="3136" operator="containsText" dxfId="7" text="HEM/ONC">
      <formula>NOT(ISERROR(SEARCH(("HEM/ONC"),(AE18))))</formula>
    </cfRule>
    <cfRule type="containsText" priority="3137" operator="containsText" dxfId="7" text="CARDIO">
      <formula>NOT(ISERROR(SEARCH(("CARDIO"),(AE18))))</formula>
    </cfRule>
    <cfRule type="containsText" priority="3138" operator="containsText" dxfId="7" text="ID">
      <formula>NOT(ISERROR(SEARCH(("ID"),(AE18))))</formula>
    </cfRule>
    <cfRule type="containsText" priority="3139" operator="containsText" dxfId="7" text="NEURO">
      <formula>NOT(ISERROR(SEARCH(("NEURO"),(AE18))))</formula>
    </cfRule>
    <cfRule type="containsText" priority="3140" operator="containsText" dxfId="6" text="NEURO">
      <formula>NOT(ISERROR(SEARCH(("NEURO"),(AE18))))</formula>
    </cfRule>
    <cfRule type="containsText" priority="3141" operator="containsText" dxfId="5" text="NEURO">
      <formula>NOT(ISERROR(SEARCH(("NEURO"),(AE18))))</formula>
    </cfRule>
    <cfRule type="containsText" priority="3142" operator="containsText" dxfId="0" text="ICU N">
      <formula>NOT(ISERROR(SEARCH(("ICU N"),(AE18))))</formula>
    </cfRule>
    <cfRule type="containsText" priority="3143" operator="containsText" dxfId="3" text="ICU">
      <formula>NOT(ISERROR(SEARCH(("ICU"),(AE18))))</formula>
    </cfRule>
    <cfRule type="containsText" priority="3144" operator="containsText" dxfId="0" text="SWING">
      <formula>NOT(ISERROR(SEARCH(("SWING"),(AE18))))</formula>
    </cfRule>
    <cfRule type="containsText" priority="3145" operator="containsText" dxfId="0" text="NF">
      <formula>NOT(ISERROR(SEARCH(("NF"),(AE18))))</formula>
    </cfRule>
    <cfRule type="containsText" priority="3146" operator="containsText" dxfId="0" text="ICU N">
      <formula>NOT(ISERROR(SEARCH(("ICU N"),(AE18))))</formula>
    </cfRule>
    <cfRule type="containsText" priority="3111" operator="containsText" dxfId="16" text="ED">
      <formula>NOT(ISERROR(SEARCH(("ED"),(AE18))))</formula>
    </cfRule>
    <cfRule type="containsText" priority="3112" operator="containsText" dxfId="15" text="GERIATRIC">
      <formula>NOT(ISERROR(SEARCH(("GERIATRIC"),(AE18))))</formula>
    </cfRule>
    <cfRule type="containsText" priority="3113" operator="containsText" dxfId="17" text="VACATION">
      <formula>NOT(ISERROR(SEARCH(("VACATION"),(AE18))))</formula>
    </cfRule>
    <cfRule type="containsText" priority="3114" operator="containsText" dxfId="7" text="PATH">
      <formula>NOT(ISERROR(SEARCH(("PATH"),(AE18))))</formula>
    </cfRule>
    <cfRule type="containsText" priority="3115" operator="containsText" dxfId="7" text="NEPHRO">
      <formula>NOT(ISERROR(SEARCH(("NEPHRO"),(AE18))))</formula>
    </cfRule>
    <cfRule type="containsText" priority="3116" operator="containsText" dxfId="7" text="PULM">
      <formula>NOT(ISERROR(SEARCH(("PULM"),(AE18))))</formula>
    </cfRule>
    <cfRule type="containsText" priority="3117" operator="containsText" dxfId="7" text="RADIOLOGY">
      <formula>NOT(ISERROR(SEARCH(("RADIOLOGY"),(AE18))))</formula>
    </cfRule>
    <cfRule type="containsText" priority="3118" operator="containsText" dxfId="7" text="HEM/ONC">
      <formula>NOT(ISERROR(SEARCH(("HEM/ONC"),(AE18))))</formula>
    </cfRule>
    <cfRule type="containsText" priority="3119" operator="containsText" dxfId="7" text="CARDIO">
      <formula>NOT(ISERROR(SEARCH(("CARDIO"),(AE18))))</formula>
    </cfRule>
    <cfRule type="containsText" priority="3120" operator="containsText" dxfId="7" text="ID">
      <formula>NOT(ISERROR(SEARCH(("ID"),(AE18))))</formula>
    </cfRule>
    <cfRule type="containsText" priority="3121" operator="containsText" dxfId="7" text="NEURO">
      <formula>NOT(ISERROR(SEARCH(("NEURO"),(AE18))))</formula>
    </cfRule>
    <cfRule type="containsText" priority="3122" operator="containsText" dxfId="6" text="NEURO">
      <formula>NOT(ISERROR(SEARCH(("NEURO"),(AE18))))</formula>
    </cfRule>
    <cfRule type="containsText" priority="3123" operator="containsText" dxfId="5" text="NEURO">
      <formula>NOT(ISERROR(SEARCH(("NEURO"),(AE18))))</formula>
    </cfRule>
    <cfRule type="containsText" priority="3124" operator="containsText" dxfId="0" text="ICU N">
      <formula>NOT(ISERROR(SEARCH(("ICU N"),(AE18))))</formula>
    </cfRule>
    <cfRule type="containsText" priority="3125" operator="containsText" dxfId="3" text="ICU">
      <formula>NOT(ISERROR(SEARCH(("ICU"),(AE18))))</formula>
    </cfRule>
    <cfRule type="containsText" priority="3126" operator="containsText" dxfId="0" text="SWING">
      <formula>NOT(ISERROR(SEARCH(("SWING"),(AE18))))</formula>
    </cfRule>
    <cfRule type="containsText" priority="3127" operator="containsText" dxfId="0" text="NF">
      <formula>NOT(ISERROR(SEARCH(("NF"),(AE18))))</formula>
    </cfRule>
    <cfRule type="containsText" priority="3128" operator="containsText" dxfId="0" text="ICU N">
      <formula>NOT(ISERROR(SEARCH(("ICU N"),(AE18))))</formula>
    </cfRule>
  </conditionalFormatting>
  <conditionalFormatting sqref="P46:Q46">
    <cfRule type="containsText" priority="3094" operator="containsText" dxfId="17" text="VACATION">
      <formula>NOT(ISERROR(SEARCH(("VACATION"),(P46))))</formula>
    </cfRule>
    <cfRule type="containsText" priority="3095" operator="containsText" dxfId="0" text="ICU N">
      <formula>NOT(ISERROR(SEARCH(("ICU N"),(P46))))</formula>
    </cfRule>
    <cfRule type="containsText" priority="3096" operator="containsText" dxfId="7" text="PATH">
      <formula>NOT(ISERROR(SEARCH(("PATH"),(P46))))</formula>
    </cfRule>
    <cfRule type="containsText" priority="3097" operator="containsText" dxfId="7" text="NEPHRO">
      <formula>NOT(ISERROR(SEARCH(("NEPHRO"),(P46))))</formula>
    </cfRule>
    <cfRule type="containsText" priority="3098" operator="containsText" dxfId="7" text="PULM">
      <formula>NOT(ISERROR(SEARCH(("PULM"),(P46))))</formula>
    </cfRule>
    <cfRule type="containsText" priority="3099" operator="containsText" dxfId="7" text="RADIOLOGY">
      <formula>NOT(ISERROR(SEARCH(("RADIOLOGY"),(P46))))</formula>
    </cfRule>
    <cfRule type="containsText" priority="3100" operator="containsText" dxfId="7" text="HEM/ONC">
      <formula>NOT(ISERROR(SEARCH(("HEM/ONC"),(P46))))</formula>
    </cfRule>
    <cfRule type="containsText" priority="3101" operator="containsText" dxfId="7" text="CARDIO">
      <formula>NOT(ISERROR(SEARCH(("CARDIO"),(P46))))</formula>
    </cfRule>
    <cfRule type="containsText" priority="3102" operator="containsText" dxfId="7" text="ID">
      <formula>NOT(ISERROR(SEARCH(("ID"),(P46))))</formula>
    </cfRule>
    <cfRule type="containsText" priority="3103" operator="containsText" dxfId="7" text="NEURO">
      <formula>NOT(ISERROR(SEARCH(("NEURO"),(P46))))</formula>
    </cfRule>
    <cfRule type="containsText" priority="3104" operator="containsText" dxfId="6" text="NEURO">
      <formula>NOT(ISERROR(SEARCH(("NEURO"),(P46))))</formula>
    </cfRule>
    <cfRule type="containsText" priority="3105" operator="containsText" dxfId="5" text="NEURO">
      <formula>NOT(ISERROR(SEARCH(("NEURO"),(P46))))</formula>
    </cfRule>
    <cfRule type="containsText" priority="3106" operator="containsText" dxfId="0" text="ICU N">
      <formula>NOT(ISERROR(SEARCH(("ICU N"),(P46))))</formula>
    </cfRule>
    <cfRule type="containsText" priority="3107" operator="containsText" dxfId="3" text="ICU">
      <formula>NOT(ISERROR(SEARCH(("ICU"),(P46))))</formula>
    </cfRule>
    <cfRule type="containsText" priority="3108" operator="containsText" dxfId="0" text="SWING">
      <formula>NOT(ISERROR(SEARCH(("SWING"),(P46))))</formula>
    </cfRule>
    <cfRule type="containsText" priority="3109" operator="containsText" dxfId="0" text="NF">
      <formula>NOT(ISERROR(SEARCH(("NF"),(P46))))</formula>
    </cfRule>
    <cfRule type="containsText" priority="3110" operator="containsText" dxfId="0" text="ICU N">
      <formula>NOT(ISERROR(SEARCH(("ICU N"),(P46))))</formula>
    </cfRule>
    <cfRule type="containsText" priority="3079" operator="containsText" dxfId="7" text="PATH">
      <formula>NOT(ISERROR(SEARCH(("PATH"),(P46))))</formula>
    </cfRule>
    <cfRule type="containsText" priority="3080" operator="containsText" dxfId="7" text="NEPHRO">
      <formula>NOT(ISERROR(SEARCH(("NEPHRO"),(P46))))</formula>
    </cfRule>
    <cfRule type="containsText" priority="3081" operator="containsText" dxfId="7" text="PULM">
      <formula>NOT(ISERROR(SEARCH(("PULM"),(P46))))</formula>
    </cfRule>
    <cfRule type="containsText" priority="3082" operator="containsText" dxfId="7" text="RADIOLOGY">
      <formula>NOT(ISERROR(SEARCH(("RADIOLOGY"),(P46))))</formula>
    </cfRule>
    <cfRule type="containsText" priority="3083" operator="containsText" dxfId="7" text="HEM/ONC">
      <formula>NOT(ISERROR(SEARCH(("HEM/ONC"),(P46))))</formula>
    </cfRule>
    <cfRule type="containsText" priority="3084" operator="containsText" dxfId="7" text="CARDIO">
      <formula>NOT(ISERROR(SEARCH(("CARDIO"),(P46))))</formula>
    </cfRule>
    <cfRule type="containsText" priority="3085" operator="containsText" dxfId="7" text="ID">
      <formula>NOT(ISERROR(SEARCH(("ID"),(P46))))</formula>
    </cfRule>
    <cfRule type="containsText" priority="3086" operator="containsText" dxfId="7" text="NEURO">
      <formula>NOT(ISERROR(SEARCH(("NEURO"),(P46))))</formula>
    </cfRule>
    <cfRule type="containsText" priority="3087" operator="containsText" dxfId="6" text="NEURO">
      <formula>NOT(ISERROR(SEARCH(("NEURO"),(P46))))</formula>
    </cfRule>
    <cfRule type="containsText" priority="3088" operator="containsText" dxfId="5" text="NEURO">
      <formula>NOT(ISERROR(SEARCH(("NEURO"),(P46))))</formula>
    </cfRule>
    <cfRule type="containsText" priority="3089" operator="containsText" dxfId="0" text="ICU N">
      <formula>NOT(ISERROR(SEARCH(("ICU N"),(P46))))</formula>
    </cfRule>
    <cfRule type="containsText" priority="3090" operator="containsText" dxfId="3" text="ICU">
      <formula>NOT(ISERROR(SEARCH(("ICU"),(P46))))</formula>
    </cfRule>
    <cfRule type="containsText" priority="3091" operator="containsText" dxfId="0" text="SWING">
      <formula>NOT(ISERROR(SEARCH(("SWING"),(P46))))</formula>
    </cfRule>
    <cfRule type="containsText" priority="3092" operator="containsText" dxfId="0" text="NF">
      <formula>NOT(ISERROR(SEARCH(("NF"),(P46))))</formula>
    </cfRule>
    <cfRule type="containsText" priority="3093" operator="containsText" dxfId="0" text="ICU N">
      <formula>NOT(ISERROR(SEARCH(("ICU N"),(P46))))</formula>
    </cfRule>
    <cfRule type="containsText" priority="3064" operator="containsText" dxfId="7" text="PATH">
      <formula>NOT(ISERROR(SEARCH(("PATH"),(P46))))</formula>
    </cfRule>
    <cfRule type="containsText" priority="3065" operator="containsText" dxfId="7" text="NEPHRO">
      <formula>NOT(ISERROR(SEARCH(("NEPHRO"),(P46))))</formula>
    </cfRule>
    <cfRule type="containsText" priority="3066" operator="containsText" dxfId="7" text="PULM">
      <formula>NOT(ISERROR(SEARCH(("PULM"),(P46))))</formula>
    </cfRule>
    <cfRule type="containsText" priority="3067" operator="containsText" dxfId="7" text="RADIOLOGY">
      <formula>NOT(ISERROR(SEARCH(("RADIOLOGY"),(P46))))</formula>
    </cfRule>
    <cfRule type="containsText" priority="3068" operator="containsText" dxfId="7" text="HEM/ONC">
      <formula>NOT(ISERROR(SEARCH(("HEM/ONC"),(P46))))</formula>
    </cfRule>
    <cfRule type="containsText" priority="3069" operator="containsText" dxfId="7" text="CARDIO">
      <formula>NOT(ISERROR(SEARCH(("CARDIO"),(P46))))</formula>
    </cfRule>
    <cfRule type="containsText" priority="3070" operator="containsText" dxfId="7" text="ID">
      <formula>NOT(ISERROR(SEARCH(("ID"),(P46))))</formula>
    </cfRule>
    <cfRule type="containsText" priority="3071" operator="containsText" dxfId="7" text="NEURO">
      <formula>NOT(ISERROR(SEARCH(("NEURO"),(P46))))</formula>
    </cfRule>
    <cfRule type="containsText" priority="3072" operator="containsText" dxfId="6" text="NEURO">
      <formula>NOT(ISERROR(SEARCH(("NEURO"),(P46))))</formula>
    </cfRule>
    <cfRule type="containsText" priority="3073" operator="containsText" dxfId="5" text="NEURO">
      <formula>NOT(ISERROR(SEARCH(("NEURO"),(P46))))</formula>
    </cfRule>
    <cfRule type="containsText" priority="3074" operator="containsText" dxfId="0" text="ICU N">
      <formula>NOT(ISERROR(SEARCH(("ICU N"),(P46))))</formula>
    </cfRule>
    <cfRule type="containsText" priority="3075" operator="containsText" dxfId="3" text="ICU">
      <formula>NOT(ISERROR(SEARCH(("ICU"),(P46))))</formula>
    </cfRule>
    <cfRule type="containsText" priority="3076" operator="containsText" dxfId="0" text="SWING">
      <formula>NOT(ISERROR(SEARCH(("SWING"),(P46))))</formula>
    </cfRule>
    <cfRule type="containsText" priority="3077" operator="containsText" dxfId="0" text="NF">
      <formula>NOT(ISERROR(SEARCH(("NF"),(P46))))</formula>
    </cfRule>
    <cfRule type="containsText" priority="3078" operator="containsText" dxfId="0" text="ICU N">
      <formula>NOT(ISERROR(SEARCH(("ICU N"),(P46))))</formula>
    </cfRule>
  </conditionalFormatting>
  <conditionalFormatting sqref="I9">
    <cfRule type="containsText" priority="3028" operator="containsText" dxfId="16" text="ED">
      <formula>NOT(ISERROR(SEARCH(("ED"),(I9))))</formula>
    </cfRule>
    <cfRule type="containsText" priority="3029" operator="containsText" dxfId="15" text="GERIATRIC">
      <formula>NOT(ISERROR(SEARCH(("GERIATRIC"),(I9))))</formula>
    </cfRule>
    <cfRule type="containsText" priority="3030" operator="containsText" dxfId="17" text="VACATION">
      <formula>NOT(ISERROR(SEARCH(("VACATION"),(I9))))</formula>
    </cfRule>
    <cfRule type="containsText" priority="3031" operator="containsText" dxfId="7" text="PATH">
      <formula>NOT(ISERROR(SEARCH(("PATH"),(I9))))</formula>
    </cfRule>
    <cfRule type="containsText" priority="3032" operator="containsText" dxfId="7" text="NEPHRO">
      <formula>NOT(ISERROR(SEARCH(("NEPHRO"),(I9))))</formula>
    </cfRule>
    <cfRule type="containsText" priority="3033" operator="containsText" dxfId="7" text="PULM">
      <formula>NOT(ISERROR(SEARCH(("PULM"),(I9))))</formula>
    </cfRule>
    <cfRule type="containsText" priority="3034" operator="containsText" dxfId="7" text="RADIOLOGY">
      <formula>NOT(ISERROR(SEARCH(("RADIOLOGY"),(I9))))</formula>
    </cfRule>
    <cfRule type="containsText" priority="3035" operator="containsText" dxfId="7" text="HEM/ONC">
      <formula>NOT(ISERROR(SEARCH(("HEM/ONC"),(I9))))</formula>
    </cfRule>
    <cfRule type="containsText" priority="3036" operator="containsText" dxfId="7" text="CARDIO">
      <formula>NOT(ISERROR(SEARCH(("CARDIO"),(I9))))</formula>
    </cfRule>
    <cfRule type="containsText" priority="3037" operator="containsText" dxfId="7" text="ID">
      <formula>NOT(ISERROR(SEARCH(("ID"),(I9))))</formula>
    </cfRule>
    <cfRule type="containsText" priority="3038" operator="containsText" dxfId="7" text="NEURO">
      <formula>NOT(ISERROR(SEARCH(("NEURO"),(I9))))</formula>
    </cfRule>
    <cfRule type="containsText" priority="3039" operator="containsText" dxfId="6" text="NEURO">
      <formula>NOT(ISERROR(SEARCH(("NEURO"),(I9))))</formula>
    </cfRule>
    <cfRule type="containsText" priority="3040" operator="containsText" dxfId="5" text="NEURO">
      <formula>NOT(ISERROR(SEARCH(("NEURO"),(I9))))</formula>
    </cfRule>
    <cfRule type="containsText" priority="3041" operator="containsText" dxfId="0" text="ICU N">
      <formula>NOT(ISERROR(SEARCH(("ICU N"),(I9))))</formula>
    </cfRule>
    <cfRule type="containsText" priority="3042" operator="containsText" dxfId="3" text="ICU">
      <formula>NOT(ISERROR(SEARCH(("ICU"),(I9))))</formula>
    </cfRule>
    <cfRule type="containsText" priority="3043" operator="containsText" dxfId="0" text="SWING">
      <formula>NOT(ISERROR(SEARCH(("SWING"),(I9))))</formula>
    </cfRule>
    <cfRule type="containsText" priority="3044" operator="containsText" dxfId="0" text="NF">
      <formula>NOT(ISERROR(SEARCH(("NF"),(I9))))</formula>
    </cfRule>
    <cfRule type="containsText" priority="3045" operator="containsText" dxfId="0" text="ICU N">
      <formula>NOT(ISERROR(SEARCH(("ICU N"),(I9))))</formula>
    </cfRule>
    <cfRule type="containsText" priority="3010" operator="containsText" dxfId="16" text="ED">
      <formula>NOT(ISERROR(SEARCH(("ED"),(I9))))</formula>
    </cfRule>
    <cfRule type="containsText" priority="3011" operator="containsText" dxfId="15" text="GERIATRIC">
      <formula>NOT(ISERROR(SEARCH(("GERIATRIC"),(I9))))</formula>
    </cfRule>
    <cfRule type="containsText" priority="3012" operator="containsText" dxfId="17" text="VACATION">
      <formula>NOT(ISERROR(SEARCH(("VACATION"),(I9))))</formula>
    </cfRule>
    <cfRule type="containsText" priority="3013" operator="containsText" dxfId="7" text="PATH">
      <formula>NOT(ISERROR(SEARCH(("PATH"),(I9))))</formula>
    </cfRule>
    <cfRule type="containsText" priority="3014" operator="containsText" dxfId="7" text="NEPHRO">
      <formula>NOT(ISERROR(SEARCH(("NEPHRO"),(I9))))</formula>
    </cfRule>
    <cfRule type="containsText" priority="3015" operator="containsText" dxfId="7" text="PULM">
      <formula>NOT(ISERROR(SEARCH(("PULM"),(I9))))</formula>
    </cfRule>
    <cfRule type="containsText" priority="3016" operator="containsText" dxfId="7" text="RADIOLOGY">
      <formula>NOT(ISERROR(SEARCH(("RADIOLOGY"),(I9))))</formula>
    </cfRule>
    <cfRule type="containsText" priority="3017" operator="containsText" dxfId="7" text="HEM/ONC">
      <formula>NOT(ISERROR(SEARCH(("HEM/ONC"),(I9))))</formula>
    </cfRule>
    <cfRule type="containsText" priority="3018" operator="containsText" dxfId="7" text="CARDIO">
      <formula>NOT(ISERROR(SEARCH(("CARDIO"),(I9))))</formula>
    </cfRule>
    <cfRule type="containsText" priority="3019" operator="containsText" dxfId="7" text="ID">
      <formula>NOT(ISERROR(SEARCH(("ID"),(I9))))</formula>
    </cfRule>
    <cfRule type="containsText" priority="3020" operator="containsText" dxfId="7" text="NEURO">
      <formula>NOT(ISERROR(SEARCH(("NEURO"),(I9))))</formula>
    </cfRule>
    <cfRule type="containsText" priority="3021" operator="containsText" dxfId="6" text="NEURO">
      <formula>NOT(ISERROR(SEARCH(("NEURO"),(I9))))</formula>
    </cfRule>
    <cfRule type="containsText" priority="3022" operator="containsText" dxfId="5" text="NEURO">
      <formula>NOT(ISERROR(SEARCH(("NEURO"),(I9))))</formula>
    </cfRule>
    <cfRule type="containsText" priority="3023" operator="containsText" dxfId="0" text="ICU N">
      <formula>NOT(ISERROR(SEARCH(("ICU N"),(I9))))</formula>
    </cfRule>
    <cfRule type="containsText" priority="3024" operator="containsText" dxfId="3" text="ICU">
      <formula>NOT(ISERROR(SEARCH(("ICU"),(I9))))</formula>
    </cfRule>
    <cfRule type="containsText" priority="3025" operator="containsText" dxfId="0" text="SWING">
      <formula>NOT(ISERROR(SEARCH(("SWING"),(I9))))</formula>
    </cfRule>
    <cfRule type="containsText" priority="3026" operator="containsText" dxfId="0" text="NF">
      <formula>NOT(ISERROR(SEARCH(("NF"),(I9))))</formula>
    </cfRule>
    <cfRule type="containsText" priority="3027" operator="containsText" dxfId="0" text="ICU N">
      <formula>NOT(ISERROR(SEARCH(("ICU N"),(I9))))</formula>
    </cfRule>
  </conditionalFormatting>
  <conditionalFormatting sqref="AT46">
    <cfRule type="containsText" priority="2995" operator="containsText" dxfId="7" text="PATH">
      <formula>NOT(ISERROR(SEARCH(("PATH"),(AT46))))</formula>
    </cfRule>
    <cfRule type="containsText" priority="2996" operator="containsText" dxfId="7" text="NEPHRO">
      <formula>NOT(ISERROR(SEARCH(("NEPHRO"),(AT46))))</formula>
    </cfRule>
    <cfRule type="containsText" priority="2997" operator="containsText" dxfId="7" text="PULM">
      <formula>NOT(ISERROR(SEARCH(("PULM"),(AT46))))</formula>
    </cfRule>
    <cfRule type="containsText" priority="2998" operator="containsText" dxfId="7" text="RADIOLOGY">
      <formula>NOT(ISERROR(SEARCH(("RADIOLOGY"),(AT46))))</formula>
    </cfRule>
    <cfRule type="containsText" priority="2999" operator="containsText" dxfId="7" text="HEM/ONC">
      <formula>NOT(ISERROR(SEARCH(("HEM/ONC"),(AT46))))</formula>
    </cfRule>
    <cfRule type="containsText" priority="3000" operator="containsText" dxfId="7" text="CARDIO">
      <formula>NOT(ISERROR(SEARCH(("CARDIO"),(AT46))))</formula>
    </cfRule>
    <cfRule type="containsText" priority="3001" operator="containsText" dxfId="7" text="ID">
      <formula>NOT(ISERROR(SEARCH(("ID"),(AT46))))</formula>
    </cfRule>
    <cfRule type="containsText" priority="3002" operator="containsText" dxfId="7" text="NEURO">
      <formula>NOT(ISERROR(SEARCH(("NEURO"),(AT46))))</formula>
    </cfRule>
    <cfRule type="containsText" priority="3003" operator="containsText" dxfId="6" text="NEURO">
      <formula>NOT(ISERROR(SEARCH(("NEURO"),(AT46))))</formula>
    </cfRule>
    <cfRule type="containsText" priority="3004" operator="containsText" dxfId="5" text="NEURO">
      <formula>NOT(ISERROR(SEARCH(("NEURO"),(AT46))))</formula>
    </cfRule>
    <cfRule type="containsText" priority="3005" operator="containsText" dxfId="0" text="ICU N">
      <formula>NOT(ISERROR(SEARCH(("ICU N"),(AT46))))</formula>
    </cfRule>
    <cfRule type="containsText" priority="3006" operator="containsText" dxfId="3" text="ICU">
      <formula>NOT(ISERROR(SEARCH(("ICU"),(AT46))))</formula>
    </cfRule>
    <cfRule type="containsText" priority="3007" operator="containsText" dxfId="0" text="SWING">
      <formula>NOT(ISERROR(SEARCH(("SWING"),(AT46))))</formula>
    </cfRule>
    <cfRule type="containsText" priority="3008" operator="containsText" dxfId="0" text="NF">
      <formula>NOT(ISERROR(SEARCH(("NF"),(AT46))))</formula>
    </cfRule>
    <cfRule type="containsText" priority="3009" operator="containsText" dxfId="0" text="ICU N">
      <formula>NOT(ISERROR(SEARCH(("ICU N"),(AT46))))</formula>
    </cfRule>
    <cfRule type="containsText" priority="2994" operator="containsText" dxfId="0" text="ICU N">
      <formula>NOT(ISERROR(SEARCH(("ICU N"),(AT46))))</formula>
    </cfRule>
    <cfRule type="containsText" priority="2979" operator="containsText" dxfId="7" text="PATH">
      <formula>NOT(ISERROR(SEARCH(("PATH"),(AT46))))</formula>
    </cfRule>
    <cfRule type="containsText" priority="2980" operator="containsText" dxfId="7" text="NEPHRO">
      <formula>NOT(ISERROR(SEARCH(("NEPHRO"),(AT46))))</formula>
    </cfRule>
    <cfRule type="containsText" priority="2981" operator="containsText" dxfId="7" text="PULM">
      <formula>NOT(ISERROR(SEARCH(("PULM"),(AT46))))</formula>
    </cfRule>
    <cfRule type="containsText" priority="2982" operator="containsText" dxfId="7" text="RADIOLOGY">
      <formula>NOT(ISERROR(SEARCH(("RADIOLOGY"),(AT46))))</formula>
    </cfRule>
    <cfRule type="containsText" priority="2983" operator="containsText" dxfId="7" text="HEM/ONC">
      <formula>NOT(ISERROR(SEARCH(("HEM/ONC"),(AT46))))</formula>
    </cfRule>
    <cfRule type="containsText" priority="2984" operator="containsText" dxfId="7" text="CARDIO">
      <formula>NOT(ISERROR(SEARCH(("CARDIO"),(AT46))))</formula>
    </cfRule>
    <cfRule type="containsText" priority="2985" operator="containsText" dxfId="7" text="ID">
      <formula>NOT(ISERROR(SEARCH(("ID"),(AT46))))</formula>
    </cfRule>
    <cfRule type="containsText" priority="2986" operator="containsText" dxfId="7" text="NEURO">
      <formula>NOT(ISERROR(SEARCH(("NEURO"),(AT46))))</formula>
    </cfRule>
    <cfRule type="containsText" priority="2987" operator="containsText" dxfId="6" text="NEURO">
      <formula>NOT(ISERROR(SEARCH(("NEURO"),(AT46))))</formula>
    </cfRule>
    <cfRule type="containsText" priority="2988" operator="containsText" dxfId="5" text="NEURO">
      <formula>NOT(ISERROR(SEARCH(("NEURO"),(AT46))))</formula>
    </cfRule>
    <cfRule type="containsText" priority="2989" operator="containsText" dxfId="0" text="ICU N">
      <formula>NOT(ISERROR(SEARCH(("ICU N"),(AT46))))</formula>
    </cfRule>
    <cfRule type="containsText" priority="2990" operator="containsText" dxfId="3" text="ICU">
      <formula>NOT(ISERROR(SEARCH(("ICU"),(AT46))))</formula>
    </cfRule>
    <cfRule type="containsText" priority="2991" operator="containsText" dxfId="0" text="SWING">
      <formula>NOT(ISERROR(SEARCH(("SWING"),(AT46))))</formula>
    </cfRule>
    <cfRule type="containsText" priority="2992" operator="containsText" dxfId="0" text="NF">
      <formula>NOT(ISERROR(SEARCH(("NF"),(AT46))))</formula>
    </cfRule>
    <cfRule type="containsText" priority="2993" operator="containsText" dxfId="0" text="ICU N">
      <formula>NOT(ISERROR(SEARCH(("ICU N"),(AT46))))</formula>
    </cfRule>
    <cfRule type="containsText" priority="2965" operator="containsText" dxfId="7" text="PATH">
      <formula>NOT(ISERROR(SEARCH(("PATH"),(AT46))))</formula>
    </cfRule>
    <cfRule type="containsText" priority="2966" operator="containsText" dxfId="7" text="NEPHRO">
      <formula>NOT(ISERROR(SEARCH(("NEPHRO"),(AT46))))</formula>
    </cfRule>
    <cfRule type="containsText" priority="2967" operator="containsText" dxfId="7" text="PULM">
      <formula>NOT(ISERROR(SEARCH(("PULM"),(AT46))))</formula>
    </cfRule>
    <cfRule type="containsText" priority="2968" operator="containsText" dxfId="7" text="RADIOLOGY">
      <formula>NOT(ISERROR(SEARCH(("RADIOLOGY"),(AT46))))</formula>
    </cfRule>
    <cfRule type="containsText" priority="2969" operator="containsText" dxfId="7" text="HEM/ONC">
      <formula>NOT(ISERROR(SEARCH(("HEM/ONC"),(AT46))))</formula>
    </cfRule>
    <cfRule type="containsText" priority="2970" operator="containsText" dxfId="7" text="CARDIO">
      <formula>NOT(ISERROR(SEARCH(("CARDIO"),(AT46))))</formula>
    </cfRule>
    <cfRule type="containsText" priority="2971" operator="containsText" dxfId="7" text="ID">
      <formula>NOT(ISERROR(SEARCH(("ID"),(AT46))))</formula>
    </cfRule>
    <cfRule type="containsText" priority="2972" operator="containsText" dxfId="7" text="NEURO">
      <formula>NOT(ISERROR(SEARCH(("NEURO"),(AT46))))</formula>
    </cfRule>
    <cfRule type="containsText" priority="2973" operator="containsText" dxfId="6" text="NEURO">
      <formula>NOT(ISERROR(SEARCH(("NEURO"),(AT46))))</formula>
    </cfRule>
    <cfRule type="containsText" priority="2974" operator="containsText" dxfId="5" text="NEURO">
      <formula>NOT(ISERROR(SEARCH(("NEURO"),(AT46))))</formula>
    </cfRule>
    <cfRule type="containsText" priority="2975" operator="containsText" dxfId="0" text="ICU N">
      <formula>NOT(ISERROR(SEARCH(("ICU N"),(AT46))))</formula>
    </cfRule>
    <cfRule type="containsText" priority="2976" operator="containsText" dxfId="3" text="ICU">
      <formula>NOT(ISERROR(SEARCH(("ICU"),(AT46))))</formula>
    </cfRule>
    <cfRule type="containsText" priority="2977" operator="containsText" dxfId="0" text="SWING">
      <formula>NOT(ISERROR(SEARCH(("SWING"),(AT46))))</formula>
    </cfRule>
    <cfRule type="containsText" priority="2978" operator="containsText" dxfId="0" text="NF">
      <formula>NOT(ISERROR(SEARCH(("NF"),(AT46))))</formula>
    </cfRule>
  </conditionalFormatting>
  <conditionalFormatting sqref="AY27">
    <cfRule type="containsText" priority="2950" operator="containsText" dxfId="7" text="PATH">
      <formula>NOT(ISERROR(SEARCH(("PATH"),(AY27))))</formula>
    </cfRule>
    <cfRule type="containsText" priority="2951" operator="containsText" dxfId="7" text="NEPHRO">
      <formula>NOT(ISERROR(SEARCH(("NEPHRO"),(AY27))))</formula>
    </cfRule>
    <cfRule type="containsText" priority="2952" operator="containsText" dxfId="7" text="PULM">
      <formula>NOT(ISERROR(SEARCH(("PULM"),(AY27))))</formula>
    </cfRule>
    <cfRule type="containsText" priority="2953" operator="containsText" dxfId="7" text="RADIOLOGY">
      <formula>NOT(ISERROR(SEARCH(("RADIOLOGY"),(AY27))))</formula>
    </cfRule>
    <cfRule type="containsText" priority="2954" operator="containsText" dxfId="7" text="HEM/ONC">
      <formula>NOT(ISERROR(SEARCH(("HEM/ONC"),(AY27))))</formula>
    </cfRule>
    <cfRule type="containsText" priority="2955" operator="containsText" dxfId="7" text="CARDIO">
      <formula>NOT(ISERROR(SEARCH(("CARDIO"),(AY27))))</formula>
    </cfRule>
    <cfRule type="containsText" priority="2956" operator="containsText" dxfId="7" text="ID">
      <formula>NOT(ISERROR(SEARCH(("ID"),(AY27))))</formula>
    </cfRule>
    <cfRule type="containsText" priority="2957" operator="containsText" dxfId="7" text="NEURO">
      <formula>NOT(ISERROR(SEARCH(("NEURO"),(AY27))))</formula>
    </cfRule>
    <cfRule type="containsText" priority="2958" operator="containsText" dxfId="6" text="NEURO">
      <formula>NOT(ISERROR(SEARCH(("NEURO"),(AY27))))</formula>
    </cfRule>
    <cfRule type="containsText" priority="2959" operator="containsText" dxfId="5" text="NEURO">
      <formula>NOT(ISERROR(SEARCH(("NEURO"),(AY27))))</formula>
    </cfRule>
    <cfRule type="containsText" priority="2960" operator="containsText" dxfId="0" text="ICU N">
      <formula>NOT(ISERROR(SEARCH(("ICU N"),(AY27))))</formula>
    </cfRule>
    <cfRule type="containsText" priority="2961" operator="containsText" dxfId="3" text="ICU">
      <formula>NOT(ISERROR(SEARCH(("ICU"),(AY27))))</formula>
    </cfRule>
    <cfRule type="containsText" priority="2962" operator="containsText" dxfId="0" text="SWING">
      <formula>NOT(ISERROR(SEARCH(("SWING"),(AY27))))</formula>
    </cfRule>
    <cfRule type="containsText" priority="2963" operator="containsText" dxfId="0" text="NF">
      <formula>NOT(ISERROR(SEARCH(("NF"),(AY27))))</formula>
    </cfRule>
    <cfRule type="containsText" priority="2964" operator="containsText" dxfId="0" text="ICU N">
      <formula>NOT(ISERROR(SEARCH(("ICU N"),(AY27))))</formula>
    </cfRule>
    <cfRule type="containsText" priority="2949" operator="containsText" dxfId="0" text="ICU N">
      <formula>NOT(ISERROR(SEARCH(("ICU N"),(AY27))))</formula>
    </cfRule>
    <cfRule type="containsText" priority="2934" operator="containsText" dxfId="7" text="PATH">
      <formula>NOT(ISERROR(SEARCH(("PATH"),(AY27))))</formula>
    </cfRule>
    <cfRule type="containsText" priority="2935" operator="containsText" dxfId="7" text="NEPHRO">
      <formula>NOT(ISERROR(SEARCH(("NEPHRO"),(AY27))))</formula>
    </cfRule>
    <cfRule type="containsText" priority="2936" operator="containsText" dxfId="7" text="PULM">
      <formula>NOT(ISERROR(SEARCH(("PULM"),(AY27))))</formula>
    </cfRule>
    <cfRule type="containsText" priority="2937" operator="containsText" dxfId="7" text="RADIOLOGY">
      <formula>NOT(ISERROR(SEARCH(("RADIOLOGY"),(AY27))))</formula>
    </cfRule>
    <cfRule type="containsText" priority="2938" operator="containsText" dxfId="7" text="HEM/ONC">
      <formula>NOT(ISERROR(SEARCH(("HEM/ONC"),(AY27))))</formula>
    </cfRule>
    <cfRule type="containsText" priority="2939" operator="containsText" dxfId="7" text="CARDIO">
      <formula>NOT(ISERROR(SEARCH(("CARDIO"),(AY27))))</formula>
    </cfRule>
    <cfRule type="containsText" priority="2940" operator="containsText" dxfId="7" text="ID">
      <formula>NOT(ISERROR(SEARCH(("ID"),(AY27))))</formula>
    </cfRule>
    <cfRule type="containsText" priority="2941" operator="containsText" dxfId="7" text="NEURO">
      <formula>NOT(ISERROR(SEARCH(("NEURO"),(AY27))))</formula>
    </cfRule>
    <cfRule type="containsText" priority="2942" operator="containsText" dxfId="6" text="NEURO">
      <formula>NOT(ISERROR(SEARCH(("NEURO"),(AY27))))</formula>
    </cfRule>
    <cfRule type="containsText" priority="2943" operator="containsText" dxfId="5" text="NEURO">
      <formula>NOT(ISERROR(SEARCH(("NEURO"),(AY27))))</formula>
    </cfRule>
    <cfRule type="containsText" priority="2944" operator="containsText" dxfId="0" text="ICU N">
      <formula>NOT(ISERROR(SEARCH(("ICU N"),(AY27))))</formula>
    </cfRule>
    <cfRule type="containsText" priority="2945" operator="containsText" dxfId="3" text="ICU">
      <formula>NOT(ISERROR(SEARCH(("ICU"),(AY27))))</formula>
    </cfRule>
    <cfRule type="containsText" priority="2946" operator="containsText" dxfId="0" text="SWING">
      <formula>NOT(ISERROR(SEARCH(("SWING"),(AY27))))</formula>
    </cfRule>
    <cfRule type="containsText" priority="2947" operator="containsText" dxfId="0" text="NF">
      <formula>NOT(ISERROR(SEARCH(("NF"),(AY27))))</formula>
    </cfRule>
    <cfRule type="containsText" priority="2948" operator="containsText" dxfId="0" text="ICU N">
      <formula>NOT(ISERROR(SEARCH(("ICU N"),(AY27))))</formula>
    </cfRule>
    <cfRule type="containsText" priority="2920" operator="containsText" dxfId="7" text="PATH">
      <formula>NOT(ISERROR(SEARCH(("PATH"),(AY27))))</formula>
    </cfRule>
    <cfRule type="containsText" priority="2921" operator="containsText" dxfId="7" text="NEPHRO">
      <formula>NOT(ISERROR(SEARCH(("NEPHRO"),(AY27))))</formula>
    </cfRule>
    <cfRule type="containsText" priority="2922" operator="containsText" dxfId="7" text="PULM">
      <formula>NOT(ISERROR(SEARCH(("PULM"),(AY27))))</formula>
    </cfRule>
    <cfRule type="containsText" priority="2923" operator="containsText" dxfId="7" text="RADIOLOGY">
      <formula>NOT(ISERROR(SEARCH(("RADIOLOGY"),(AY27))))</formula>
    </cfRule>
    <cfRule type="containsText" priority="2924" operator="containsText" dxfId="7" text="HEM/ONC">
      <formula>NOT(ISERROR(SEARCH(("HEM/ONC"),(AY27))))</formula>
    </cfRule>
    <cfRule type="containsText" priority="2925" operator="containsText" dxfId="7" text="CARDIO">
      <formula>NOT(ISERROR(SEARCH(("CARDIO"),(AY27))))</formula>
    </cfRule>
    <cfRule type="containsText" priority="2926" operator="containsText" dxfId="7" text="ID">
      <formula>NOT(ISERROR(SEARCH(("ID"),(AY27))))</formula>
    </cfRule>
    <cfRule type="containsText" priority="2927" operator="containsText" dxfId="7" text="NEURO">
      <formula>NOT(ISERROR(SEARCH(("NEURO"),(AY27))))</formula>
    </cfRule>
    <cfRule type="containsText" priority="2928" operator="containsText" dxfId="6" text="NEURO">
      <formula>NOT(ISERROR(SEARCH(("NEURO"),(AY27))))</formula>
    </cfRule>
    <cfRule type="containsText" priority="2929" operator="containsText" dxfId="5" text="NEURO">
      <formula>NOT(ISERROR(SEARCH(("NEURO"),(AY27))))</formula>
    </cfRule>
    <cfRule type="containsText" priority="2930" operator="containsText" dxfId="0" text="ICU N">
      <formula>NOT(ISERROR(SEARCH(("ICU N"),(AY27))))</formula>
    </cfRule>
    <cfRule type="containsText" priority="2931" operator="containsText" dxfId="3" text="ICU">
      <formula>NOT(ISERROR(SEARCH(("ICU"),(AY27))))</formula>
    </cfRule>
    <cfRule type="containsText" priority="2932" operator="containsText" dxfId="0" text="SWING">
      <formula>NOT(ISERROR(SEARCH(("SWING"),(AY27))))</formula>
    </cfRule>
    <cfRule type="containsText" priority="2933" operator="containsText" dxfId="0" text="NF">
      <formula>NOT(ISERROR(SEARCH(("NF"),(AY27))))</formula>
    </cfRule>
  </conditionalFormatting>
  <conditionalFormatting sqref="E10">
    <cfRule type="containsText" priority="2902" operator="containsText" dxfId="16" text="ED">
      <formula>NOT(ISERROR(SEARCH(("ED"),(E10))))</formula>
    </cfRule>
    <cfRule type="containsText" priority="2903" operator="containsText" dxfId="15" text="GERIATRIC">
      <formula>NOT(ISERROR(SEARCH(("GERIATRIC"),(E10))))</formula>
    </cfRule>
    <cfRule type="containsText" priority="2904" operator="containsText" dxfId="17" text="VACATION">
      <formula>NOT(ISERROR(SEARCH(("VACATION"),(E10))))</formula>
    </cfRule>
    <cfRule type="containsText" priority="2905" operator="containsText" dxfId="7" text="PATH">
      <formula>NOT(ISERROR(SEARCH(("PATH"),(E10))))</formula>
    </cfRule>
    <cfRule type="containsText" priority="2906" operator="containsText" dxfId="7" text="NEPHRO">
      <formula>NOT(ISERROR(SEARCH(("NEPHRO"),(E10))))</formula>
    </cfRule>
    <cfRule type="containsText" priority="2907" operator="containsText" dxfId="7" text="PULM">
      <formula>NOT(ISERROR(SEARCH(("PULM"),(E10))))</formula>
    </cfRule>
    <cfRule type="containsText" priority="2908" operator="containsText" dxfId="7" text="RADIOLOGY">
      <formula>NOT(ISERROR(SEARCH(("RADIOLOGY"),(E10))))</formula>
    </cfRule>
    <cfRule type="containsText" priority="2909" operator="containsText" dxfId="7" text="HEM/ONC">
      <formula>NOT(ISERROR(SEARCH(("HEM/ONC"),(E10))))</formula>
    </cfRule>
    <cfRule type="containsText" priority="2910" operator="containsText" dxfId="7" text="CARDIO">
      <formula>NOT(ISERROR(SEARCH(("CARDIO"),(E10))))</formula>
    </cfRule>
    <cfRule type="containsText" priority="2911" operator="containsText" dxfId="7" text="ID">
      <formula>NOT(ISERROR(SEARCH(("ID"),(E10))))</formula>
    </cfRule>
    <cfRule type="containsText" priority="2912" operator="containsText" dxfId="7" text="NEURO">
      <formula>NOT(ISERROR(SEARCH(("NEURO"),(E10))))</formula>
    </cfRule>
    <cfRule type="containsText" priority="2913" operator="containsText" dxfId="6" text="NEURO">
      <formula>NOT(ISERROR(SEARCH(("NEURO"),(E10))))</formula>
    </cfRule>
    <cfRule type="containsText" priority="2914" operator="containsText" dxfId="5" text="NEURO">
      <formula>NOT(ISERROR(SEARCH(("NEURO"),(E10))))</formula>
    </cfRule>
    <cfRule type="containsText" priority="2915" operator="containsText" dxfId="0" text="ICU N">
      <formula>NOT(ISERROR(SEARCH(("ICU N"),(E10))))</formula>
    </cfRule>
    <cfRule type="containsText" priority="2916" operator="containsText" dxfId="3" text="ICU">
      <formula>NOT(ISERROR(SEARCH(("ICU"),(E10))))</formula>
    </cfRule>
    <cfRule type="containsText" priority="2917" operator="containsText" dxfId="0" text="SWING">
      <formula>NOT(ISERROR(SEARCH(("SWING"),(E10))))</formula>
    </cfRule>
    <cfRule type="containsText" priority="2918" operator="containsText" dxfId="0" text="NF">
      <formula>NOT(ISERROR(SEARCH(("NF"),(E10))))</formula>
    </cfRule>
    <cfRule type="containsText" priority="2919" operator="containsText" dxfId="0" text="ICU N">
      <formula>NOT(ISERROR(SEARCH(("ICU N"),(E10))))</formula>
    </cfRule>
  </conditionalFormatting>
  <conditionalFormatting sqref="E8">
    <cfRule type="containsText" priority="2885" operator="containsText" dxfId="17" text="VACATION">
      <formula>NOT(ISERROR(SEARCH(("VACATION"),(E8))))</formula>
    </cfRule>
    <cfRule type="containsText" priority="2886" operator="containsText" dxfId="16" text="ED">
      <formula>NOT(ISERROR(SEARCH(("ED"),(E8))))</formula>
    </cfRule>
    <cfRule type="containsText" priority="2887" operator="containsText" dxfId="15" text="GERIATRIC">
      <formula>NOT(ISERROR(SEARCH(("GERIATRIC"),(E8))))</formula>
    </cfRule>
    <cfRule type="containsText" priority="2888" operator="containsText" dxfId="7" text="PATH">
      <formula>NOT(ISERROR(SEARCH(("PATH"),(E8))))</formula>
    </cfRule>
    <cfRule type="containsText" priority="2889" operator="containsText" dxfId="7" text="NEPHRO">
      <formula>NOT(ISERROR(SEARCH(("NEPHRO"),(E8))))</formula>
    </cfRule>
    <cfRule type="containsText" priority="2890" operator="containsText" dxfId="7" text="PULM">
      <formula>NOT(ISERROR(SEARCH(("PULM"),(E8))))</formula>
    </cfRule>
    <cfRule type="containsText" priority="2891" operator="containsText" dxfId="7" text="RADIOLOGY">
      <formula>NOT(ISERROR(SEARCH(("RADIOLOGY"),(E8))))</formula>
    </cfRule>
    <cfRule type="containsText" priority="2892" operator="containsText" dxfId="7" text="HEM/ONC">
      <formula>NOT(ISERROR(SEARCH(("HEM/ONC"),(E8))))</formula>
    </cfRule>
    <cfRule type="containsText" priority="2893" operator="containsText" dxfId="7" text="CARDIO">
      <formula>NOT(ISERROR(SEARCH(("CARDIO"),(E8))))</formula>
    </cfRule>
    <cfRule type="containsText" priority="2894" operator="containsText" dxfId="7" text="ID">
      <formula>NOT(ISERROR(SEARCH(("ID"),(E8))))</formula>
    </cfRule>
    <cfRule type="containsText" priority="2895" operator="containsText" dxfId="7" text="NEURO">
      <formula>NOT(ISERROR(SEARCH(("NEURO"),(E8))))</formula>
    </cfRule>
    <cfRule type="containsText" priority="2896" operator="containsText" dxfId="6" text="NEURO">
      <formula>NOT(ISERROR(SEARCH(("NEURO"),(E8))))</formula>
    </cfRule>
    <cfRule type="containsText" priority="2897" operator="containsText" dxfId="5" text="NEURO">
      <formula>NOT(ISERROR(SEARCH(("NEURO"),(E8))))</formula>
    </cfRule>
    <cfRule type="containsText" priority="2898" operator="containsText" dxfId="0" text="ICU N">
      <formula>NOT(ISERROR(SEARCH(("ICU N"),(E8))))</formula>
    </cfRule>
    <cfRule type="containsText" priority="2899" operator="containsText" dxfId="3" text="ICU">
      <formula>NOT(ISERROR(SEARCH(("ICU"),(E8))))</formula>
    </cfRule>
    <cfRule type="containsText" priority="2900" operator="containsText" dxfId="0" text="SWING">
      <formula>NOT(ISERROR(SEARCH(("SWING"),(E8))))</formula>
    </cfRule>
    <cfRule type="containsText" priority="2901" operator="containsText" dxfId="0" text="NF">
      <formula>NOT(ISERROR(SEARCH(("NF"),(E8))))</formula>
    </cfRule>
    <cfRule type="containsText" priority="2883" operator="containsText" dxfId="17" text="VACATION">
      <formula>NOT(ISERROR(SEARCH(("VACATION"),(E8))))</formula>
    </cfRule>
    <cfRule type="containsText" priority="2884" operator="containsText" dxfId="0" text="ICU N">
      <formula>NOT(ISERROR(SEARCH(("ICU N"),(E8))))</formula>
    </cfRule>
    <cfRule type="containsText" priority="2881" operator="containsText" dxfId="17" text="VACATION">
      <formula>NOT(ISERROR(SEARCH(("VACATION"),(E8))))</formula>
    </cfRule>
    <cfRule type="containsText" priority="2882" operator="containsText" dxfId="0" text="ICU N">
      <formula>NOT(ISERROR(SEARCH(("ICU N"),(E8))))</formula>
    </cfRule>
    <cfRule type="containsText" priority="2880" operator="containsText" dxfId="17" text="VACATION">
      <formula>NOT(ISERROR(SEARCH(("VACATION"),(E8))))</formula>
    </cfRule>
    <cfRule type="containsText" priority="2862" operator="containsText" dxfId="16" text="ED">
      <formula>NOT(ISERROR(SEARCH(("ED"),(E8))))</formula>
    </cfRule>
    <cfRule type="containsText" priority="2863" operator="containsText" dxfId="15" text="GERIATRIC">
      <formula>NOT(ISERROR(SEARCH(("GERIATRIC"),(E8))))</formula>
    </cfRule>
    <cfRule type="containsText" priority="2864" operator="containsText" dxfId="17" text="VACATION">
      <formula>NOT(ISERROR(SEARCH(("VACATION"),(E8))))</formula>
    </cfRule>
    <cfRule type="containsText" priority="2865" operator="containsText" dxfId="7" text="PATH">
      <formula>NOT(ISERROR(SEARCH(("PATH"),(E8))))</formula>
    </cfRule>
    <cfRule type="containsText" priority="2866" operator="containsText" dxfId="7" text="NEPHRO">
      <formula>NOT(ISERROR(SEARCH(("NEPHRO"),(E8))))</formula>
    </cfRule>
    <cfRule type="containsText" priority="2867" operator="containsText" dxfId="7" text="PULM">
      <formula>NOT(ISERROR(SEARCH(("PULM"),(E8))))</formula>
    </cfRule>
    <cfRule type="containsText" priority="2868" operator="containsText" dxfId="7" text="RADIOLOGY">
      <formula>NOT(ISERROR(SEARCH(("RADIOLOGY"),(E8))))</formula>
    </cfRule>
    <cfRule type="containsText" priority="2869" operator="containsText" dxfId="7" text="HEM/ONC">
      <formula>NOT(ISERROR(SEARCH(("HEM/ONC"),(E8))))</formula>
    </cfRule>
    <cfRule type="containsText" priority="2870" operator="containsText" dxfId="7" text="CARDIO">
      <formula>NOT(ISERROR(SEARCH(("CARDIO"),(E8))))</formula>
    </cfRule>
    <cfRule type="containsText" priority="2871" operator="containsText" dxfId="7" text="ID">
      <formula>NOT(ISERROR(SEARCH(("ID"),(E8))))</formula>
    </cfRule>
    <cfRule type="containsText" priority="2872" operator="containsText" dxfId="7" text="NEURO">
      <formula>NOT(ISERROR(SEARCH(("NEURO"),(E8))))</formula>
    </cfRule>
    <cfRule type="containsText" priority="2873" operator="containsText" dxfId="6" text="NEURO">
      <formula>NOT(ISERROR(SEARCH(("NEURO"),(E8))))</formula>
    </cfRule>
    <cfRule type="containsText" priority="2874" operator="containsText" dxfId="5" text="NEURO">
      <formula>NOT(ISERROR(SEARCH(("NEURO"),(E8))))</formula>
    </cfRule>
    <cfRule type="containsText" priority="2875" operator="containsText" dxfId="0" text="ICU N">
      <formula>NOT(ISERROR(SEARCH(("ICU N"),(E8))))</formula>
    </cfRule>
    <cfRule type="containsText" priority="2876" operator="containsText" dxfId="3" text="ICU">
      <formula>NOT(ISERROR(SEARCH(("ICU"),(E8))))</formula>
    </cfRule>
    <cfRule type="containsText" priority="2877" operator="containsText" dxfId="0" text="SWING">
      <formula>NOT(ISERROR(SEARCH(("SWING"),(E8))))</formula>
    </cfRule>
    <cfRule type="containsText" priority="2878" operator="containsText" dxfId="0" text="NF">
      <formula>NOT(ISERROR(SEARCH(("NF"),(E8))))</formula>
    </cfRule>
    <cfRule type="containsText" priority="2879" operator="containsText" dxfId="0" text="ICU N">
      <formula>NOT(ISERROR(SEARCH(("ICU N"),(E8))))</formula>
    </cfRule>
    <cfRule type="containsText" priority="2861" operator="containsText" dxfId="17" text="VACATION">
      <formula>NOT(ISERROR(SEARCH(("VACATION"),(E8))))</formula>
    </cfRule>
    <cfRule type="containsText" priority="2860" operator="containsText" dxfId="17" text="VACATION">
      <formula>NOT(ISERROR(SEARCH(("VACATION"),(E8))))</formula>
    </cfRule>
  </conditionalFormatting>
  <conditionalFormatting sqref="F8">
    <cfRule type="containsText" priority="2843" operator="containsText" dxfId="17" text="VACATION">
      <formula>NOT(ISERROR(SEARCH(("VACATION"),(F8))))</formula>
    </cfRule>
    <cfRule type="containsText" priority="2844" operator="containsText" dxfId="16" text="ED">
      <formula>NOT(ISERROR(SEARCH(("ED"),(F8))))</formula>
    </cfRule>
    <cfRule type="containsText" priority="2845" operator="containsText" dxfId="15" text="GERIATRIC">
      <formula>NOT(ISERROR(SEARCH(("GERIATRIC"),(F8))))</formula>
    </cfRule>
    <cfRule type="containsText" priority="2846" operator="containsText" dxfId="7" text="PATH">
      <formula>NOT(ISERROR(SEARCH(("PATH"),(F8))))</formula>
    </cfRule>
    <cfRule type="containsText" priority="2847" operator="containsText" dxfId="7" text="NEPHRO">
      <formula>NOT(ISERROR(SEARCH(("NEPHRO"),(F8))))</formula>
    </cfRule>
    <cfRule type="containsText" priority="2848" operator="containsText" dxfId="7" text="PULM">
      <formula>NOT(ISERROR(SEARCH(("PULM"),(F8))))</formula>
    </cfRule>
    <cfRule type="containsText" priority="2849" operator="containsText" dxfId="7" text="RADIOLOGY">
      <formula>NOT(ISERROR(SEARCH(("RADIOLOGY"),(F8))))</formula>
    </cfRule>
    <cfRule type="containsText" priority="2850" operator="containsText" dxfId="7" text="HEM/ONC">
      <formula>NOT(ISERROR(SEARCH(("HEM/ONC"),(F8))))</formula>
    </cfRule>
    <cfRule type="containsText" priority="2851" operator="containsText" dxfId="7" text="CARDIO">
      <formula>NOT(ISERROR(SEARCH(("CARDIO"),(F8))))</formula>
    </cfRule>
    <cfRule type="containsText" priority="2852" operator="containsText" dxfId="7" text="ID">
      <formula>NOT(ISERROR(SEARCH(("ID"),(F8))))</formula>
    </cfRule>
    <cfRule type="containsText" priority="2853" operator="containsText" dxfId="7" text="NEURO">
      <formula>NOT(ISERROR(SEARCH(("NEURO"),(F8))))</formula>
    </cfRule>
    <cfRule type="containsText" priority="2854" operator="containsText" dxfId="6" text="NEURO">
      <formula>NOT(ISERROR(SEARCH(("NEURO"),(F8))))</formula>
    </cfRule>
    <cfRule type="containsText" priority="2855" operator="containsText" dxfId="5" text="NEURO">
      <formula>NOT(ISERROR(SEARCH(("NEURO"),(F8))))</formula>
    </cfRule>
    <cfRule type="containsText" priority="2856" operator="containsText" dxfId="0" text="ICU N">
      <formula>NOT(ISERROR(SEARCH(("ICU N"),(F8))))</formula>
    </cfRule>
    <cfRule type="containsText" priority="2857" operator="containsText" dxfId="3" text="ICU">
      <formula>NOT(ISERROR(SEARCH(("ICU"),(F8))))</formula>
    </cfRule>
    <cfRule type="containsText" priority="2858" operator="containsText" dxfId="0" text="SWING">
      <formula>NOT(ISERROR(SEARCH(("SWING"),(F8))))</formula>
    </cfRule>
    <cfRule type="containsText" priority="2859" operator="containsText" dxfId="0" text="NF">
      <formula>NOT(ISERROR(SEARCH(("NF"),(F8))))</formula>
    </cfRule>
  </conditionalFormatting>
  <conditionalFormatting sqref="G8">
    <cfRule type="containsText" priority="2826" operator="containsText" dxfId="17" text="VACATION">
      <formula>NOT(ISERROR(SEARCH(("VACATION"),(G8))))</formula>
    </cfRule>
    <cfRule type="containsText" priority="2827" operator="containsText" dxfId="16" text="ED">
      <formula>NOT(ISERROR(SEARCH(("ED"),(G8))))</formula>
    </cfRule>
    <cfRule type="containsText" priority="2828" operator="containsText" dxfId="15" text="GERIATRIC">
      <formula>NOT(ISERROR(SEARCH(("GERIATRIC"),(G8))))</formula>
    </cfRule>
    <cfRule type="containsText" priority="2829" operator="containsText" dxfId="7" text="PATH">
      <formula>NOT(ISERROR(SEARCH(("PATH"),(G8))))</formula>
    </cfRule>
    <cfRule type="containsText" priority="2830" operator="containsText" dxfId="7" text="NEPHRO">
      <formula>NOT(ISERROR(SEARCH(("NEPHRO"),(G8))))</formula>
    </cfRule>
    <cfRule type="containsText" priority="2831" operator="containsText" dxfId="7" text="PULM">
      <formula>NOT(ISERROR(SEARCH(("PULM"),(G8))))</formula>
    </cfRule>
    <cfRule type="containsText" priority="2832" operator="containsText" dxfId="7" text="RADIOLOGY">
      <formula>NOT(ISERROR(SEARCH(("RADIOLOGY"),(G8))))</formula>
    </cfRule>
    <cfRule type="containsText" priority="2833" operator="containsText" dxfId="7" text="HEM/ONC">
      <formula>NOT(ISERROR(SEARCH(("HEM/ONC"),(G8))))</formula>
    </cfRule>
    <cfRule type="containsText" priority="2834" operator="containsText" dxfId="7" text="CARDIO">
      <formula>NOT(ISERROR(SEARCH(("CARDIO"),(G8))))</formula>
    </cfRule>
    <cfRule type="containsText" priority="2835" operator="containsText" dxfId="7" text="ID">
      <formula>NOT(ISERROR(SEARCH(("ID"),(G8))))</formula>
    </cfRule>
    <cfRule type="containsText" priority="2836" operator="containsText" dxfId="7" text="NEURO">
      <formula>NOT(ISERROR(SEARCH(("NEURO"),(G8))))</formula>
    </cfRule>
    <cfRule type="containsText" priority="2837" operator="containsText" dxfId="6" text="NEURO">
      <formula>NOT(ISERROR(SEARCH(("NEURO"),(G8))))</formula>
    </cfRule>
    <cfRule type="containsText" priority="2838" operator="containsText" dxfId="5" text="NEURO">
      <formula>NOT(ISERROR(SEARCH(("NEURO"),(G8))))</formula>
    </cfRule>
    <cfRule type="containsText" priority="2839" operator="containsText" dxfId="0" text="ICU N">
      <formula>NOT(ISERROR(SEARCH(("ICU N"),(G8))))</formula>
    </cfRule>
    <cfRule type="containsText" priority="2840" operator="containsText" dxfId="3" text="ICU">
      <formula>NOT(ISERROR(SEARCH(("ICU"),(G8))))</formula>
    </cfRule>
    <cfRule type="containsText" priority="2841" operator="containsText" dxfId="0" text="SWING">
      <formula>NOT(ISERROR(SEARCH(("SWING"),(G8))))</formula>
    </cfRule>
    <cfRule type="containsText" priority="2842" operator="containsText" dxfId="0" text="NF">
      <formula>NOT(ISERROR(SEARCH(("NF"),(G8))))</formula>
    </cfRule>
  </conditionalFormatting>
  <conditionalFormatting sqref="Z10">
    <cfRule type="containsText" priority="2752" operator="containsText" dxfId="17" text="VACATION">
      <formula>NOT(ISERROR(SEARCH(("VACATION"),(Z10))))</formula>
    </cfRule>
    <cfRule type="containsText" priority="2753" operator="containsText" dxfId="0" text="ICU N">
      <formula>NOT(ISERROR(SEARCH(("ICU N"),(Z10))))</formula>
    </cfRule>
  </conditionalFormatting>
  <conditionalFormatting sqref="R36">
    <cfRule type="containsText" priority="2746" operator="containsText" dxfId="17" text="VACATION">
      <formula>NOT(ISERROR(SEARCH(("VACATION"),(R36))))</formula>
    </cfRule>
    <cfRule type="containsText" priority="2747" operator="containsText" dxfId="0" text="ICU N">
      <formula>NOT(ISERROR(SEARCH(("ICU N"),(R36))))</formula>
    </cfRule>
  </conditionalFormatting>
  <conditionalFormatting sqref="S45">
    <cfRule type="containsText" priority="2693" operator="containsText" dxfId="17" text="VACATION">
      <formula>NOT(ISERROR(SEARCH(("VACATION"),(S45))))</formula>
    </cfRule>
    <cfRule type="containsText" priority="2694" operator="containsText" dxfId="16" text="ED">
      <formula>NOT(ISERROR(SEARCH(("ED"),(S45))))</formula>
    </cfRule>
    <cfRule type="containsText" priority="2695" operator="containsText" dxfId="15" text="GERIATRIC">
      <formula>NOT(ISERROR(SEARCH(("GERIATRIC"),(S45))))</formula>
    </cfRule>
    <cfRule type="containsText" priority="2696" operator="containsText" dxfId="7" text="PATH">
      <formula>NOT(ISERROR(SEARCH(("PATH"),(S45))))</formula>
    </cfRule>
    <cfRule type="containsText" priority="2697" operator="containsText" dxfId="7" text="NEPHRO">
      <formula>NOT(ISERROR(SEARCH(("NEPHRO"),(S45))))</formula>
    </cfRule>
    <cfRule type="containsText" priority="2698" operator="containsText" dxfId="7" text="PULM">
      <formula>NOT(ISERROR(SEARCH(("PULM"),(S45))))</formula>
    </cfRule>
    <cfRule type="containsText" priority="2699" operator="containsText" dxfId="7" text="RADIOLOGY">
      <formula>NOT(ISERROR(SEARCH(("RADIOLOGY"),(S45))))</formula>
    </cfRule>
    <cfRule type="containsText" priority="2700" operator="containsText" dxfId="7" text="HEM/ONC">
      <formula>NOT(ISERROR(SEARCH(("HEM/ONC"),(S45))))</formula>
    </cfRule>
    <cfRule type="containsText" priority="2701" operator="containsText" dxfId="7" text="CARDIO">
      <formula>NOT(ISERROR(SEARCH(("CARDIO"),(S45))))</formula>
    </cfRule>
    <cfRule type="containsText" priority="2702" operator="containsText" dxfId="7" text="ID">
      <formula>NOT(ISERROR(SEARCH(("ID"),(S45))))</formula>
    </cfRule>
    <cfRule type="containsText" priority="2703" operator="containsText" dxfId="7" text="NEURO">
      <formula>NOT(ISERROR(SEARCH(("NEURO"),(S45))))</formula>
    </cfRule>
    <cfRule type="containsText" priority="2704" operator="containsText" dxfId="6" text="NEURO">
      <formula>NOT(ISERROR(SEARCH(("NEURO"),(S45))))</formula>
    </cfRule>
    <cfRule type="containsText" priority="2705" operator="containsText" dxfId="5" text="NEURO">
      <formula>NOT(ISERROR(SEARCH(("NEURO"),(S45))))</formula>
    </cfRule>
    <cfRule type="containsText" priority="2706" operator="containsText" dxfId="0" text="ICU N">
      <formula>NOT(ISERROR(SEARCH(("ICU N"),(S45))))</formula>
    </cfRule>
    <cfRule type="containsText" priority="2707" operator="containsText" dxfId="3" text="ICU">
      <formula>NOT(ISERROR(SEARCH(("ICU"),(S45))))</formula>
    </cfRule>
    <cfRule type="containsText" priority="2708" operator="containsText" dxfId="0" text="SWING">
      <formula>NOT(ISERROR(SEARCH(("SWING"),(S45))))</formula>
    </cfRule>
    <cfRule type="containsText" priority="2709" operator="containsText" dxfId="0" text="NF">
      <formula>NOT(ISERROR(SEARCH(("NF"),(S45))))</formula>
    </cfRule>
    <cfRule type="containsText" priority="2691" operator="containsText" dxfId="17" text="VACATION">
      <formula>NOT(ISERROR(SEARCH(("VACATION"),(S45))))</formula>
    </cfRule>
    <cfRule type="containsText" priority="2692" operator="containsText" dxfId="0" text="ICU N">
      <formula>NOT(ISERROR(SEARCH(("ICU N"),(S45))))</formula>
    </cfRule>
  </conditionalFormatting>
  <conditionalFormatting sqref="S44">
    <cfRule type="containsText" priority="2674" operator="containsText" dxfId="17" text="VACATION">
      <formula>NOT(ISERROR(SEARCH(("VACATION"),(S44))))</formula>
    </cfRule>
    <cfRule type="containsText" priority="2675" operator="containsText" dxfId="16" text="ED">
      <formula>NOT(ISERROR(SEARCH(("ED"),(S44))))</formula>
    </cfRule>
    <cfRule type="containsText" priority="2676" operator="containsText" dxfId="15" text="GERIATRIC">
      <formula>NOT(ISERROR(SEARCH(("GERIATRIC"),(S44))))</formula>
    </cfRule>
    <cfRule type="containsText" priority="2677" operator="containsText" dxfId="7" text="PATH">
      <formula>NOT(ISERROR(SEARCH(("PATH"),(S44))))</formula>
    </cfRule>
    <cfRule type="containsText" priority="2678" operator="containsText" dxfId="7" text="NEPHRO">
      <formula>NOT(ISERROR(SEARCH(("NEPHRO"),(S44))))</formula>
    </cfRule>
    <cfRule type="containsText" priority="2679" operator="containsText" dxfId="7" text="PULM">
      <formula>NOT(ISERROR(SEARCH(("PULM"),(S44))))</formula>
    </cfRule>
    <cfRule type="containsText" priority="2680" operator="containsText" dxfId="7" text="RADIOLOGY">
      <formula>NOT(ISERROR(SEARCH(("RADIOLOGY"),(S44))))</formula>
    </cfRule>
    <cfRule type="containsText" priority="2681" operator="containsText" dxfId="7" text="HEM/ONC">
      <formula>NOT(ISERROR(SEARCH(("HEM/ONC"),(S44))))</formula>
    </cfRule>
    <cfRule type="containsText" priority="2682" operator="containsText" dxfId="7" text="CARDIO">
      <formula>NOT(ISERROR(SEARCH(("CARDIO"),(S44))))</formula>
    </cfRule>
    <cfRule type="containsText" priority="2683" operator="containsText" dxfId="7" text="ID">
      <formula>NOT(ISERROR(SEARCH(("ID"),(S44))))</formula>
    </cfRule>
    <cfRule type="containsText" priority="2684" operator="containsText" dxfId="7" text="NEURO">
      <formula>NOT(ISERROR(SEARCH(("NEURO"),(S44))))</formula>
    </cfRule>
    <cfRule type="containsText" priority="2685" operator="containsText" dxfId="6" text="NEURO">
      <formula>NOT(ISERROR(SEARCH(("NEURO"),(S44))))</formula>
    </cfRule>
    <cfRule type="containsText" priority="2686" operator="containsText" dxfId="5" text="NEURO">
      <formula>NOT(ISERROR(SEARCH(("NEURO"),(S44))))</formula>
    </cfRule>
    <cfRule type="containsText" priority="2687" operator="containsText" dxfId="0" text="ICU N">
      <formula>NOT(ISERROR(SEARCH(("ICU N"),(S44))))</formula>
    </cfRule>
    <cfRule type="containsText" priority="2688" operator="containsText" dxfId="3" text="ICU">
      <formula>NOT(ISERROR(SEARCH(("ICU"),(S44))))</formula>
    </cfRule>
    <cfRule type="containsText" priority="2689" operator="containsText" dxfId="0" text="SWING">
      <formula>NOT(ISERROR(SEARCH(("SWING"),(S44))))</formula>
    </cfRule>
    <cfRule type="containsText" priority="2690" operator="containsText" dxfId="0" text="NF">
      <formula>NOT(ISERROR(SEARCH(("NF"),(S44))))</formula>
    </cfRule>
  </conditionalFormatting>
  <conditionalFormatting sqref="U44">
    <cfRule type="containsText" priority="2640" operator="containsText" dxfId="17" text="VACATION">
      <formula>NOT(ISERROR(SEARCH(("VACATION"),(U44))))</formula>
    </cfRule>
    <cfRule type="containsText" priority="2641" operator="containsText" dxfId="16" text="ED">
      <formula>NOT(ISERROR(SEARCH(("ED"),(U44))))</formula>
    </cfRule>
    <cfRule type="containsText" priority="2642" operator="containsText" dxfId="15" text="GERIATRIC">
      <formula>NOT(ISERROR(SEARCH(("GERIATRIC"),(U44))))</formula>
    </cfRule>
    <cfRule type="containsText" priority="2643" operator="containsText" dxfId="7" text="PATH">
      <formula>NOT(ISERROR(SEARCH(("PATH"),(U44))))</formula>
    </cfRule>
    <cfRule type="containsText" priority="2644" operator="containsText" dxfId="7" text="NEPHRO">
      <formula>NOT(ISERROR(SEARCH(("NEPHRO"),(U44))))</formula>
    </cfRule>
    <cfRule type="containsText" priority="2645" operator="containsText" dxfId="7" text="PULM">
      <formula>NOT(ISERROR(SEARCH(("PULM"),(U44))))</formula>
    </cfRule>
    <cfRule type="containsText" priority="2646" operator="containsText" dxfId="7" text="RADIOLOGY">
      <formula>NOT(ISERROR(SEARCH(("RADIOLOGY"),(U44))))</formula>
    </cfRule>
    <cfRule type="containsText" priority="2647" operator="containsText" dxfId="7" text="HEM/ONC">
      <formula>NOT(ISERROR(SEARCH(("HEM/ONC"),(U44))))</formula>
    </cfRule>
    <cfRule type="containsText" priority="2648" operator="containsText" dxfId="7" text="CARDIO">
      <formula>NOT(ISERROR(SEARCH(("CARDIO"),(U44))))</formula>
    </cfRule>
    <cfRule type="containsText" priority="2649" operator="containsText" dxfId="7" text="ID">
      <formula>NOT(ISERROR(SEARCH(("ID"),(U44))))</formula>
    </cfRule>
    <cfRule type="containsText" priority="2650" operator="containsText" dxfId="7" text="NEURO">
      <formula>NOT(ISERROR(SEARCH(("NEURO"),(U44))))</formula>
    </cfRule>
    <cfRule type="containsText" priority="2651" operator="containsText" dxfId="6" text="NEURO">
      <formula>NOT(ISERROR(SEARCH(("NEURO"),(U44))))</formula>
    </cfRule>
    <cfRule type="containsText" priority="2652" operator="containsText" dxfId="5" text="NEURO">
      <formula>NOT(ISERROR(SEARCH(("NEURO"),(U44))))</formula>
    </cfRule>
    <cfRule type="containsText" priority="2653" operator="containsText" dxfId="0" text="ICU N">
      <formula>NOT(ISERROR(SEARCH(("ICU N"),(U44))))</formula>
    </cfRule>
    <cfRule type="containsText" priority="2654" operator="containsText" dxfId="3" text="ICU">
      <formula>NOT(ISERROR(SEARCH(("ICU"),(U44))))</formula>
    </cfRule>
    <cfRule type="containsText" priority="2655" operator="containsText" dxfId="0" text="SWING">
      <formula>NOT(ISERROR(SEARCH(("SWING"),(U44))))</formula>
    </cfRule>
    <cfRule type="containsText" priority="2656" operator="containsText" dxfId="0" text="NF">
      <formula>NOT(ISERROR(SEARCH(("NF"),(U44))))</formula>
    </cfRule>
  </conditionalFormatting>
  <conditionalFormatting sqref="V7">
    <cfRule type="containsText" priority="2623" operator="containsText" dxfId="17" text="VACATION">
      <formula>NOT(ISERROR(SEARCH(("VACATION"),(V7))))</formula>
    </cfRule>
    <cfRule type="containsText" priority="2624" operator="containsText" dxfId="16" text="ED">
      <formula>NOT(ISERROR(SEARCH(("ED"),(V7))))</formula>
    </cfRule>
    <cfRule type="containsText" priority="2625" operator="containsText" dxfId="15" text="GERIATRIC">
      <formula>NOT(ISERROR(SEARCH(("GERIATRIC"),(V7))))</formula>
    </cfRule>
    <cfRule type="containsText" priority="2626" operator="containsText" dxfId="7" text="PATH">
      <formula>NOT(ISERROR(SEARCH(("PATH"),(V7))))</formula>
    </cfRule>
    <cfRule type="containsText" priority="2627" operator="containsText" dxfId="7" text="NEPHRO">
      <formula>NOT(ISERROR(SEARCH(("NEPHRO"),(V7))))</formula>
    </cfRule>
    <cfRule type="containsText" priority="2628" operator="containsText" dxfId="7" text="PULM">
      <formula>NOT(ISERROR(SEARCH(("PULM"),(V7))))</formula>
    </cfRule>
    <cfRule type="containsText" priority="2629" operator="containsText" dxfId="7" text="RADIOLOGY">
      <formula>NOT(ISERROR(SEARCH(("RADIOLOGY"),(V7))))</formula>
    </cfRule>
    <cfRule type="containsText" priority="2630" operator="containsText" dxfId="7" text="HEM/ONC">
      <formula>NOT(ISERROR(SEARCH(("HEM/ONC"),(V7))))</formula>
    </cfRule>
    <cfRule type="containsText" priority="2631" operator="containsText" dxfId="7" text="CARDIO">
      <formula>NOT(ISERROR(SEARCH(("CARDIO"),(V7))))</formula>
    </cfRule>
    <cfRule type="containsText" priority="2632" operator="containsText" dxfId="7" text="ID">
      <formula>NOT(ISERROR(SEARCH(("ID"),(V7))))</formula>
    </cfRule>
    <cfRule type="containsText" priority="2633" operator="containsText" dxfId="7" text="NEURO">
      <formula>NOT(ISERROR(SEARCH(("NEURO"),(V7))))</formula>
    </cfRule>
    <cfRule type="containsText" priority="2634" operator="containsText" dxfId="6" text="NEURO">
      <formula>NOT(ISERROR(SEARCH(("NEURO"),(V7))))</formula>
    </cfRule>
    <cfRule type="containsText" priority="2635" operator="containsText" dxfId="5" text="NEURO">
      <formula>NOT(ISERROR(SEARCH(("NEURO"),(V7))))</formula>
    </cfRule>
    <cfRule type="containsText" priority="2636" operator="containsText" dxfId="0" text="ICU N">
      <formula>NOT(ISERROR(SEARCH(("ICU N"),(V7))))</formula>
    </cfRule>
    <cfRule type="containsText" priority="2637" operator="containsText" dxfId="3" text="ICU">
      <formula>NOT(ISERROR(SEARCH(("ICU"),(V7))))</formula>
    </cfRule>
    <cfRule type="containsText" priority="2638" operator="containsText" dxfId="0" text="SWING">
      <formula>NOT(ISERROR(SEARCH(("SWING"),(V7))))</formula>
    </cfRule>
    <cfRule type="containsText" priority="2639" operator="containsText" dxfId="0" text="NF">
      <formula>NOT(ISERROR(SEARCH(("NF"),(V7))))</formula>
    </cfRule>
  </conditionalFormatting>
  <conditionalFormatting sqref="Q44">
    <cfRule type="containsText" priority="2606" operator="containsText" dxfId="17" text="VACATION">
      <formula>NOT(ISERROR(SEARCH(("VACATION"),(Q44))))</formula>
    </cfRule>
    <cfRule type="containsText" priority="2607" operator="containsText" dxfId="16" text="ED">
      <formula>NOT(ISERROR(SEARCH(("ED"),(Q44))))</formula>
    </cfRule>
    <cfRule type="containsText" priority="2608" operator="containsText" dxfId="15" text="GERIATRIC">
      <formula>NOT(ISERROR(SEARCH(("GERIATRIC"),(Q44))))</formula>
    </cfRule>
    <cfRule type="containsText" priority="2609" operator="containsText" dxfId="7" text="PATH">
      <formula>NOT(ISERROR(SEARCH(("PATH"),(Q44))))</formula>
    </cfRule>
    <cfRule type="containsText" priority="2610" operator="containsText" dxfId="7" text="NEPHRO">
      <formula>NOT(ISERROR(SEARCH(("NEPHRO"),(Q44))))</formula>
    </cfRule>
    <cfRule type="containsText" priority="2611" operator="containsText" dxfId="7" text="PULM">
      <formula>NOT(ISERROR(SEARCH(("PULM"),(Q44))))</formula>
    </cfRule>
    <cfRule type="containsText" priority="2612" operator="containsText" dxfId="7" text="RADIOLOGY">
      <formula>NOT(ISERROR(SEARCH(("RADIOLOGY"),(Q44))))</formula>
    </cfRule>
    <cfRule type="containsText" priority="2613" operator="containsText" dxfId="7" text="HEM/ONC">
      <formula>NOT(ISERROR(SEARCH(("HEM/ONC"),(Q44))))</formula>
    </cfRule>
    <cfRule type="containsText" priority="2614" operator="containsText" dxfId="7" text="CARDIO">
      <formula>NOT(ISERROR(SEARCH(("CARDIO"),(Q44))))</formula>
    </cfRule>
    <cfRule type="containsText" priority="2615" operator="containsText" dxfId="7" text="ID">
      <formula>NOT(ISERROR(SEARCH(("ID"),(Q44))))</formula>
    </cfRule>
    <cfRule type="containsText" priority="2616" operator="containsText" dxfId="7" text="NEURO">
      <formula>NOT(ISERROR(SEARCH(("NEURO"),(Q44))))</formula>
    </cfRule>
    <cfRule type="containsText" priority="2617" operator="containsText" dxfId="6" text="NEURO">
      <formula>NOT(ISERROR(SEARCH(("NEURO"),(Q44))))</formula>
    </cfRule>
    <cfRule type="containsText" priority="2618" operator="containsText" dxfId="5" text="NEURO">
      <formula>NOT(ISERROR(SEARCH(("NEURO"),(Q44))))</formula>
    </cfRule>
    <cfRule type="containsText" priority="2619" operator="containsText" dxfId="0" text="ICU N">
      <formula>NOT(ISERROR(SEARCH(("ICU N"),(Q44))))</formula>
    </cfRule>
    <cfRule type="containsText" priority="2620" operator="containsText" dxfId="3" text="ICU">
      <formula>NOT(ISERROR(SEARCH(("ICU"),(Q44))))</formula>
    </cfRule>
    <cfRule type="containsText" priority="2621" operator="containsText" dxfId="0" text="SWING">
      <formula>NOT(ISERROR(SEARCH(("SWING"),(Q44))))</formula>
    </cfRule>
    <cfRule type="containsText" priority="2622" operator="containsText" dxfId="0" text="NF">
      <formula>NOT(ISERROR(SEARCH(("NF"),(Q44))))</formula>
    </cfRule>
    <cfRule type="containsText" priority="2605" operator="containsText" dxfId="17" text="VACATION">
      <formula>NOT(ISERROR(SEARCH(("VACATION"),(Q44))))</formula>
    </cfRule>
    <cfRule type="containsText" priority="2604" operator="containsText" dxfId="17" text="VACATION">
      <formula>NOT(ISERROR(SEARCH(("VACATION"),(Q44))))</formula>
    </cfRule>
    <cfRule type="containsText" priority="2603" operator="containsText" dxfId="17" text="VACATION">
      <formula>NOT(ISERROR(SEARCH(("VACATION"),(Q44))))</formula>
    </cfRule>
  </conditionalFormatting>
  <conditionalFormatting sqref="Q46">
    <cfRule type="containsText" priority="2601" operator="containsText" dxfId="17" text="VACATION">
      <formula>NOT(ISERROR(SEARCH(("VACATION"),(Q46))))</formula>
    </cfRule>
    <cfRule type="containsText" priority="2602" operator="containsText" dxfId="0" text="ICU N">
      <formula>NOT(ISERROR(SEARCH(("ICU N"),(Q46))))</formula>
    </cfRule>
  </conditionalFormatting>
  <conditionalFormatting sqref="K46">
    <cfRule type="containsText" priority="2583" operator="containsText" dxfId="16" text="ED">
      <formula>NOT(ISERROR(SEARCH(("ED"),(K46))))</formula>
    </cfRule>
    <cfRule type="containsText" priority="2584" operator="containsText" dxfId="15" text="GERIATRIC">
      <formula>NOT(ISERROR(SEARCH(("GERIATRIC"),(K46))))</formula>
    </cfRule>
    <cfRule type="containsText" priority="2585" operator="containsText" dxfId="17" text="VACATION">
      <formula>NOT(ISERROR(SEARCH(("VACATION"),(K46))))</formula>
    </cfRule>
    <cfRule type="containsText" priority="2586" operator="containsText" dxfId="7" text="PATH">
      <formula>NOT(ISERROR(SEARCH(("PATH"),(K46))))</formula>
    </cfRule>
    <cfRule type="containsText" priority="2587" operator="containsText" dxfId="7" text="NEPHRO">
      <formula>NOT(ISERROR(SEARCH(("NEPHRO"),(K46))))</formula>
    </cfRule>
    <cfRule type="containsText" priority="2588" operator="containsText" dxfId="7" text="PULM">
      <formula>NOT(ISERROR(SEARCH(("PULM"),(K46))))</formula>
    </cfRule>
    <cfRule type="containsText" priority="2589" operator="containsText" dxfId="7" text="RADIOLOGY">
      <formula>NOT(ISERROR(SEARCH(("RADIOLOGY"),(K46))))</formula>
    </cfRule>
    <cfRule type="containsText" priority="2590" operator="containsText" dxfId="7" text="HEM/ONC">
      <formula>NOT(ISERROR(SEARCH(("HEM/ONC"),(K46))))</formula>
    </cfRule>
    <cfRule type="containsText" priority="2591" operator="containsText" dxfId="7" text="CARDIO">
      <formula>NOT(ISERROR(SEARCH(("CARDIO"),(K46))))</formula>
    </cfRule>
    <cfRule type="containsText" priority="2592" operator="containsText" dxfId="7" text="ID">
      <formula>NOT(ISERROR(SEARCH(("ID"),(K46))))</formula>
    </cfRule>
    <cfRule type="containsText" priority="2593" operator="containsText" dxfId="7" text="NEURO">
      <formula>NOT(ISERROR(SEARCH(("NEURO"),(K46))))</formula>
    </cfRule>
    <cfRule type="containsText" priority="2594" operator="containsText" dxfId="6" text="NEURO">
      <formula>NOT(ISERROR(SEARCH(("NEURO"),(K46))))</formula>
    </cfRule>
    <cfRule type="containsText" priority="2595" operator="containsText" dxfId="5" text="NEURO">
      <formula>NOT(ISERROR(SEARCH(("NEURO"),(K46))))</formula>
    </cfRule>
    <cfRule type="containsText" priority="2596" operator="containsText" dxfId="0" text="ICU N">
      <formula>NOT(ISERROR(SEARCH(("ICU N"),(K46))))</formula>
    </cfRule>
    <cfRule type="containsText" priority="2597" operator="containsText" dxfId="3" text="ICU">
      <formula>NOT(ISERROR(SEARCH(("ICU"),(K46))))</formula>
    </cfRule>
    <cfRule type="containsText" priority="2598" operator="containsText" dxfId="0" text="SWING">
      <formula>NOT(ISERROR(SEARCH(("SWING"),(K46))))</formula>
    </cfRule>
    <cfRule type="containsText" priority="2599" operator="containsText" dxfId="0" text="NF">
      <formula>NOT(ISERROR(SEARCH(("NF"),(K46))))</formula>
    </cfRule>
    <cfRule type="containsText" priority="2600" operator="containsText" dxfId="0" text="ICU N">
      <formula>NOT(ISERROR(SEARCH(("ICU N"),(K46))))</formula>
    </cfRule>
    <cfRule type="containsText" priority="2566" operator="containsText" dxfId="17" text="VACATION">
      <formula>NOT(ISERROR(SEARCH(("VACATION"),(K46))))</formula>
    </cfRule>
    <cfRule type="containsText" priority="2567" operator="containsText" dxfId="16" text="ED">
      <formula>NOT(ISERROR(SEARCH(("ED"),(K46))))</formula>
    </cfRule>
    <cfRule type="containsText" priority="2568" operator="containsText" dxfId="15" text="GERIATRIC">
      <formula>NOT(ISERROR(SEARCH(("GERIATRIC"),(K46))))</formula>
    </cfRule>
    <cfRule type="containsText" priority="2569" operator="containsText" dxfId="7" text="PATH">
      <formula>NOT(ISERROR(SEARCH(("PATH"),(K46))))</formula>
    </cfRule>
    <cfRule type="containsText" priority="2570" operator="containsText" dxfId="7" text="NEPHRO">
      <formula>NOT(ISERROR(SEARCH(("NEPHRO"),(K46))))</formula>
    </cfRule>
    <cfRule type="containsText" priority="2571" operator="containsText" dxfId="7" text="PULM">
      <formula>NOT(ISERROR(SEARCH(("PULM"),(K46))))</formula>
    </cfRule>
    <cfRule type="containsText" priority="2572" operator="containsText" dxfId="7" text="RADIOLOGY">
      <formula>NOT(ISERROR(SEARCH(("RADIOLOGY"),(K46))))</formula>
    </cfRule>
    <cfRule type="containsText" priority="2573" operator="containsText" dxfId="7" text="HEM/ONC">
      <formula>NOT(ISERROR(SEARCH(("HEM/ONC"),(K46))))</formula>
    </cfRule>
    <cfRule type="containsText" priority="2574" operator="containsText" dxfId="7" text="CARDIO">
      <formula>NOT(ISERROR(SEARCH(("CARDIO"),(K46))))</formula>
    </cfRule>
    <cfRule type="containsText" priority="2575" operator="containsText" dxfId="7" text="ID">
      <formula>NOT(ISERROR(SEARCH(("ID"),(K46))))</formula>
    </cfRule>
    <cfRule type="containsText" priority="2576" operator="containsText" dxfId="7" text="NEURO">
      <formula>NOT(ISERROR(SEARCH(("NEURO"),(K46))))</formula>
    </cfRule>
    <cfRule type="containsText" priority="2577" operator="containsText" dxfId="6" text="NEURO">
      <formula>NOT(ISERROR(SEARCH(("NEURO"),(K46))))</formula>
    </cfRule>
    <cfRule type="containsText" priority="2578" operator="containsText" dxfId="5" text="NEURO">
      <formula>NOT(ISERROR(SEARCH(("NEURO"),(K46))))</formula>
    </cfRule>
    <cfRule type="containsText" priority="2579" operator="containsText" dxfId="0" text="ICU N">
      <formula>NOT(ISERROR(SEARCH(("ICU N"),(K46))))</formula>
    </cfRule>
    <cfRule type="containsText" priority="2580" operator="containsText" dxfId="3" text="ICU">
      <formula>NOT(ISERROR(SEARCH(("ICU"),(K46))))</formula>
    </cfRule>
    <cfRule type="containsText" priority="2581" operator="containsText" dxfId="0" text="SWING">
      <formula>NOT(ISERROR(SEARCH(("SWING"),(K46))))</formula>
    </cfRule>
    <cfRule type="containsText" priority="2582" operator="containsText" dxfId="0" text="NF">
      <formula>NOT(ISERROR(SEARCH(("NF"),(K46))))</formula>
    </cfRule>
  </conditionalFormatting>
  <conditionalFormatting sqref="S50">
    <cfRule type="containsText" priority="2549" operator="containsText" dxfId="17" text="VACATION">
      <formula>NOT(ISERROR(SEARCH(("VACATION"),(S50))))</formula>
    </cfRule>
    <cfRule type="containsText" priority="2550" operator="containsText" dxfId="16" text="ED">
      <formula>NOT(ISERROR(SEARCH(("ED"),(S50))))</formula>
    </cfRule>
    <cfRule type="containsText" priority="2551" operator="containsText" dxfId="15" text="GERIATRIC">
      <formula>NOT(ISERROR(SEARCH(("GERIATRIC"),(S50))))</formula>
    </cfRule>
    <cfRule type="containsText" priority="2552" operator="containsText" dxfId="7" text="PATH">
      <formula>NOT(ISERROR(SEARCH(("PATH"),(S50))))</formula>
    </cfRule>
    <cfRule type="containsText" priority="2553" operator="containsText" dxfId="7" text="NEPHRO">
      <formula>NOT(ISERROR(SEARCH(("NEPHRO"),(S50))))</formula>
    </cfRule>
    <cfRule type="containsText" priority="2554" operator="containsText" dxfId="7" text="PULM">
      <formula>NOT(ISERROR(SEARCH(("PULM"),(S50))))</formula>
    </cfRule>
    <cfRule type="containsText" priority="2555" operator="containsText" dxfId="7" text="RADIOLOGY">
      <formula>NOT(ISERROR(SEARCH(("RADIOLOGY"),(S50))))</formula>
    </cfRule>
    <cfRule type="containsText" priority="2556" operator="containsText" dxfId="7" text="HEM/ONC">
      <formula>NOT(ISERROR(SEARCH(("HEM/ONC"),(S50))))</formula>
    </cfRule>
    <cfRule type="containsText" priority="2557" operator="containsText" dxfId="7" text="CARDIO">
      <formula>NOT(ISERROR(SEARCH(("CARDIO"),(S50))))</formula>
    </cfRule>
    <cfRule type="containsText" priority="2558" operator="containsText" dxfId="7" text="ID">
      <formula>NOT(ISERROR(SEARCH(("ID"),(S50))))</formula>
    </cfRule>
    <cfRule type="containsText" priority="2559" operator="containsText" dxfId="7" text="NEURO">
      <formula>NOT(ISERROR(SEARCH(("NEURO"),(S50))))</formula>
    </cfRule>
    <cfRule type="containsText" priority="2560" operator="containsText" dxfId="6" text="NEURO">
      <formula>NOT(ISERROR(SEARCH(("NEURO"),(S50))))</formula>
    </cfRule>
    <cfRule type="containsText" priority="2561" operator="containsText" dxfId="5" text="NEURO">
      <formula>NOT(ISERROR(SEARCH(("NEURO"),(S50))))</formula>
    </cfRule>
    <cfRule type="containsText" priority="2562" operator="containsText" dxfId="0" text="ICU N">
      <formula>NOT(ISERROR(SEARCH(("ICU N"),(S50))))</formula>
    </cfRule>
    <cfRule type="containsText" priority="2563" operator="containsText" dxfId="3" text="ICU">
      <formula>NOT(ISERROR(SEARCH(("ICU"),(S50))))</formula>
    </cfRule>
    <cfRule type="containsText" priority="2564" operator="containsText" dxfId="0" text="SWING">
      <formula>NOT(ISERROR(SEARCH(("SWING"),(S50))))</formula>
    </cfRule>
    <cfRule type="containsText" priority="2565" operator="containsText" dxfId="0" text="NF">
      <formula>NOT(ISERROR(SEARCH(("NF"),(S50))))</formula>
    </cfRule>
    <cfRule type="containsText" priority="2531" operator="containsText" dxfId="16" text="ED">
      <formula>NOT(ISERROR(SEARCH(("ED"),(S50))))</formula>
    </cfRule>
    <cfRule type="containsText" priority="2532" operator="containsText" dxfId="15" text="GERIATRIC">
      <formula>NOT(ISERROR(SEARCH(("GERIATRIC"),(S50))))</formula>
    </cfRule>
    <cfRule type="containsText" priority="2533" operator="containsText" dxfId="17" text="VACATION">
      <formula>NOT(ISERROR(SEARCH(("VACATION"),(S50))))</formula>
    </cfRule>
    <cfRule type="containsText" priority="2534" operator="containsText" dxfId="7" text="PATH">
      <formula>NOT(ISERROR(SEARCH(("PATH"),(S50))))</formula>
    </cfRule>
    <cfRule type="containsText" priority="2535" operator="containsText" dxfId="7" text="NEPHRO">
      <formula>NOT(ISERROR(SEARCH(("NEPHRO"),(S50))))</formula>
    </cfRule>
    <cfRule type="containsText" priority="2536" operator="containsText" dxfId="7" text="PULM">
      <formula>NOT(ISERROR(SEARCH(("PULM"),(S50))))</formula>
    </cfRule>
    <cfRule type="containsText" priority="2537" operator="containsText" dxfId="7" text="RADIOLOGY">
      <formula>NOT(ISERROR(SEARCH(("RADIOLOGY"),(S50))))</formula>
    </cfRule>
    <cfRule type="containsText" priority="2538" operator="containsText" dxfId="7" text="HEM/ONC">
      <formula>NOT(ISERROR(SEARCH(("HEM/ONC"),(S50))))</formula>
    </cfRule>
    <cfRule type="containsText" priority="2539" operator="containsText" dxfId="7" text="CARDIO">
      <formula>NOT(ISERROR(SEARCH(("CARDIO"),(S50))))</formula>
    </cfRule>
    <cfRule type="containsText" priority="2540" operator="containsText" dxfId="7" text="ID">
      <formula>NOT(ISERROR(SEARCH(("ID"),(S50))))</formula>
    </cfRule>
    <cfRule type="containsText" priority="2541" operator="containsText" dxfId="7" text="NEURO">
      <formula>NOT(ISERROR(SEARCH(("NEURO"),(S50))))</formula>
    </cfRule>
    <cfRule type="containsText" priority="2542" operator="containsText" dxfId="6" text="NEURO">
      <formula>NOT(ISERROR(SEARCH(("NEURO"),(S50))))</formula>
    </cfRule>
    <cfRule type="containsText" priority="2543" operator="containsText" dxfId="5" text="NEURO">
      <formula>NOT(ISERROR(SEARCH(("NEURO"),(S50))))</formula>
    </cfRule>
    <cfRule type="containsText" priority="2544" operator="containsText" dxfId="0" text="ICU N">
      <formula>NOT(ISERROR(SEARCH(("ICU N"),(S50))))</formula>
    </cfRule>
    <cfRule type="containsText" priority="2545" operator="containsText" dxfId="3" text="ICU">
      <formula>NOT(ISERROR(SEARCH(("ICU"),(S50))))</formula>
    </cfRule>
    <cfRule type="containsText" priority="2546" operator="containsText" dxfId="0" text="SWING">
      <formula>NOT(ISERROR(SEARCH(("SWING"),(S50))))</formula>
    </cfRule>
    <cfRule type="containsText" priority="2547" operator="containsText" dxfId="0" text="NF">
      <formula>NOT(ISERROR(SEARCH(("NF"),(S50))))</formula>
    </cfRule>
    <cfRule type="containsText" priority="2548" operator="containsText" dxfId="0" text="ICU N">
      <formula>NOT(ISERROR(SEARCH(("ICU N"),(S50))))</formula>
    </cfRule>
  </conditionalFormatting>
  <conditionalFormatting sqref="AV38">
    <cfRule type="containsText" priority="2514" operator="containsText" dxfId="17" text="VACATION">
      <formula>NOT(ISERROR(SEARCH(("VACATION"),(AV38))))</formula>
    </cfRule>
    <cfRule type="containsText" priority="2515" operator="containsText" dxfId="16" text="ED">
      <formula>NOT(ISERROR(SEARCH(("ED"),(AV38))))</formula>
    </cfRule>
    <cfRule type="containsText" priority="2516" operator="containsText" dxfId="15" text="GERIATRIC">
      <formula>NOT(ISERROR(SEARCH(("GERIATRIC"),(AV38))))</formula>
    </cfRule>
    <cfRule type="containsText" priority="2517" operator="containsText" dxfId="7" text="PATH">
      <formula>NOT(ISERROR(SEARCH(("PATH"),(AV38))))</formula>
    </cfRule>
    <cfRule type="containsText" priority="2518" operator="containsText" dxfId="7" text="NEPHRO">
      <formula>NOT(ISERROR(SEARCH(("NEPHRO"),(AV38))))</formula>
    </cfRule>
    <cfRule type="containsText" priority="2519" operator="containsText" dxfId="7" text="PULM">
      <formula>NOT(ISERROR(SEARCH(("PULM"),(AV38))))</formula>
    </cfRule>
    <cfRule type="containsText" priority="2520" operator="containsText" dxfId="7" text="RADIOLOGY">
      <formula>NOT(ISERROR(SEARCH(("RADIOLOGY"),(AV38))))</formula>
    </cfRule>
    <cfRule type="containsText" priority="2521" operator="containsText" dxfId="7" text="HEM/ONC">
      <formula>NOT(ISERROR(SEARCH(("HEM/ONC"),(AV38))))</formula>
    </cfRule>
    <cfRule type="containsText" priority="2522" operator="containsText" dxfId="7" text="CARDIO">
      <formula>NOT(ISERROR(SEARCH(("CARDIO"),(AV38))))</formula>
    </cfRule>
    <cfRule type="containsText" priority="2523" operator="containsText" dxfId="7" text="ID">
      <formula>NOT(ISERROR(SEARCH(("ID"),(AV38))))</formula>
    </cfRule>
    <cfRule type="containsText" priority="2524" operator="containsText" dxfId="7" text="NEURO">
      <formula>NOT(ISERROR(SEARCH(("NEURO"),(AV38))))</formula>
    </cfRule>
    <cfRule type="containsText" priority="2525" operator="containsText" dxfId="6" text="NEURO">
      <formula>NOT(ISERROR(SEARCH(("NEURO"),(AV38))))</formula>
    </cfRule>
    <cfRule type="containsText" priority="2526" operator="containsText" dxfId="5" text="NEURO">
      <formula>NOT(ISERROR(SEARCH(("NEURO"),(AV38))))</formula>
    </cfRule>
    <cfRule type="containsText" priority="2527" operator="containsText" dxfId="0" text="ICU N">
      <formula>NOT(ISERROR(SEARCH(("ICU N"),(AV38))))</formula>
    </cfRule>
    <cfRule type="containsText" priority="2528" operator="containsText" dxfId="3" text="ICU">
      <formula>NOT(ISERROR(SEARCH(("ICU"),(AV38))))</formula>
    </cfRule>
    <cfRule type="containsText" priority="2529" operator="containsText" dxfId="0" text="SWING">
      <formula>NOT(ISERROR(SEARCH(("SWING"),(AV38))))</formula>
    </cfRule>
    <cfRule type="containsText" priority="2530" operator="containsText" dxfId="0" text="NF">
      <formula>NOT(ISERROR(SEARCH(("NF"),(AV38))))</formula>
    </cfRule>
  </conditionalFormatting>
  <conditionalFormatting sqref="AW45:AX45">
    <cfRule type="containsText" priority="2424" operator="containsText" dxfId="7" text="PATH">
      <formula>NOT(ISERROR(SEARCH(("PATH"),(AW45))))</formula>
    </cfRule>
    <cfRule type="containsText" priority="2425" operator="containsText" dxfId="7" text="NEPHRO">
      <formula>NOT(ISERROR(SEARCH(("NEPHRO"),(AW45))))</formula>
    </cfRule>
    <cfRule type="containsText" priority="2426" operator="containsText" dxfId="7" text="PULM">
      <formula>NOT(ISERROR(SEARCH(("PULM"),(AW45))))</formula>
    </cfRule>
    <cfRule type="containsText" priority="2427" operator="containsText" dxfId="7" text="RADIOLOGY">
      <formula>NOT(ISERROR(SEARCH(("RADIOLOGY"),(AW45))))</formula>
    </cfRule>
    <cfRule type="containsText" priority="2428" operator="containsText" dxfId="7" text="HEM/ONC">
      <formula>NOT(ISERROR(SEARCH(("HEM/ONC"),(AW45))))</formula>
    </cfRule>
    <cfRule type="containsText" priority="2429" operator="containsText" dxfId="7" text="CARDIO">
      <formula>NOT(ISERROR(SEARCH(("CARDIO"),(AW45))))</formula>
    </cfRule>
    <cfRule type="containsText" priority="2430" operator="containsText" dxfId="7" text="ID">
      <formula>NOT(ISERROR(SEARCH(("ID"),(AW45))))</formula>
    </cfRule>
    <cfRule type="containsText" priority="2431" operator="containsText" dxfId="7" text="NEURO">
      <formula>NOT(ISERROR(SEARCH(("NEURO"),(AW45))))</formula>
    </cfRule>
    <cfRule type="containsText" priority="2432" operator="containsText" dxfId="6" text="NEURO">
      <formula>NOT(ISERROR(SEARCH(("NEURO"),(AW45))))</formula>
    </cfRule>
    <cfRule type="containsText" priority="2433" operator="containsText" dxfId="5" text="NEURO">
      <formula>NOT(ISERROR(SEARCH(("NEURO"),(AW45))))</formula>
    </cfRule>
    <cfRule type="containsText" priority="2434" operator="containsText" dxfId="0" text="ICU N">
      <formula>NOT(ISERROR(SEARCH(("ICU N"),(AW45))))</formula>
    </cfRule>
    <cfRule type="containsText" priority="2435" operator="containsText" dxfId="3" text="ICU">
      <formula>NOT(ISERROR(SEARCH(("ICU"),(AW45))))</formula>
    </cfRule>
    <cfRule type="containsText" priority="2436" operator="containsText" dxfId="0" text="SWING">
      <formula>NOT(ISERROR(SEARCH(("SWING"),(AW45))))</formula>
    </cfRule>
    <cfRule type="containsText" priority="2437" operator="containsText" dxfId="0" text="NF">
      <formula>NOT(ISERROR(SEARCH(("NF"),(AW45))))</formula>
    </cfRule>
    <cfRule type="containsText" priority="2438" operator="containsText" dxfId="0" text="ICU N">
      <formula>NOT(ISERROR(SEARCH(("ICU N"),(AW45))))</formula>
    </cfRule>
    <cfRule type="containsText" priority="2410" operator="containsText" dxfId="7" text="PATH">
      <formula>NOT(ISERROR(SEARCH(("PATH"),(AW45))))</formula>
    </cfRule>
    <cfRule type="containsText" priority="2411" operator="containsText" dxfId="7" text="NEPHRO">
      <formula>NOT(ISERROR(SEARCH(("NEPHRO"),(AW45))))</formula>
    </cfRule>
    <cfRule type="containsText" priority="2412" operator="containsText" dxfId="7" text="PULM">
      <formula>NOT(ISERROR(SEARCH(("PULM"),(AW45))))</formula>
    </cfRule>
    <cfRule type="containsText" priority="2413" operator="containsText" dxfId="7" text="RADIOLOGY">
      <formula>NOT(ISERROR(SEARCH(("RADIOLOGY"),(AW45))))</formula>
    </cfRule>
    <cfRule type="containsText" priority="2414" operator="containsText" dxfId="7" text="HEM/ONC">
      <formula>NOT(ISERROR(SEARCH(("HEM/ONC"),(AW45))))</formula>
    </cfRule>
    <cfRule type="containsText" priority="2415" operator="containsText" dxfId="7" text="CARDIO">
      <formula>NOT(ISERROR(SEARCH(("CARDIO"),(AW45))))</formula>
    </cfRule>
    <cfRule type="containsText" priority="2416" operator="containsText" dxfId="7" text="ID">
      <formula>NOT(ISERROR(SEARCH(("ID"),(AW45))))</formula>
    </cfRule>
    <cfRule type="containsText" priority="2417" operator="containsText" dxfId="7" text="NEURO">
      <formula>NOT(ISERROR(SEARCH(("NEURO"),(AW45))))</formula>
    </cfRule>
    <cfRule type="containsText" priority="2418" operator="containsText" dxfId="6" text="NEURO">
      <formula>NOT(ISERROR(SEARCH(("NEURO"),(AW45))))</formula>
    </cfRule>
    <cfRule type="containsText" priority="2419" operator="containsText" dxfId="5" text="NEURO">
      <formula>NOT(ISERROR(SEARCH(("NEURO"),(AW45))))</formula>
    </cfRule>
    <cfRule type="containsText" priority="2420" operator="containsText" dxfId="0" text="ICU N">
      <formula>NOT(ISERROR(SEARCH(("ICU N"),(AW45))))</formula>
    </cfRule>
    <cfRule type="containsText" priority="2421" operator="containsText" dxfId="3" text="ICU">
      <formula>NOT(ISERROR(SEARCH(("ICU"),(AW45))))</formula>
    </cfRule>
    <cfRule type="containsText" priority="2422" operator="containsText" dxfId="0" text="SWING">
      <formula>NOT(ISERROR(SEARCH(("SWING"),(AW45))))</formula>
    </cfRule>
    <cfRule type="containsText" priority="2423" operator="containsText" dxfId="0" text="NF">
      <formula>NOT(ISERROR(SEARCH(("NF"),(AW45))))</formula>
    </cfRule>
    <cfRule type="containsText" priority="2395" operator="containsText" dxfId="7" text="PATH">
      <formula>NOT(ISERROR(SEARCH(("PATH"),(AW45))))</formula>
    </cfRule>
    <cfRule type="containsText" priority="2396" operator="containsText" dxfId="7" text="NEPHRO">
      <formula>NOT(ISERROR(SEARCH(("NEPHRO"),(AW45))))</formula>
    </cfRule>
    <cfRule type="containsText" priority="2397" operator="containsText" dxfId="7" text="PULM">
      <formula>NOT(ISERROR(SEARCH(("PULM"),(AW45))))</formula>
    </cfRule>
    <cfRule type="containsText" priority="2398" operator="containsText" dxfId="7" text="RADIOLOGY">
      <formula>NOT(ISERROR(SEARCH(("RADIOLOGY"),(AW45))))</formula>
    </cfRule>
    <cfRule type="containsText" priority="2399" operator="containsText" dxfId="7" text="HEM/ONC">
      <formula>NOT(ISERROR(SEARCH(("HEM/ONC"),(AW45))))</formula>
    </cfRule>
    <cfRule type="containsText" priority="2400" operator="containsText" dxfId="7" text="CARDIO">
      <formula>NOT(ISERROR(SEARCH(("CARDIO"),(AW45))))</formula>
    </cfRule>
    <cfRule type="containsText" priority="2401" operator="containsText" dxfId="7" text="ID">
      <formula>NOT(ISERROR(SEARCH(("ID"),(AW45))))</formula>
    </cfRule>
    <cfRule type="containsText" priority="2402" operator="containsText" dxfId="7" text="NEURO">
      <formula>NOT(ISERROR(SEARCH(("NEURO"),(AW45))))</formula>
    </cfRule>
    <cfRule type="containsText" priority="2403" operator="containsText" dxfId="6" text="NEURO">
      <formula>NOT(ISERROR(SEARCH(("NEURO"),(AW45))))</formula>
    </cfRule>
    <cfRule type="containsText" priority="2404" operator="containsText" dxfId="5" text="NEURO">
      <formula>NOT(ISERROR(SEARCH(("NEURO"),(AW45))))</formula>
    </cfRule>
    <cfRule type="containsText" priority="2405" operator="containsText" dxfId="0" text="ICU N">
      <formula>NOT(ISERROR(SEARCH(("ICU N"),(AW45))))</formula>
    </cfRule>
    <cfRule type="containsText" priority="2406" operator="containsText" dxfId="3" text="ICU">
      <formula>NOT(ISERROR(SEARCH(("ICU"),(AW45))))</formula>
    </cfRule>
    <cfRule type="containsText" priority="2407" operator="containsText" dxfId="0" text="SWING">
      <formula>NOT(ISERROR(SEARCH(("SWING"),(AW45))))</formula>
    </cfRule>
    <cfRule type="containsText" priority="2408" operator="containsText" dxfId="0" text="NF">
      <formula>NOT(ISERROR(SEARCH(("NF"),(AW45))))</formula>
    </cfRule>
    <cfRule type="containsText" priority="2409" operator="containsText" dxfId="0" text="ICU N">
      <formula>NOT(ISERROR(SEARCH(("ICU N"),(AW45))))</formula>
    </cfRule>
    <cfRule type="containsText" priority="2381" operator="containsText" dxfId="7" text="PATH">
      <formula>NOT(ISERROR(SEARCH(("PATH"),(AW45))))</formula>
    </cfRule>
    <cfRule type="containsText" priority="2382" operator="containsText" dxfId="7" text="NEPHRO">
      <formula>NOT(ISERROR(SEARCH(("NEPHRO"),(AW45))))</formula>
    </cfRule>
    <cfRule type="containsText" priority="2383" operator="containsText" dxfId="7" text="PULM">
      <formula>NOT(ISERROR(SEARCH(("PULM"),(AW45))))</formula>
    </cfRule>
    <cfRule type="containsText" priority="2384" operator="containsText" dxfId="7" text="RADIOLOGY">
      <formula>NOT(ISERROR(SEARCH(("RADIOLOGY"),(AW45))))</formula>
    </cfRule>
    <cfRule type="containsText" priority="2385" operator="containsText" dxfId="7" text="HEM/ONC">
      <formula>NOT(ISERROR(SEARCH(("HEM/ONC"),(AW45))))</formula>
    </cfRule>
    <cfRule type="containsText" priority="2386" operator="containsText" dxfId="7" text="CARDIO">
      <formula>NOT(ISERROR(SEARCH(("CARDIO"),(AW45))))</formula>
    </cfRule>
    <cfRule type="containsText" priority="2387" operator="containsText" dxfId="7" text="ID">
      <formula>NOT(ISERROR(SEARCH(("ID"),(AW45))))</formula>
    </cfRule>
    <cfRule type="containsText" priority="2388" operator="containsText" dxfId="7" text="NEURO">
      <formula>NOT(ISERROR(SEARCH(("NEURO"),(AW45))))</formula>
    </cfRule>
    <cfRule type="containsText" priority="2389" operator="containsText" dxfId="6" text="NEURO">
      <formula>NOT(ISERROR(SEARCH(("NEURO"),(AW45))))</formula>
    </cfRule>
    <cfRule type="containsText" priority="2390" operator="containsText" dxfId="5" text="NEURO">
      <formula>NOT(ISERROR(SEARCH(("NEURO"),(AW45))))</formula>
    </cfRule>
    <cfRule type="containsText" priority="2391" operator="containsText" dxfId="0" text="ICU N">
      <formula>NOT(ISERROR(SEARCH(("ICU N"),(AW45))))</formula>
    </cfRule>
    <cfRule type="containsText" priority="2392" operator="containsText" dxfId="3" text="ICU">
      <formula>NOT(ISERROR(SEARCH(("ICU"),(AW45))))</formula>
    </cfRule>
    <cfRule type="containsText" priority="2393" operator="containsText" dxfId="0" text="SWING">
      <formula>NOT(ISERROR(SEARCH(("SWING"),(AW45))))</formula>
    </cfRule>
    <cfRule type="containsText" priority="2394" operator="containsText" dxfId="0" text="NF">
      <formula>NOT(ISERROR(SEARCH(("NF"),(AW45))))</formula>
    </cfRule>
    <cfRule type="containsText" priority="2364" operator="containsText" dxfId="17" text="VACATION">
      <formula>NOT(ISERROR(SEARCH(("VACATION"),(AW45))))</formula>
    </cfRule>
    <cfRule type="containsText" priority="2365" operator="containsText" dxfId="16" text="ED">
      <formula>NOT(ISERROR(SEARCH(("ED"),(AW45))))</formula>
    </cfRule>
    <cfRule type="containsText" priority="2366" operator="containsText" dxfId="15" text="GERIATRIC">
      <formula>NOT(ISERROR(SEARCH(("GERIATRIC"),(AW45))))</formula>
    </cfRule>
    <cfRule type="containsText" priority="2367" operator="containsText" dxfId="7" text="PATH">
      <formula>NOT(ISERROR(SEARCH(("PATH"),(AW45))))</formula>
    </cfRule>
    <cfRule type="containsText" priority="2368" operator="containsText" dxfId="7" text="NEPHRO">
      <formula>NOT(ISERROR(SEARCH(("NEPHRO"),(AW45))))</formula>
    </cfRule>
    <cfRule type="containsText" priority="2369" operator="containsText" dxfId="7" text="PULM">
      <formula>NOT(ISERROR(SEARCH(("PULM"),(AW45))))</formula>
    </cfRule>
    <cfRule type="containsText" priority="2370" operator="containsText" dxfId="7" text="RADIOLOGY">
      <formula>NOT(ISERROR(SEARCH(("RADIOLOGY"),(AW45))))</formula>
    </cfRule>
    <cfRule type="containsText" priority="2371" operator="containsText" dxfId="7" text="HEM/ONC">
      <formula>NOT(ISERROR(SEARCH(("HEM/ONC"),(AW45))))</formula>
    </cfRule>
    <cfRule type="containsText" priority="2372" operator="containsText" dxfId="7" text="CARDIO">
      <formula>NOT(ISERROR(SEARCH(("CARDIO"),(AW45))))</formula>
    </cfRule>
    <cfRule type="containsText" priority="2373" operator="containsText" dxfId="7" text="ID">
      <formula>NOT(ISERROR(SEARCH(("ID"),(AW45))))</formula>
    </cfRule>
    <cfRule type="containsText" priority="2374" operator="containsText" dxfId="7" text="NEURO">
      <formula>NOT(ISERROR(SEARCH(("NEURO"),(AW45))))</formula>
    </cfRule>
    <cfRule type="containsText" priority="2375" operator="containsText" dxfId="6" text="NEURO">
      <formula>NOT(ISERROR(SEARCH(("NEURO"),(AW45))))</formula>
    </cfRule>
    <cfRule type="containsText" priority="2376" operator="containsText" dxfId="5" text="NEURO">
      <formula>NOT(ISERROR(SEARCH(("NEURO"),(AW45))))</formula>
    </cfRule>
    <cfRule type="containsText" priority="2377" operator="containsText" dxfId="0" text="ICU N">
      <formula>NOT(ISERROR(SEARCH(("ICU N"),(AW45))))</formula>
    </cfRule>
    <cfRule type="containsText" priority="2378" operator="containsText" dxfId="3" text="ICU">
      <formula>NOT(ISERROR(SEARCH(("ICU"),(AW45))))</formula>
    </cfRule>
    <cfRule type="containsText" priority="2379" operator="containsText" dxfId="0" text="SWING">
      <formula>NOT(ISERROR(SEARCH(("SWING"),(AW45))))</formula>
    </cfRule>
    <cfRule type="containsText" priority="2380" operator="containsText" dxfId="0" text="NF">
      <formula>NOT(ISERROR(SEARCH(("NF"),(AW45))))</formula>
    </cfRule>
  </conditionalFormatting>
  <conditionalFormatting sqref="AU8:AV8">
    <cfRule type="containsText" priority="2347" operator="containsText" dxfId="17" text="VACATION">
      <formula>NOT(ISERROR(SEARCH(("VACATION"),(AU8))))</formula>
    </cfRule>
    <cfRule type="containsText" priority="2348" operator="containsText" dxfId="16" text="ED">
      <formula>NOT(ISERROR(SEARCH(("ED"),(AU8))))</formula>
    </cfRule>
    <cfRule type="containsText" priority="2349" operator="containsText" dxfId="15" text="GERIATRIC">
      <formula>NOT(ISERROR(SEARCH(("GERIATRIC"),(AU8))))</formula>
    </cfRule>
    <cfRule type="containsText" priority="2350" operator="containsText" dxfId="7" text="PATH">
      <formula>NOT(ISERROR(SEARCH(("PATH"),(AU8))))</formula>
    </cfRule>
    <cfRule type="containsText" priority="2351" operator="containsText" dxfId="7" text="NEPHRO">
      <formula>NOT(ISERROR(SEARCH(("NEPHRO"),(AU8))))</formula>
    </cfRule>
    <cfRule type="containsText" priority="2352" operator="containsText" dxfId="7" text="PULM">
      <formula>NOT(ISERROR(SEARCH(("PULM"),(AU8))))</formula>
    </cfRule>
    <cfRule type="containsText" priority="2353" operator="containsText" dxfId="7" text="RADIOLOGY">
      <formula>NOT(ISERROR(SEARCH(("RADIOLOGY"),(AU8))))</formula>
    </cfRule>
    <cfRule type="containsText" priority="2354" operator="containsText" dxfId="7" text="HEM/ONC">
      <formula>NOT(ISERROR(SEARCH(("HEM/ONC"),(AU8))))</formula>
    </cfRule>
    <cfRule type="containsText" priority="2355" operator="containsText" dxfId="7" text="CARDIO">
      <formula>NOT(ISERROR(SEARCH(("CARDIO"),(AU8))))</formula>
    </cfRule>
    <cfRule type="containsText" priority="2356" operator="containsText" dxfId="7" text="ID">
      <formula>NOT(ISERROR(SEARCH(("ID"),(AU8))))</formula>
    </cfRule>
    <cfRule type="containsText" priority="2357" operator="containsText" dxfId="7" text="NEURO">
      <formula>NOT(ISERROR(SEARCH(("NEURO"),(AU8))))</formula>
    </cfRule>
    <cfRule type="containsText" priority="2358" operator="containsText" dxfId="6" text="NEURO">
      <formula>NOT(ISERROR(SEARCH(("NEURO"),(AU8))))</formula>
    </cfRule>
    <cfRule type="containsText" priority="2359" operator="containsText" dxfId="5" text="NEURO">
      <formula>NOT(ISERROR(SEARCH(("NEURO"),(AU8))))</formula>
    </cfRule>
    <cfRule type="containsText" priority="2360" operator="containsText" dxfId="0" text="ICU N">
      <formula>NOT(ISERROR(SEARCH(("ICU N"),(AU8))))</formula>
    </cfRule>
    <cfRule type="containsText" priority="2361" operator="containsText" dxfId="3" text="ICU">
      <formula>NOT(ISERROR(SEARCH(("ICU"),(AU8))))</formula>
    </cfRule>
    <cfRule type="containsText" priority="2362" operator="containsText" dxfId="0" text="SWING">
      <formula>NOT(ISERROR(SEARCH(("SWING"),(AU8))))</formula>
    </cfRule>
    <cfRule type="containsText" priority="2363" operator="containsText" dxfId="0" text="NF">
      <formula>NOT(ISERROR(SEARCH(("NF"),(AU8))))</formula>
    </cfRule>
  </conditionalFormatting>
  <conditionalFormatting sqref="AW8:AX8">
    <cfRule type="containsText" priority="2329" operator="containsText" dxfId="17" text="VACATION">
      <formula>NOT(ISERROR(SEARCH(("VACATION"),(AW8))))</formula>
    </cfRule>
    <cfRule type="containsText" priority="2330" operator="containsText" dxfId="16" text="ED">
      <formula>NOT(ISERROR(SEARCH(("ED"),(AW8))))</formula>
    </cfRule>
    <cfRule type="containsText" priority="2331" operator="containsText" dxfId="15" text="GERIATRIC">
      <formula>NOT(ISERROR(SEARCH(("GERIATRIC"),(AW8))))</formula>
    </cfRule>
    <cfRule type="containsText" priority="2332" operator="containsText" dxfId="7" text="PATH">
      <formula>NOT(ISERROR(SEARCH(("PATH"),(AW8))))</formula>
    </cfRule>
    <cfRule type="containsText" priority="2333" operator="containsText" dxfId="7" text="NEPHRO">
      <formula>NOT(ISERROR(SEARCH(("NEPHRO"),(AW8))))</formula>
    </cfRule>
    <cfRule type="containsText" priority="2334" operator="containsText" dxfId="7" text="PULM">
      <formula>NOT(ISERROR(SEARCH(("PULM"),(AW8))))</formula>
    </cfRule>
    <cfRule type="containsText" priority="2335" operator="containsText" dxfId="7" text="RADIOLOGY">
      <formula>NOT(ISERROR(SEARCH(("RADIOLOGY"),(AW8))))</formula>
    </cfRule>
    <cfRule type="containsText" priority="2336" operator="containsText" dxfId="7" text="HEM/ONC">
      <formula>NOT(ISERROR(SEARCH(("HEM/ONC"),(AW8))))</formula>
    </cfRule>
    <cfRule type="containsText" priority="2337" operator="containsText" dxfId="7" text="CARDIO">
      <formula>NOT(ISERROR(SEARCH(("CARDIO"),(AW8))))</formula>
    </cfRule>
    <cfRule type="containsText" priority="2338" operator="containsText" dxfId="7" text="ID">
      <formula>NOT(ISERROR(SEARCH(("ID"),(AW8))))</formula>
    </cfRule>
    <cfRule type="containsText" priority="2339" operator="containsText" dxfId="7" text="NEURO">
      <formula>NOT(ISERROR(SEARCH(("NEURO"),(AW8))))</formula>
    </cfRule>
    <cfRule type="containsText" priority="2340" operator="containsText" dxfId="6" text="NEURO">
      <formula>NOT(ISERROR(SEARCH(("NEURO"),(AW8))))</formula>
    </cfRule>
    <cfRule type="containsText" priority="2341" operator="containsText" dxfId="5" text="NEURO">
      <formula>NOT(ISERROR(SEARCH(("NEURO"),(AW8))))</formula>
    </cfRule>
    <cfRule type="containsText" priority="2342" operator="containsText" dxfId="0" text="ICU N">
      <formula>NOT(ISERROR(SEARCH(("ICU N"),(AW8))))</formula>
    </cfRule>
    <cfRule type="containsText" priority="2343" operator="containsText" dxfId="3" text="ICU">
      <formula>NOT(ISERROR(SEARCH(("ICU"),(AW8))))</formula>
    </cfRule>
    <cfRule type="containsText" priority="2344" operator="containsText" dxfId="0" text="SWING">
      <formula>NOT(ISERROR(SEARCH(("SWING"),(AW8))))</formula>
    </cfRule>
    <cfRule type="containsText" priority="2345" operator="containsText" dxfId="0" text="NF">
      <formula>NOT(ISERROR(SEARCH(("NF"),(AW8))))</formula>
    </cfRule>
    <cfRule type="containsText" priority="2346" operator="containsText" dxfId="0" text="ICU N">
      <formula>NOT(ISERROR(SEARCH(("ICU N"),(AW8))))</formula>
    </cfRule>
    <cfRule type="containsText" priority="2328" operator="containsText" dxfId="0" text="ICU N">
      <formula>NOT(ISERROR(SEARCH(("ICU N"),(AW8))))</formula>
    </cfRule>
  </conditionalFormatting>
  <conditionalFormatting sqref="AY37">
    <cfRule type="containsText" priority="2311" operator="containsText" dxfId="17" text="VACATION">
      <formula>NOT(ISERROR(SEARCH(("VACATION"),(AY37))))</formula>
    </cfRule>
    <cfRule type="containsText" priority="2312" operator="containsText" dxfId="16" text="ED">
      <formula>NOT(ISERROR(SEARCH(("ED"),(AY37))))</formula>
    </cfRule>
    <cfRule type="containsText" priority="2313" operator="containsText" dxfId="15" text="GERIATRIC">
      <formula>NOT(ISERROR(SEARCH(("GERIATRIC"),(AY37))))</formula>
    </cfRule>
    <cfRule type="containsText" priority="2314" operator="containsText" dxfId="7" text="PATH">
      <formula>NOT(ISERROR(SEARCH(("PATH"),(AY37))))</formula>
    </cfRule>
    <cfRule type="containsText" priority="2315" operator="containsText" dxfId="7" text="NEPHRO">
      <formula>NOT(ISERROR(SEARCH(("NEPHRO"),(AY37))))</formula>
    </cfRule>
    <cfRule type="containsText" priority="2316" operator="containsText" dxfId="7" text="PULM">
      <formula>NOT(ISERROR(SEARCH(("PULM"),(AY37))))</formula>
    </cfRule>
    <cfRule type="containsText" priority="2317" operator="containsText" dxfId="7" text="RADIOLOGY">
      <formula>NOT(ISERROR(SEARCH(("RADIOLOGY"),(AY37))))</formula>
    </cfRule>
    <cfRule type="containsText" priority="2318" operator="containsText" dxfId="7" text="HEM/ONC">
      <formula>NOT(ISERROR(SEARCH(("HEM/ONC"),(AY37))))</formula>
    </cfRule>
    <cfRule type="containsText" priority="2319" operator="containsText" dxfId="7" text="CARDIO">
      <formula>NOT(ISERROR(SEARCH(("CARDIO"),(AY37))))</formula>
    </cfRule>
    <cfRule type="containsText" priority="2320" operator="containsText" dxfId="7" text="ID">
      <formula>NOT(ISERROR(SEARCH(("ID"),(AY37))))</formula>
    </cfRule>
    <cfRule type="containsText" priority="2321" operator="containsText" dxfId="7" text="NEURO">
      <formula>NOT(ISERROR(SEARCH(("NEURO"),(AY37))))</formula>
    </cfRule>
    <cfRule type="containsText" priority="2322" operator="containsText" dxfId="6" text="NEURO">
      <formula>NOT(ISERROR(SEARCH(("NEURO"),(AY37))))</formula>
    </cfRule>
    <cfRule type="containsText" priority="2323" operator="containsText" dxfId="5" text="NEURO">
      <formula>NOT(ISERROR(SEARCH(("NEURO"),(AY37))))</formula>
    </cfRule>
    <cfRule type="containsText" priority="2324" operator="containsText" dxfId="0" text="ICU N">
      <formula>NOT(ISERROR(SEARCH(("ICU N"),(AY37))))</formula>
    </cfRule>
    <cfRule type="containsText" priority="2325" operator="containsText" dxfId="3" text="ICU">
      <formula>NOT(ISERROR(SEARCH(("ICU"),(AY37))))</formula>
    </cfRule>
    <cfRule type="containsText" priority="2326" operator="containsText" dxfId="0" text="SWING">
      <formula>NOT(ISERROR(SEARCH(("SWING"),(AY37))))</formula>
    </cfRule>
    <cfRule type="containsText" priority="2327" operator="containsText" dxfId="0" text="NF">
      <formula>NOT(ISERROR(SEARCH(("NF"),(AY37))))</formula>
    </cfRule>
  </conditionalFormatting>
  <conditionalFormatting sqref="AN37">
    <cfRule type="containsText" priority="2310" operator="containsText" dxfId="0" text="ICU N">
      <formula>NOT(ISERROR(SEARCH(("ICU N"),(AN37))))</formula>
    </cfRule>
  </conditionalFormatting>
  <conditionalFormatting sqref="O34">
    <cfRule type="containsText" priority="2308" operator="containsText" dxfId="17" text="VACATION">
      <formula>NOT(ISERROR(SEARCH(("VACATION"),(O34))))</formula>
    </cfRule>
    <cfRule type="containsText" priority="2309" operator="containsText" dxfId="0" text="ICU N">
      <formula>NOT(ISERROR(SEARCH(("ICU N"),(O34))))</formula>
    </cfRule>
  </conditionalFormatting>
  <conditionalFormatting sqref="P34">
    <cfRule type="containsText" priority="2306" operator="containsText" dxfId="17" text="VACATION">
      <formula>NOT(ISERROR(SEARCH(("VACATION"),(P34))))</formula>
    </cfRule>
    <cfRule type="containsText" priority="2307" operator="containsText" dxfId="0" text="ICU N">
      <formula>NOT(ISERROR(SEARCH(("ICU N"),(P34))))</formula>
    </cfRule>
  </conditionalFormatting>
  <conditionalFormatting sqref="W25">
    <cfRule type="containsText" priority="2288" operator="containsText" dxfId="16" text="ED">
      <formula>NOT(ISERROR(SEARCH(("ED"),(W25))))</formula>
    </cfRule>
    <cfRule type="containsText" priority="2289" operator="containsText" dxfId="15" text="GERIATRIC">
      <formula>NOT(ISERROR(SEARCH(("GERIATRIC"),(W25))))</formula>
    </cfRule>
    <cfRule type="containsText" priority="2290" operator="containsText" dxfId="17" text="VACATION">
      <formula>NOT(ISERROR(SEARCH(("VACATION"),(W25))))</formula>
    </cfRule>
    <cfRule type="containsText" priority="2291" operator="containsText" dxfId="7" text="PATH">
      <formula>NOT(ISERROR(SEARCH(("PATH"),(W25))))</formula>
    </cfRule>
    <cfRule type="containsText" priority="2292" operator="containsText" dxfId="7" text="NEPHRO">
      <formula>NOT(ISERROR(SEARCH(("NEPHRO"),(W25))))</formula>
    </cfRule>
    <cfRule type="containsText" priority="2293" operator="containsText" dxfId="7" text="PULM">
      <formula>NOT(ISERROR(SEARCH(("PULM"),(W25))))</formula>
    </cfRule>
    <cfRule type="containsText" priority="2294" operator="containsText" dxfId="7" text="RADIOLOGY">
      <formula>NOT(ISERROR(SEARCH(("RADIOLOGY"),(W25))))</formula>
    </cfRule>
    <cfRule type="containsText" priority="2295" operator="containsText" dxfId="7" text="HEM/ONC">
      <formula>NOT(ISERROR(SEARCH(("HEM/ONC"),(W25))))</formula>
    </cfRule>
    <cfRule type="containsText" priority="2296" operator="containsText" dxfId="7" text="CARDIO">
      <formula>NOT(ISERROR(SEARCH(("CARDIO"),(W25))))</formula>
    </cfRule>
    <cfRule type="containsText" priority="2297" operator="containsText" dxfId="7" text="ID">
      <formula>NOT(ISERROR(SEARCH(("ID"),(W25))))</formula>
    </cfRule>
    <cfRule type="containsText" priority="2298" operator="containsText" dxfId="7" text="NEURO">
      <formula>NOT(ISERROR(SEARCH(("NEURO"),(W25))))</formula>
    </cfRule>
    <cfRule type="containsText" priority="2299" operator="containsText" dxfId="6" text="NEURO">
      <formula>NOT(ISERROR(SEARCH(("NEURO"),(W25))))</formula>
    </cfRule>
    <cfRule type="containsText" priority="2300" operator="containsText" dxfId="5" text="NEURO">
      <formula>NOT(ISERROR(SEARCH(("NEURO"),(W25))))</formula>
    </cfRule>
    <cfRule type="containsText" priority="2301" operator="containsText" dxfId="0" text="ICU N">
      <formula>NOT(ISERROR(SEARCH(("ICU N"),(W25))))</formula>
    </cfRule>
    <cfRule type="containsText" priority="2302" operator="containsText" dxfId="3" text="ICU">
      <formula>NOT(ISERROR(SEARCH(("ICU"),(W25))))</formula>
    </cfRule>
    <cfRule type="containsText" priority="2303" operator="containsText" dxfId="0" text="SWING">
      <formula>NOT(ISERROR(SEARCH(("SWING"),(W25))))</formula>
    </cfRule>
    <cfRule type="containsText" priority="2304" operator="containsText" dxfId="0" text="NF">
      <formula>NOT(ISERROR(SEARCH(("NF"),(W25))))</formula>
    </cfRule>
    <cfRule type="containsText" priority="2305" operator="containsText" dxfId="0" text="ICU N">
      <formula>NOT(ISERROR(SEARCH(("ICU N"),(W25))))</formula>
    </cfRule>
  </conditionalFormatting>
  <conditionalFormatting sqref="G27">
    <cfRule type="containsText" priority="2234" operator="containsText" dxfId="16" text="ED">
      <formula>NOT(ISERROR(SEARCH(("ED"),(G27))))</formula>
    </cfRule>
    <cfRule type="containsText" priority="2235" operator="containsText" dxfId="15" text="GERIATRIC">
      <formula>NOT(ISERROR(SEARCH(("GERIATRIC"),(G27))))</formula>
    </cfRule>
    <cfRule type="containsText" priority="2236" operator="containsText" dxfId="17" text="VACATION">
      <formula>NOT(ISERROR(SEARCH(("VACATION"),(G27))))</formula>
    </cfRule>
    <cfRule type="containsText" priority="2237" operator="containsText" dxfId="7" text="PATH">
      <formula>NOT(ISERROR(SEARCH(("PATH"),(G27))))</formula>
    </cfRule>
    <cfRule type="containsText" priority="2238" operator="containsText" dxfId="7" text="NEPHRO">
      <formula>NOT(ISERROR(SEARCH(("NEPHRO"),(G27))))</formula>
    </cfRule>
    <cfRule type="containsText" priority="2239" operator="containsText" dxfId="7" text="PULM">
      <formula>NOT(ISERROR(SEARCH(("PULM"),(G27))))</formula>
    </cfRule>
    <cfRule type="containsText" priority="2240" operator="containsText" dxfId="7" text="RADIOLOGY">
      <formula>NOT(ISERROR(SEARCH(("RADIOLOGY"),(G27))))</formula>
    </cfRule>
    <cfRule type="containsText" priority="2241" operator="containsText" dxfId="7" text="HEM/ONC">
      <formula>NOT(ISERROR(SEARCH(("HEM/ONC"),(G27))))</formula>
    </cfRule>
    <cfRule type="containsText" priority="2242" operator="containsText" dxfId="7" text="CARDIO">
      <formula>NOT(ISERROR(SEARCH(("CARDIO"),(G27))))</formula>
    </cfRule>
    <cfRule type="containsText" priority="2243" operator="containsText" dxfId="7" text="ID">
      <formula>NOT(ISERROR(SEARCH(("ID"),(G27))))</formula>
    </cfRule>
    <cfRule type="containsText" priority="2244" operator="containsText" dxfId="7" text="NEURO">
      <formula>NOT(ISERROR(SEARCH(("NEURO"),(G27))))</formula>
    </cfRule>
    <cfRule type="containsText" priority="2245" operator="containsText" dxfId="6" text="NEURO">
      <formula>NOT(ISERROR(SEARCH(("NEURO"),(G27))))</formula>
    </cfRule>
    <cfRule type="containsText" priority="2246" operator="containsText" dxfId="5" text="NEURO">
      <formula>NOT(ISERROR(SEARCH(("NEURO"),(G27))))</formula>
    </cfRule>
    <cfRule type="containsText" priority="2247" operator="containsText" dxfId="0" text="ICU N">
      <formula>NOT(ISERROR(SEARCH(("ICU N"),(G27))))</formula>
    </cfRule>
    <cfRule type="containsText" priority="2248" operator="containsText" dxfId="3" text="ICU">
      <formula>NOT(ISERROR(SEARCH(("ICU"),(G27))))</formula>
    </cfRule>
    <cfRule type="containsText" priority="2249" operator="containsText" dxfId="0" text="SWING">
      <formula>NOT(ISERROR(SEARCH(("SWING"),(G27))))</formula>
    </cfRule>
    <cfRule type="containsText" priority="2250" operator="containsText" dxfId="0" text="NF">
      <formula>NOT(ISERROR(SEARCH(("NF"),(G27))))</formula>
    </cfRule>
    <cfRule type="containsText" priority="2251" operator="containsText" dxfId="0" text="ICU N">
      <formula>NOT(ISERROR(SEARCH(("ICU N"),(G27))))</formula>
    </cfRule>
  </conditionalFormatting>
  <conditionalFormatting sqref="I56">
    <cfRule type="containsText" priority="2217" operator="containsText" dxfId="17" text="VACATION">
      <formula>NOT(ISERROR(SEARCH(("VACATION"),(I56))))</formula>
    </cfRule>
    <cfRule type="containsText" priority="2218" operator="containsText" dxfId="16" text="ED">
      <formula>NOT(ISERROR(SEARCH(("ED"),(I56))))</formula>
    </cfRule>
    <cfRule type="containsText" priority="2219" operator="containsText" dxfId="15" text="GERIATRIC">
      <formula>NOT(ISERROR(SEARCH(("GERIATRIC"),(I56))))</formula>
    </cfRule>
    <cfRule type="containsText" priority="2220" operator="containsText" dxfId="7" text="PATH">
      <formula>NOT(ISERROR(SEARCH(("PATH"),(I56))))</formula>
    </cfRule>
    <cfRule type="containsText" priority="2221" operator="containsText" dxfId="7" text="NEPHRO">
      <formula>NOT(ISERROR(SEARCH(("NEPHRO"),(I56))))</formula>
    </cfRule>
    <cfRule type="containsText" priority="2222" operator="containsText" dxfId="7" text="PULM">
      <formula>NOT(ISERROR(SEARCH(("PULM"),(I56))))</formula>
    </cfRule>
    <cfRule type="containsText" priority="2223" operator="containsText" dxfId="7" text="RADIOLOGY">
      <formula>NOT(ISERROR(SEARCH(("RADIOLOGY"),(I56))))</formula>
    </cfRule>
    <cfRule type="containsText" priority="2224" operator="containsText" dxfId="7" text="HEM/ONC">
      <formula>NOT(ISERROR(SEARCH(("HEM/ONC"),(I56))))</formula>
    </cfRule>
    <cfRule type="containsText" priority="2225" operator="containsText" dxfId="7" text="CARDIO">
      <formula>NOT(ISERROR(SEARCH(("CARDIO"),(I56))))</formula>
    </cfRule>
    <cfRule type="containsText" priority="2226" operator="containsText" dxfId="7" text="ID">
      <formula>NOT(ISERROR(SEARCH(("ID"),(I56))))</formula>
    </cfRule>
    <cfRule type="containsText" priority="2227" operator="containsText" dxfId="7" text="NEURO">
      <formula>NOT(ISERROR(SEARCH(("NEURO"),(I56))))</formula>
    </cfRule>
    <cfRule type="containsText" priority="2228" operator="containsText" dxfId="6" text="NEURO">
      <formula>NOT(ISERROR(SEARCH(("NEURO"),(I56))))</formula>
    </cfRule>
    <cfRule type="containsText" priority="2229" operator="containsText" dxfId="5" text="NEURO">
      <formula>NOT(ISERROR(SEARCH(("NEURO"),(I56))))</formula>
    </cfRule>
    <cfRule type="containsText" priority="2230" operator="containsText" dxfId="0" text="ICU N">
      <formula>NOT(ISERROR(SEARCH(("ICU N"),(I56))))</formula>
    </cfRule>
    <cfRule type="containsText" priority="2231" operator="containsText" dxfId="3" text="ICU">
      <formula>NOT(ISERROR(SEARCH(("ICU"),(I56))))</formula>
    </cfRule>
    <cfRule type="containsText" priority="2232" operator="containsText" dxfId="0" text="SWING">
      <formula>NOT(ISERROR(SEARCH(("SWING"),(I56))))</formula>
    </cfRule>
    <cfRule type="containsText" priority="2233" operator="containsText" dxfId="0" text="NF">
      <formula>NOT(ISERROR(SEARCH(("NF"),(I56))))</formula>
    </cfRule>
    <cfRule type="containsText" priority="2199" operator="containsText" dxfId="16" text="ED">
      <formula>NOT(ISERROR(SEARCH(("ED"),(I56))))</formula>
    </cfRule>
    <cfRule type="containsText" priority="2200" operator="containsText" dxfId="15" text="GERIATRIC">
      <formula>NOT(ISERROR(SEARCH(("GERIATRIC"),(I56))))</formula>
    </cfRule>
    <cfRule type="containsText" priority="2201" operator="containsText" dxfId="17" text="VACATION">
      <formula>NOT(ISERROR(SEARCH(("VACATION"),(I56))))</formula>
    </cfRule>
    <cfRule type="containsText" priority="2202" operator="containsText" dxfId="7" text="PATH">
      <formula>NOT(ISERROR(SEARCH(("PATH"),(I56))))</formula>
    </cfRule>
    <cfRule type="containsText" priority="2203" operator="containsText" dxfId="7" text="NEPHRO">
      <formula>NOT(ISERROR(SEARCH(("NEPHRO"),(I56))))</formula>
    </cfRule>
    <cfRule type="containsText" priority="2204" operator="containsText" dxfId="7" text="PULM">
      <formula>NOT(ISERROR(SEARCH(("PULM"),(I56))))</formula>
    </cfRule>
    <cfRule type="containsText" priority="2205" operator="containsText" dxfId="7" text="RADIOLOGY">
      <formula>NOT(ISERROR(SEARCH(("RADIOLOGY"),(I56))))</formula>
    </cfRule>
    <cfRule type="containsText" priority="2206" operator="containsText" dxfId="7" text="HEM/ONC">
      <formula>NOT(ISERROR(SEARCH(("HEM/ONC"),(I56))))</formula>
    </cfRule>
    <cfRule type="containsText" priority="2207" operator="containsText" dxfId="7" text="CARDIO">
      <formula>NOT(ISERROR(SEARCH(("CARDIO"),(I56))))</formula>
    </cfRule>
    <cfRule type="containsText" priority="2208" operator="containsText" dxfId="7" text="ID">
      <formula>NOT(ISERROR(SEARCH(("ID"),(I56))))</formula>
    </cfRule>
    <cfRule type="containsText" priority="2209" operator="containsText" dxfId="7" text="NEURO">
      <formula>NOT(ISERROR(SEARCH(("NEURO"),(I56))))</formula>
    </cfRule>
    <cfRule type="containsText" priority="2210" operator="containsText" dxfId="6" text="NEURO">
      <formula>NOT(ISERROR(SEARCH(("NEURO"),(I56))))</formula>
    </cfRule>
    <cfRule type="containsText" priority="2211" operator="containsText" dxfId="5" text="NEURO">
      <formula>NOT(ISERROR(SEARCH(("NEURO"),(I56))))</formula>
    </cfRule>
    <cfRule type="containsText" priority="2212" operator="containsText" dxfId="0" text="ICU N">
      <formula>NOT(ISERROR(SEARCH(("ICU N"),(I56))))</formula>
    </cfRule>
    <cfRule type="containsText" priority="2213" operator="containsText" dxfId="3" text="ICU">
      <formula>NOT(ISERROR(SEARCH(("ICU"),(I56))))</formula>
    </cfRule>
    <cfRule type="containsText" priority="2214" operator="containsText" dxfId="0" text="SWING">
      <formula>NOT(ISERROR(SEARCH(("SWING"),(I56))))</formula>
    </cfRule>
    <cfRule type="containsText" priority="2215" operator="containsText" dxfId="0" text="NF">
      <formula>NOT(ISERROR(SEARCH(("NF"),(I56))))</formula>
    </cfRule>
    <cfRule type="containsText" priority="2216" operator="containsText" dxfId="0" text="ICU N">
      <formula>NOT(ISERROR(SEARCH(("ICU N"),(I56))))</formula>
    </cfRule>
  </conditionalFormatting>
  <conditionalFormatting sqref="I51">
    <cfRule type="containsText" priority="2163" operator="containsText" dxfId="16" text="ED">
      <formula>NOT(ISERROR(SEARCH(("ED"),(I51))))</formula>
    </cfRule>
    <cfRule type="containsText" priority="2164" operator="containsText" dxfId="15" text="GERIATRIC">
      <formula>NOT(ISERROR(SEARCH(("GERIATRIC"),(I51))))</formula>
    </cfRule>
    <cfRule type="containsText" priority="2165" operator="containsText" dxfId="17" text="VACATION">
      <formula>NOT(ISERROR(SEARCH(("VACATION"),(I51))))</formula>
    </cfRule>
    <cfRule type="containsText" priority="2166" operator="containsText" dxfId="7" text="PATH">
      <formula>NOT(ISERROR(SEARCH(("PATH"),(I51))))</formula>
    </cfRule>
    <cfRule type="containsText" priority="2167" operator="containsText" dxfId="7" text="NEPHRO">
      <formula>NOT(ISERROR(SEARCH(("NEPHRO"),(I51))))</formula>
    </cfRule>
    <cfRule type="containsText" priority="2168" operator="containsText" dxfId="7" text="PULM">
      <formula>NOT(ISERROR(SEARCH(("PULM"),(I51))))</formula>
    </cfRule>
    <cfRule type="containsText" priority="2169" operator="containsText" dxfId="7" text="RADIOLOGY">
      <formula>NOT(ISERROR(SEARCH(("RADIOLOGY"),(I51))))</formula>
    </cfRule>
    <cfRule type="containsText" priority="2170" operator="containsText" dxfId="7" text="HEM/ONC">
      <formula>NOT(ISERROR(SEARCH(("HEM/ONC"),(I51))))</formula>
    </cfRule>
    <cfRule type="containsText" priority="2171" operator="containsText" dxfId="7" text="CARDIO">
      <formula>NOT(ISERROR(SEARCH(("CARDIO"),(I51))))</formula>
    </cfRule>
    <cfRule type="containsText" priority="2172" operator="containsText" dxfId="7" text="ID">
      <formula>NOT(ISERROR(SEARCH(("ID"),(I51))))</formula>
    </cfRule>
    <cfRule type="containsText" priority="2173" operator="containsText" dxfId="7" text="NEURO">
      <formula>NOT(ISERROR(SEARCH(("NEURO"),(I51))))</formula>
    </cfRule>
    <cfRule type="containsText" priority="2174" operator="containsText" dxfId="6" text="NEURO">
      <formula>NOT(ISERROR(SEARCH(("NEURO"),(I51))))</formula>
    </cfRule>
    <cfRule type="containsText" priority="2175" operator="containsText" dxfId="5" text="NEURO">
      <formula>NOT(ISERROR(SEARCH(("NEURO"),(I51))))</formula>
    </cfRule>
    <cfRule type="containsText" priority="2176" operator="containsText" dxfId="0" text="ICU N">
      <formula>NOT(ISERROR(SEARCH(("ICU N"),(I51))))</formula>
    </cfRule>
    <cfRule type="containsText" priority="2177" operator="containsText" dxfId="3" text="ICU">
      <formula>NOT(ISERROR(SEARCH(("ICU"),(I51))))</formula>
    </cfRule>
    <cfRule type="containsText" priority="2178" operator="containsText" dxfId="0" text="SWING">
      <formula>NOT(ISERROR(SEARCH(("SWING"),(I51))))</formula>
    </cfRule>
    <cfRule type="containsText" priority="2179" operator="containsText" dxfId="0" text="NF">
      <formula>NOT(ISERROR(SEARCH(("NF"),(I51))))</formula>
    </cfRule>
    <cfRule type="containsText" priority="2180" operator="containsText" dxfId="0" text="ICU N">
      <formula>NOT(ISERROR(SEARCH(("ICU N"),(I51))))</formula>
    </cfRule>
  </conditionalFormatting>
  <conditionalFormatting sqref="D48:G48 I48:L48 N48:Q48 S48:V48 X48:AC48 AE48:AH48 AJ48:BC48">
    <cfRule type="containsText" priority="2041" operator="containsText" dxfId="17" text="VACATION">
      <formula>NOT(ISERROR(SEARCH(("VACATION"),(D48))))</formula>
    </cfRule>
  </conditionalFormatting>
  <conditionalFormatting sqref="D48:BC48">
    <cfRule type="containsText" priority="2042" operator="containsText" dxfId="16" text="ED">
      <formula>NOT(ISERROR(SEARCH(("ED"),(D48))))</formula>
    </cfRule>
    <cfRule type="containsText" priority="2043" operator="containsText" dxfId="15" text="GERIATRIC">
      <formula>NOT(ISERROR(SEARCH(("GERIATRIC"),(D48))))</formula>
    </cfRule>
    <cfRule type="containsText" priority="2045" operator="containsText" dxfId="7" text="PATH">
      <formula>NOT(ISERROR(SEARCH(("PATH"),(D48))))</formula>
    </cfRule>
    <cfRule type="containsText" priority="2046" operator="containsText" dxfId="7" text="NEPHRO">
      <formula>NOT(ISERROR(SEARCH(("NEPHRO"),(D48))))</formula>
    </cfRule>
    <cfRule type="containsText" priority="2047" operator="containsText" dxfId="7" text="PULM">
      <formula>NOT(ISERROR(SEARCH(("PULM"),(D48))))</formula>
    </cfRule>
    <cfRule type="containsText" priority="2048" operator="containsText" dxfId="7" text="RADIOLOGY">
      <formula>NOT(ISERROR(SEARCH(("RADIOLOGY"),(D48))))</formula>
    </cfRule>
    <cfRule type="containsText" priority="2049" operator="containsText" dxfId="7" text="HEM/ONC">
      <formula>NOT(ISERROR(SEARCH(("HEM/ONC"),(D48))))</formula>
    </cfRule>
    <cfRule type="containsText" priority="2050" operator="containsText" dxfId="7" text="CARDIO">
      <formula>NOT(ISERROR(SEARCH(("CARDIO"),(D48))))</formula>
    </cfRule>
    <cfRule type="containsText" priority="2051" operator="containsText" dxfId="7" text="ID">
      <formula>NOT(ISERROR(SEARCH(("ID"),(D48))))</formula>
    </cfRule>
    <cfRule type="containsText" priority="2052" operator="containsText" dxfId="7" text="NEURO">
      <formula>NOT(ISERROR(SEARCH(("NEURO"),(D48))))</formula>
    </cfRule>
    <cfRule type="containsText" priority="2053" operator="containsText" dxfId="6" text="NEURO">
      <formula>NOT(ISERROR(SEARCH(("NEURO"),(D48))))</formula>
    </cfRule>
    <cfRule type="containsText" priority="2054" operator="containsText" dxfId="5" text="NEURO">
      <formula>NOT(ISERROR(SEARCH(("NEURO"),(D48))))</formula>
    </cfRule>
    <cfRule type="containsText" priority="2055" operator="containsText" dxfId="0" text="ICU N">
      <formula>NOT(ISERROR(SEARCH(("ICU N"),(D48))))</formula>
    </cfRule>
    <cfRule type="containsText" priority="2056" operator="containsText" dxfId="3" text="ICU">
      <formula>NOT(ISERROR(SEARCH(("ICU"),(D48))))</formula>
    </cfRule>
    <cfRule type="containsText" priority="2057" operator="containsText" dxfId="0" text="SWING">
      <formula>NOT(ISERROR(SEARCH(("SWING"),(D48))))</formula>
    </cfRule>
    <cfRule type="containsText" priority="2058" operator="containsText" dxfId="0" text="NF">
      <formula>NOT(ISERROR(SEARCH(("NF"),(D48))))</formula>
    </cfRule>
  </conditionalFormatting>
  <conditionalFormatting sqref="H48 M48 R48 W48 AD48 AI48">
    <cfRule type="containsText" priority="2044" operator="containsText" dxfId="17" text="VACATION">
      <formula>NOT(ISERROR(SEARCH(("VACATION"),(H48))))</formula>
    </cfRule>
    <cfRule type="containsText" priority="2059" operator="containsText" dxfId="0" text="ICU N">
      <formula>NOT(ISERROR(SEARCH(("ICU N"),(H48))))</formula>
    </cfRule>
  </conditionalFormatting>
  <conditionalFormatting sqref="AA56">
    <cfRule type="containsText" priority="2038" operator="containsText" dxfId="16" text="ED">
      <formula>NOT(ISERROR(SEARCH(("ED"),(AA56))))</formula>
    </cfRule>
    <cfRule type="containsText" priority="2039" operator="containsText" dxfId="17" text="VACATION">
      <formula>NOT(ISERROR(SEARCH(("VACATION"),(AA56))))</formula>
    </cfRule>
    <cfRule type="containsText" priority="2040" operator="containsText" dxfId="0" text="ICU N">
      <formula>NOT(ISERROR(SEARCH(("ICU N"),(AA56))))</formula>
    </cfRule>
  </conditionalFormatting>
  <conditionalFormatting sqref="H49">
    <cfRule type="containsText" priority="2021" operator="containsText" dxfId="17" text="VACATION">
      <formula>NOT(ISERROR(SEARCH(("VACATION"),(H49))))</formula>
    </cfRule>
    <cfRule type="containsText" priority="2022" operator="containsText" dxfId="16" text="ED">
      <formula>NOT(ISERROR(SEARCH(("ED"),(H49))))</formula>
    </cfRule>
    <cfRule type="containsText" priority="2023" operator="containsText" dxfId="15" text="GERIATRIC">
      <formula>NOT(ISERROR(SEARCH(("GERIATRIC"),(H49))))</formula>
    </cfRule>
    <cfRule type="containsText" priority="2024" operator="containsText" dxfId="7" text="PATH">
      <formula>NOT(ISERROR(SEARCH(("PATH"),(H49))))</formula>
    </cfRule>
    <cfRule type="containsText" priority="2025" operator="containsText" dxfId="7" text="NEPHRO">
      <formula>NOT(ISERROR(SEARCH(("NEPHRO"),(H49))))</formula>
    </cfRule>
    <cfRule type="containsText" priority="2026" operator="containsText" dxfId="7" text="PULM">
      <formula>NOT(ISERROR(SEARCH(("PULM"),(H49))))</formula>
    </cfRule>
    <cfRule type="containsText" priority="2027" operator="containsText" dxfId="7" text="RADIOLOGY">
      <formula>NOT(ISERROR(SEARCH(("RADIOLOGY"),(H49))))</formula>
    </cfRule>
    <cfRule type="containsText" priority="2028" operator="containsText" dxfId="7" text="HEM/ONC">
      <formula>NOT(ISERROR(SEARCH(("HEM/ONC"),(H49))))</formula>
    </cfRule>
    <cfRule type="containsText" priority="2029" operator="containsText" dxfId="7" text="CARDIO">
      <formula>NOT(ISERROR(SEARCH(("CARDIO"),(H49))))</formula>
    </cfRule>
    <cfRule type="containsText" priority="2030" operator="containsText" dxfId="7" text="ID">
      <formula>NOT(ISERROR(SEARCH(("ID"),(H49))))</formula>
    </cfRule>
    <cfRule type="containsText" priority="2031" operator="containsText" dxfId="7" text="NEURO">
      <formula>NOT(ISERROR(SEARCH(("NEURO"),(H49))))</formula>
    </cfRule>
    <cfRule type="containsText" priority="2032" operator="containsText" dxfId="6" text="NEURO">
      <formula>NOT(ISERROR(SEARCH(("NEURO"),(H49))))</formula>
    </cfRule>
    <cfRule type="containsText" priority="2033" operator="containsText" dxfId="5" text="NEURO">
      <formula>NOT(ISERROR(SEARCH(("NEURO"),(H49))))</formula>
    </cfRule>
    <cfRule type="containsText" priority="2034" operator="containsText" dxfId="0" text="ICU N">
      <formula>NOT(ISERROR(SEARCH(("ICU N"),(H49))))</formula>
    </cfRule>
    <cfRule type="containsText" priority="2035" operator="containsText" dxfId="3" text="ICU">
      <formula>NOT(ISERROR(SEARCH(("ICU"),(H49))))</formula>
    </cfRule>
    <cfRule type="containsText" priority="2036" operator="containsText" dxfId="0" text="SWING">
      <formula>NOT(ISERROR(SEARCH(("SWING"),(H49))))</formula>
    </cfRule>
    <cfRule type="containsText" priority="2037" operator="containsText" dxfId="0" text="NF">
      <formula>NOT(ISERROR(SEARCH(("NF"),(H49))))</formula>
    </cfRule>
    <cfRule type="containsText" priority="2003" operator="containsText" dxfId="16" text="ED">
      <formula>NOT(ISERROR(SEARCH(("ED"),(H49))))</formula>
    </cfRule>
    <cfRule type="containsText" priority="2004" operator="containsText" dxfId="15" text="GERIATRIC">
      <formula>NOT(ISERROR(SEARCH(("GERIATRIC"),(H49))))</formula>
    </cfRule>
    <cfRule type="containsText" priority="2005" operator="containsText" dxfId="17" text="VACATION">
      <formula>NOT(ISERROR(SEARCH(("VACATION"),(H49))))</formula>
    </cfRule>
    <cfRule type="containsText" priority="2006" operator="containsText" dxfId="7" text="PATH">
      <formula>NOT(ISERROR(SEARCH(("PATH"),(H49))))</formula>
    </cfRule>
    <cfRule type="containsText" priority="2007" operator="containsText" dxfId="7" text="NEPHRO">
      <formula>NOT(ISERROR(SEARCH(("NEPHRO"),(H49))))</formula>
    </cfRule>
    <cfRule type="containsText" priority="2008" operator="containsText" dxfId="7" text="PULM">
      <formula>NOT(ISERROR(SEARCH(("PULM"),(H49))))</formula>
    </cfRule>
    <cfRule type="containsText" priority="2009" operator="containsText" dxfId="7" text="RADIOLOGY">
      <formula>NOT(ISERROR(SEARCH(("RADIOLOGY"),(H49))))</formula>
    </cfRule>
    <cfRule type="containsText" priority="2010" operator="containsText" dxfId="7" text="HEM/ONC">
      <formula>NOT(ISERROR(SEARCH(("HEM/ONC"),(H49))))</formula>
    </cfRule>
    <cfRule type="containsText" priority="2011" operator="containsText" dxfId="7" text="CARDIO">
      <formula>NOT(ISERROR(SEARCH(("CARDIO"),(H49))))</formula>
    </cfRule>
    <cfRule type="containsText" priority="2012" operator="containsText" dxfId="7" text="ID">
      <formula>NOT(ISERROR(SEARCH(("ID"),(H49))))</formula>
    </cfRule>
    <cfRule type="containsText" priority="2013" operator="containsText" dxfId="7" text="NEURO">
      <formula>NOT(ISERROR(SEARCH(("NEURO"),(H49))))</formula>
    </cfRule>
    <cfRule type="containsText" priority="2014" operator="containsText" dxfId="6" text="NEURO">
      <formula>NOT(ISERROR(SEARCH(("NEURO"),(H49))))</formula>
    </cfRule>
    <cfRule type="containsText" priority="2015" operator="containsText" dxfId="5" text="NEURO">
      <formula>NOT(ISERROR(SEARCH(("NEURO"),(H49))))</formula>
    </cfRule>
    <cfRule type="containsText" priority="2016" operator="containsText" dxfId="0" text="ICU N">
      <formula>NOT(ISERROR(SEARCH(("ICU N"),(H49))))</formula>
    </cfRule>
    <cfRule type="containsText" priority="2017" operator="containsText" dxfId="3" text="ICU">
      <formula>NOT(ISERROR(SEARCH(("ICU"),(H49))))</formula>
    </cfRule>
    <cfRule type="containsText" priority="2018" operator="containsText" dxfId="0" text="SWING">
      <formula>NOT(ISERROR(SEARCH(("SWING"),(H49))))</formula>
    </cfRule>
    <cfRule type="containsText" priority="2019" operator="containsText" dxfId="0" text="NF">
      <formula>NOT(ISERROR(SEARCH(("NF"),(H49))))</formula>
    </cfRule>
    <cfRule type="containsText" priority="2020" operator="containsText" dxfId="0" text="ICU N">
      <formula>NOT(ISERROR(SEARCH(("ICU N"),(H49))))</formula>
    </cfRule>
  </conditionalFormatting>
  <conditionalFormatting sqref="H56">
    <cfRule type="containsText" priority="1985" operator="containsText" dxfId="16" text="ED">
      <formula>NOT(ISERROR(SEARCH(("ED"),(H56))))</formula>
    </cfRule>
    <cfRule type="containsText" priority="1986" operator="containsText" dxfId="15" text="GERIATRIC">
      <formula>NOT(ISERROR(SEARCH(("GERIATRIC"),(H56))))</formula>
    </cfRule>
    <cfRule type="containsText" priority="1987" operator="containsText" dxfId="17" text="VACATION">
      <formula>NOT(ISERROR(SEARCH(("VACATION"),(H56))))</formula>
    </cfRule>
    <cfRule type="containsText" priority="1988" operator="containsText" dxfId="7" text="PATH">
      <formula>NOT(ISERROR(SEARCH(("PATH"),(H56))))</formula>
    </cfRule>
    <cfRule type="containsText" priority="1989" operator="containsText" dxfId="7" text="NEPHRO">
      <formula>NOT(ISERROR(SEARCH(("NEPHRO"),(H56))))</formula>
    </cfRule>
    <cfRule type="containsText" priority="1990" operator="containsText" dxfId="7" text="PULM">
      <formula>NOT(ISERROR(SEARCH(("PULM"),(H56))))</formula>
    </cfRule>
    <cfRule type="containsText" priority="1991" operator="containsText" dxfId="7" text="RADIOLOGY">
      <formula>NOT(ISERROR(SEARCH(("RADIOLOGY"),(H56))))</formula>
    </cfRule>
    <cfRule type="containsText" priority="1992" operator="containsText" dxfId="7" text="HEM/ONC">
      <formula>NOT(ISERROR(SEARCH(("HEM/ONC"),(H56))))</formula>
    </cfRule>
    <cfRule type="containsText" priority="1993" operator="containsText" dxfId="7" text="CARDIO">
      <formula>NOT(ISERROR(SEARCH(("CARDIO"),(H56))))</formula>
    </cfRule>
    <cfRule type="containsText" priority="1994" operator="containsText" dxfId="7" text="ID">
      <formula>NOT(ISERROR(SEARCH(("ID"),(H56))))</formula>
    </cfRule>
    <cfRule type="containsText" priority="1995" operator="containsText" dxfId="7" text="NEURO">
      <formula>NOT(ISERROR(SEARCH(("NEURO"),(H56))))</formula>
    </cfRule>
    <cfRule type="containsText" priority="1996" operator="containsText" dxfId="6" text="NEURO">
      <formula>NOT(ISERROR(SEARCH(("NEURO"),(H56))))</formula>
    </cfRule>
    <cfRule type="containsText" priority="1997" operator="containsText" dxfId="5" text="NEURO">
      <formula>NOT(ISERROR(SEARCH(("NEURO"),(H56))))</formula>
    </cfRule>
    <cfRule type="containsText" priority="1998" operator="containsText" dxfId="0" text="ICU N">
      <formula>NOT(ISERROR(SEARCH(("ICU N"),(H56))))</formula>
    </cfRule>
    <cfRule type="containsText" priority="1999" operator="containsText" dxfId="3" text="ICU">
      <formula>NOT(ISERROR(SEARCH(("ICU"),(H56))))</formula>
    </cfRule>
    <cfRule type="containsText" priority="2000" operator="containsText" dxfId="0" text="SWING">
      <formula>NOT(ISERROR(SEARCH(("SWING"),(H56))))</formula>
    </cfRule>
    <cfRule type="containsText" priority="2001" operator="containsText" dxfId="0" text="NF">
      <formula>NOT(ISERROR(SEARCH(("NF"),(H56))))</formula>
    </cfRule>
    <cfRule type="containsText" priority="2002" operator="containsText" dxfId="0" text="ICU N">
      <formula>NOT(ISERROR(SEARCH(("ICU N"),(H56))))</formula>
    </cfRule>
  </conditionalFormatting>
  <conditionalFormatting sqref="AB52">
    <cfRule type="containsText" priority="1968" operator="containsText" dxfId="17" text="VACATION">
      <formula>NOT(ISERROR(SEARCH(("VACATION"),(AB52))))</formula>
    </cfRule>
    <cfRule type="containsText" priority="1969" operator="containsText" dxfId="16" text="ED">
      <formula>NOT(ISERROR(SEARCH(("ED"),(AB52))))</formula>
    </cfRule>
    <cfRule type="containsText" priority="1970" operator="containsText" dxfId="15" text="GERIATRIC">
      <formula>NOT(ISERROR(SEARCH(("GERIATRIC"),(AB52))))</formula>
    </cfRule>
    <cfRule type="containsText" priority="1971" operator="containsText" dxfId="7" text="PATH">
      <formula>NOT(ISERROR(SEARCH(("PATH"),(AB52))))</formula>
    </cfRule>
    <cfRule type="containsText" priority="1972" operator="containsText" dxfId="7" text="NEPHRO">
      <formula>NOT(ISERROR(SEARCH(("NEPHRO"),(AB52))))</formula>
    </cfRule>
    <cfRule type="containsText" priority="1973" operator="containsText" dxfId="7" text="PULM">
      <formula>NOT(ISERROR(SEARCH(("PULM"),(AB52))))</formula>
    </cfRule>
    <cfRule type="containsText" priority="1974" operator="containsText" dxfId="7" text="RADIOLOGY">
      <formula>NOT(ISERROR(SEARCH(("RADIOLOGY"),(AB52))))</formula>
    </cfRule>
    <cfRule type="containsText" priority="1975" operator="containsText" dxfId="7" text="HEM/ONC">
      <formula>NOT(ISERROR(SEARCH(("HEM/ONC"),(AB52))))</formula>
    </cfRule>
    <cfRule type="containsText" priority="1976" operator="containsText" dxfId="7" text="CARDIO">
      <formula>NOT(ISERROR(SEARCH(("CARDIO"),(AB52))))</formula>
    </cfRule>
    <cfRule type="containsText" priority="1977" operator="containsText" dxfId="7" text="ID">
      <formula>NOT(ISERROR(SEARCH(("ID"),(AB52))))</formula>
    </cfRule>
    <cfRule type="containsText" priority="1978" operator="containsText" dxfId="7" text="NEURO">
      <formula>NOT(ISERROR(SEARCH(("NEURO"),(AB52))))</formula>
    </cfRule>
    <cfRule type="containsText" priority="1979" operator="containsText" dxfId="6" text="NEURO">
      <formula>NOT(ISERROR(SEARCH(("NEURO"),(AB52))))</formula>
    </cfRule>
    <cfRule type="containsText" priority="1980" operator="containsText" dxfId="5" text="NEURO">
      <formula>NOT(ISERROR(SEARCH(("NEURO"),(AB52))))</formula>
    </cfRule>
    <cfRule type="containsText" priority="1981" operator="containsText" dxfId="0" text="ICU N">
      <formula>NOT(ISERROR(SEARCH(("ICU N"),(AB52))))</formula>
    </cfRule>
    <cfRule type="containsText" priority="1982" operator="containsText" dxfId="3" text="ICU">
      <formula>NOT(ISERROR(SEARCH(("ICU"),(AB52))))</formula>
    </cfRule>
    <cfRule type="containsText" priority="1983" operator="containsText" dxfId="0" text="SWING">
      <formula>NOT(ISERROR(SEARCH(("SWING"),(AB52))))</formula>
    </cfRule>
    <cfRule type="containsText" priority="1984" operator="containsText" dxfId="0" text="NF">
      <formula>NOT(ISERROR(SEARCH(("NF"),(AB52))))</formula>
    </cfRule>
    <cfRule type="containsText" priority="1950" operator="containsText" dxfId="16" text="ED">
      <formula>NOT(ISERROR(SEARCH(("ED"),(AB52))))</formula>
    </cfRule>
    <cfRule type="containsText" priority="1951" operator="containsText" dxfId="15" text="GERIATRIC">
      <formula>NOT(ISERROR(SEARCH(("GERIATRIC"),(AB52))))</formula>
    </cfRule>
    <cfRule type="containsText" priority="1952" operator="containsText" dxfId="17" text="VACATION">
      <formula>NOT(ISERROR(SEARCH(("VACATION"),(AB52))))</formula>
    </cfRule>
    <cfRule type="containsText" priority="1953" operator="containsText" dxfId="7" text="PATH">
      <formula>NOT(ISERROR(SEARCH(("PATH"),(AB52))))</formula>
    </cfRule>
    <cfRule type="containsText" priority="1954" operator="containsText" dxfId="7" text="NEPHRO">
      <formula>NOT(ISERROR(SEARCH(("NEPHRO"),(AB52))))</formula>
    </cfRule>
    <cfRule type="containsText" priority="1955" operator="containsText" dxfId="7" text="PULM">
      <formula>NOT(ISERROR(SEARCH(("PULM"),(AB52))))</formula>
    </cfRule>
    <cfRule type="containsText" priority="1956" operator="containsText" dxfId="7" text="RADIOLOGY">
      <formula>NOT(ISERROR(SEARCH(("RADIOLOGY"),(AB52))))</formula>
    </cfRule>
    <cfRule type="containsText" priority="1957" operator="containsText" dxfId="7" text="HEM/ONC">
      <formula>NOT(ISERROR(SEARCH(("HEM/ONC"),(AB52))))</formula>
    </cfRule>
    <cfRule type="containsText" priority="1958" operator="containsText" dxfId="7" text="CARDIO">
      <formula>NOT(ISERROR(SEARCH(("CARDIO"),(AB52))))</formula>
    </cfRule>
    <cfRule type="containsText" priority="1959" operator="containsText" dxfId="7" text="ID">
      <formula>NOT(ISERROR(SEARCH(("ID"),(AB52))))</formula>
    </cfRule>
    <cfRule type="containsText" priority="1960" operator="containsText" dxfId="7" text="NEURO">
      <formula>NOT(ISERROR(SEARCH(("NEURO"),(AB52))))</formula>
    </cfRule>
    <cfRule type="containsText" priority="1961" operator="containsText" dxfId="6" text="NEURO">
      <formula>NOT(ISERROR(SEARCH(("NEURO"),(AB52))))</formula>
    </cfRule>
    <cfRule type="containsText" priority="1962" operator="containsText" dxfId="5" text="NEURO">
      <formula>NOT(ISERROR(SEARCH(("NEURO"),(AB52))))</formula>
    </cfRule>
    <cfRule type="containsText" priority="1963" operator="containsText" dxfId="0" text="ICU N">
      <formula>NOT(ISERROR(SEARCH(("ICU N"),(AB52))))</formula>
    </cfRule>
    <cfRule type="containsText" priority="1964" operator="containsText" dxfId="3" text="ICU">
      <formula>NOT(ISERROR(SEARCH(("ICU"),(AB52))))</formula>
    </cfRule>
    <cfRule type="containsText" priority="1965" operator="containsText" dxfId="0" text="SWING">
      <formula>NOT(ISERROR(SEARCH(("SWING"),(AB52))))</formula>
    </cfRule>
    <cfRule type="containsText" priority="1966" operator="containsText" dxfId="0" text="NF">
      <formula>NOT(ISERROR(SEARCH(("NF"),(AB52))))</formula>
    </cfRule>
    <cfRule type="containsText" priority="1967" operator="containsText" dxfId="0" text="ICU N">
      <formula>NOT(ISERROR(SEARCH(("ICU N"),(AB52))))</formula>
    </cfRule>
  </conditionalFormatting>
  <conditionalFormatting sqref="AX13">
    <cfRule type="containsText" priority="1933" operator="containsText" dxfId="17" text="VACATION">
      <formula>NOT(ISERROR(SEARCH(("VACATION"),(AX13))))</formula>
    </cfRule>
    <cfRule type="containsText" priority="1934" operator="containsText" dxfId="16" text="ED">
      <formula>NOT(ISERROR(SEARCH(("ED"),(AX13))))</formula>
    </cfRule>
    <cfRule type="containsText" priority="1935" operator="containsText" dxfId="15" text="GERIATRIC">
      <formula>NOT(ISERROR(SEARCH(("GERIATRIC"),(AX13))))</formula>
    </cfRule>
    <cfRule type="containsText" priority="1936" operator="containsText" dxfId="7" text="PATH">
      <formula>NOT(ISERROR(SEARCH(("PATH"),(AX13))))</formula>
    </cfRule>
    <cfRule type="containsText" priority="1937" operator="containsText" dxfId="7" text="NEPHRO">
      <formula>NOT(ISERROR(SEARCH(("NEPHRO"),(AX13))))</formula>
    </cfRule>
    <cfRule type="containsText" priority="1938" operator="containsText" dxfId="7" text="PULM">
      <formula>NOT(ISERROR(SEARCH(("PULM"),(AX13))))</formula>
    </cfRule>
    <cfRule type="containsText" priority="1939" operator="containsText" dxfId="7" text="RADIOLOGY">
      <formula>NOT(ISERROR(SEARCH(("RADIOLOGY"),(AX13))))</formula>
    </cfRule>
    <cfRule type="containsText" priority="1940" operator="containsText" dxfId="7" text="HEM/ONC">
      <formula>NOT(ISERROR(SEARCH(("HEM/ONC"),(AX13))))</formula>
    </cfRule>
    <cfRule type="containsText" priority="1941" operator="containsText" dxfId="7" text="CARDIO">
      <formula>NOT(ISERROR(SEARCH(("CARDIO"),(AX13))))</formula>
    </cfRule>
    <cfRule type="containsText" priority="1942" operator="containsText" dxfId="7" text="ID">
      <formula>NOT(ISERROR(SEARCH(("ID"),(AX13))))</formula>
    </cfRule>
    <cfRule type="containsText" priority="1943" operator="containsText" dxfId="7" text="NEURO">
      <formula>NOT(ISERROR(SEARCH(("NEURO"),(AX13))))</formula>
    </cfRule>
    <cfRule type="containsText" priority="1944" operator="containsText" dxfId="6" text="NEURO">
      <formula>NOT(ISERROR(SEARCH(("NEURO"),(AX13))))</formula>
    </cfRule>
    <cfRule type="containsText" priority="1945" operator="containsText" dxfId="5" text="NEURO">
      <formula>NOT(ISERROR(SEARCH(("NEURO"),(AX13))))</formula>
    </cfRule>
    <cfRule type="containsText" priority="1946" operator="containsText" dxfId="0" text="ICU N">
      <formula>NOT(ISERROR(SEARCH(("ICU N"),(AX13))))</formula>
    </cfRule>
    <cfRule type="containsText" priority="1947" operator="containsText" dxfId="3" text="ICU">
      <formula>NOT(ISERROR(SEARCH(("ICU"),(AX13))))</formula>
    </cfRule>
    <cfRule type="containsText" priority="1948" operator="containsText" dxfId="0" text="SWING">
      <formula>NOT(ISERROR(SEARCH(("SWING"),(AX13))))</formula>
    </cfRule>
    <cfRule type="containsText" priority="1949" operator="containsText" dxfId="0" text="NF">
      <formula>NOT(ISERROR(SEARCH(("NF"),(AX13))))</formula>
    </cfRule>
  </conditionalFormatting>
  <conditionalFormatting sqref="P51">
    <cfRule type="containsText" priority="1916" operator="containsText" dxfId="17" text="VACATION">
      <formula>NOT(ISERROR(SEARCH(("VACATION"),(P51))))</formula>
    </cfRule>
    <cfRule type="containsText" priority="1917" operator="containsText" dxfId="16" text="ED">
      <formula>NOT(ISERROR(SEARCH(("ED"),(P51))))</formula>
    </cfRule>
    <cfRule type="containsText" priority="1918" operator="containsText" dxfId="15" text="GERIATRIC">
      <formula>NOT(ISERROR(SEARCH(("GERIATRIC"),(P51))))</formula>
    </cfRule>
    <cfRule type="containsText" priority="1919" operator="containsText" dxfId="7" text="PATH">
      <formula>NOT(ISERROR(SEARCH(("PATH"),(P51))))</formula>
    </cfRule>
    <cfRule type="containsText" priority="1920" operator="containsText" dxfId="7" text="NEPHRO">
      <formula>NOT(ISERROR(SEARCH(("NEPHRO"),(P51))))</formula>
    </cfRule>
    <cfRule type="containsText" priority="1921" operator="containsText" dxfId="7" text="PULM">
      <formula>NOT(ISERROR(SEARCH(("PULM"),(P51))))</formula>
    </cfRule>
    <cfRule type="containsText" priority="1922" operator="containsText" dxfId="7" text="RADIOLOGY">
      <formula>NOT(ISERROR(SEARCH(("RADIOLOGY"),(P51))))</formula>
    </cfRule>
    <cfRule type="containsText" priority="1923" operator="containsText" dxfId="7" text="HEM/ONC">
      <formula>NOT(ISERROR(SEARCH(("HEM/ONC"),(P51))))</formula>
    </cfRule>
    <cfRule type="containsText" priority="1924" operator="containsText" dxfId="7" text="CARDIO">
      <formula>NOT(ISERROR(SEARCH(("CARDIO"),(P51))))</formula>
    </cfRule>
    <cfRule type="containsText" priority="1925" operator="containsText" dxfId="7" text="ID">
      <formula>NOT(ISERROR(SEARCH(("ID"),(P51))))</formula>
    </cfRule>
    <cfRule type="containsText" priority="1926" operator="containsText" dxfId="7" text="NEURO">
      <formula>NOT(ISERROR(SEARCH(("NEURO"),(P51))))</formula>
    </cfRule>
    <cfRule type="containsText" priority="1927" operator="containsText" dxfId="6" text="NEURO">
      <formula>NOT(ISERROR(SEARCH(("NEURO"),(P51))))</formula>
    </cfRule>
    <cfRule type="containsText" priority="1928" operator="containsText" dxfId="5" text="NEURO">
      <formula>NOT(ISERROR(SEARCH(("NEURO"),(P51))))</formula>
    </cfRule>
    <cfRule type="containsText" priority="1929" operator="containsText" dxfId="0" text="ICU N">
      <formula>NOT(ISERROR(SEARCH(("ICU N"),(P51))))</formula>
    </cfRule>
    <cfRule type="containsText" priority="1930" operator="containsText" dxfId="3" text="ICU">
      <formula>NOT(ISERROR(SEARCH(("ICU"),(P51))))</formula>
    </cfRule>
    <cfRule type="containsText" priority="1931" operator="containsText" dxfId="0" text="SWING">
      <formula>NOT(ISERROR(SEARCH(("SWING"),(P51))))</formula>
    </cfRule>
    <cfRule type="containsText" priority="1932" operator="containsText" dxfId="0" text="NF">
      <formula>NOT(ISERROR(SEARCH(("NF"),(P51))))</formula>
    </cfRule>
  </conditionalFormatting>
  <conditionalFormatting sqref="Q51">
    <cfRule type="containsText" priority="1899" operator="containsText" dxfId="17" text="VACATION">
      <formula>NOT(ISERROR(SEARCH(("VACATION"),(Q51))))</formula>
    </cfRule>
    <cfRule type="containsText" priority="1900" operator="containsText" dxfId="16" text="ED">
      <formula>NOT(ISERROR(SEARCH(("ED"),(Q51))))</formula>
    </cfRule>
    <cfRule type="containsText" priority="1901" operator="containsText" dxfId="15" text="GERIATRIC">
      <formula>NOT(ISERROR(SEARCH(("GERIATRIC"),(Q51))))</formula>
    </cfRule>
    <cfRule type="containsText" priority="1902" operator="containsText" dxfId="7" text="PATH">
      <formula>NOT(ISERROR(SEARCH(("PATH"),(Q51))))</formula>
    </cfRule>
    <cfRule type="containsText" priority="1903" operator="containsText" dxfId="7" text="NEPHRO">
      <formula>NOT(ISERROR(SEARCH(("NEPHRO"),(Q51))))</formula>
    </cfRule>
    <cfRule type="containsText" priority="1904" operator="containsText" dxfId="7" text="PULM">
      <formula>NOT(ISERROR(SEARCH(("PULM"),(Q51))))</formula>
    </cfRule>
    <cfRule type="containsText" priority="1905" operator="containsText" dxfId="7" text="RADIOLOGY">
      <formula>NOT(ISERROR(SEARCH(("RADIOLOGY"),(Q51))))</formula>
    </cfRule>
    <cfRule type="containsText" priority="1906" operator="containsText" dxfId="7" text="HEM/ONC">
      <formula>NOT(ISERROR(SEARCH(("HEM/ONC"),(Q51))))</formula>
    </cfRule>
    <cfRule type="containsText" priority="1907" operator="containsText" dxfId="7" text="CARDIO">
      <formula>NOT(ISERROR(SEARCH(("CARDIO"),(Q51))))</formula>
    </cfRule>
    <cfRule type="containsText" priority="1908" operator="containsText" dxfId="7" text="ID">
      <formula>NOT(ISERROR(SEARCH(("ID"),(Q51))))</formula>
    </cfRule>
    <cfRule type="containsText" priority="1909" operator="containsText" dxfId="7" text="NEURO">
      <formula>NOT(ISERROR(SEARCH(("NEURO"),(Q51))))</formula>
    </cfRule>
    <cfRule type="containsText" priority="1910" operator="containsText" dxfId="6" text="NEURO">
      <formula>NOT(ISERROR(SEARCH(("NEURO"),(Q51))))</formula>
    </cfRule>
    <cfRule type="containsText" priority="1911" operator="containsText" dxfId="5" text="NEURO">
      <formula>NOT(ISERROR(SEARCH(("NEURO"),(Q51))))</formula>
    </cfRule>
    <cfRule type="containsText" priority="1912" operator="containsText" dxfId="0" text="ICU N">
      <formula>NOT(ISERROR(SEARCH(("ICU N"),(Q51))))</formula>
    </cfRule>
    <cfRule type="containsText" priority="1913" operator="containsText" dxfId="3" text="ICU">
      <formula>NOT(ISERROR(SEARCH(("ICU"),(Q51))))</formula>
    </cfRule>
    <cfRule type="containsText" priority="1914" operator="containsText" dxfId="0" text="SWING">
      <formula>NOT(ISERROR(SEARCH(("SWING"),(Q51))))</formula>
    </cfRule>
    <cfRule type="containsText" priority="1915" operator="containsText" dxfId="0" text="NF">
      <formula>NOT(ISERROR(SEARCH(("NF"),(Q51))))</formula>
    </cfRule>
  </conditionalFormatting>
  <conditionalFormatting sqref="AC44">
    <cfRule type="containsText" priority="1897" operator="containsText" dxfId="17" text="VACATION">
      <formula>NOT(ISERROR(SEARCH(("VACATION"),(AC44))))</formula>
    </cfRule>
    <cfRule type="containsText" priority="1898" operator="containsText" dxfId="0" text="ICU N">
      <formula>NOT(ISERROR(SEARCH(("ICU N"),(AC44))))</formula>
    </cfRule>
  </conditionalFormatting>
  <conditionalFormatting sqref="AC42">
    <cfRule type="containsText" priority="1895" operator="containsText" dxfId="17" text="VACATION">
      <formula>NOT(ISERROR(SEARCH(("VACATION"),(AC42))))</formula>
    </cfRule>
    <cfRule type="containsText" priority="1896" operator="containsText" dxfId="0" text="ICU N">
      <formula>NOT(ISERROR(SEARCH(("ICU N"),(AC42))))</formula>
    </cfRule>
  </conditionalFormatting>
  <conditionalFormatting sqref="AC52">
    <cfRule type="containsText" priority="1878" operator="containsText" dxfId="17" text="VACATION">
      <formula>NOT(ISERROR(SEARCH(("VACATION"),(AC52))))</formula>
    </cfRule>
    <cfRule type="containsText" priority="1879" operator="containsText" dxfId="16" text="ED">
      <formula>NOT(ISERROR(SEARCH(("ED"),(AC52))))</formula>
    </cfRule>
    <cfRule type="containsText" priority="1880" operator="containsText" dxfId="15" text="GERIATRIC">
      <formula>NOT(ISERROR(SEARCH(("GERIATRIC"),(AC52))))</formula>
    </cfRule>
    <cfRule type="containsText" priority="1881" operator="containsText" dxfId="7" text="PATH">
      <formula>NOT(ISERROR(SEARCH(("PATH"),(AC52))))</formula>
    </cfRule>
    <cfRule type="containsText" priority="1882" operator="containsText" dxfId="7" text="NEPHRO">
      <formula>NOT(ISERROR(SEARCH(("NEPHRO"),(AC52))))</formula>
    </cfRule>
    <cfRule type="containsText" priority="1883" operator="containsText" dxfId="7" text="PULM">
      <formula>NOT(ISERROR(SEARCH(("PULM"),(AC52))))</formula>
    </cfRule>
    <cfRule type="containsText" priority="1884" operator="containsText" dxfId="7" text="RADIOLOGY">
      <formula>NOT(ISERROR(SEARCH(("RADIOLOGY"),(AC52))))</formula>
    </cfRule>
    <cfRule type="containsText" priority="1885" operator="containsText" dxfId="7" text="HEM/ONC">
      <formula>NOT(ISERROR(SEARCH(("HEM/ONC"),(AC52))))</formula>
    </cfRule>
    <cfRule type="containsText" priority="1886" operator="containsText" dxfId="7" text="CARDIO">
      <formula>NOT(ISERROR(SEARCH(("CARDIO"),(AC52))))</formula>
    </cfRule>
    <cfRule type="containsText" priority="1887" operator="containsText" dxfId="7" text="ID">
      <formula>NOT(ISERROR(SEARCH(("ID"),(AC52))))</formula>
    </cfRule>
    <cfRule type="containsText" priority="1888" operator="containsText" dxfId="7" text="NEURO">
      <formula>NOT(ISERROR(SEARCH(("NEURO"),(AC52))))</formula>
    </cfRule>
    <cfRule type="containsText" priority="1889" operator="containsText" dxfId="6" text="NEURO">
      <formula>NOT(ISERROR(SEARCH(("NEURO"),(AC52))))</formula>
    </cfRule>
    <cfRule type="containsText" priority="1890" operator="containsText" dxfId="5" text="NEURO">
      <formula>NOT(ISERROR(SEARCH(("NEURO"),(AC52))))</formula>
    </cfRule>
    <cfRule type="containsText" priority="1891" operator="containsText" dxfId="0" text="ICU N">
      <formula>NOT(ISERROR(SEARCH(("ICU N"),(AC52))))</formula>
    </cfRule>
    <cfRule type="containsText" priority="1892" operator="containsText" dxfId="3" text="ICU">
      <formula>NOT(ISERROR(SEARCH(("ICU"),(AC52))))</formula>
    </cfRule>
    <cfRule type="containsText" priority="1893" operator="containsText" dxfId="0" text="SWING">
      <formula>NOT(ISERROR(SEARCH(("SWING"),(AC52))))</formula>
    </cfRule>
    <cfRule type="containsText" priority="1894" operator="containsText" dxfId="0" text="NF">
      <formula>NOT(ISERROR(SEARCH(("NF"),(AC52))))</formula>
    </cfRule>
  </conditionalFormatting>
  <conditionalFormatting sqref="AC51">
    <cfRule type="containsText" priority="1861" operator="containsText" dxfId="17" text="VACATION">
      <formula>NOT(ISERROR(SEARCH(("VACATION"),(AC51))))</formula>
    </cfRule>
    <cfRule type="containsText" priority="1862" operator="containsText" dxfId="16" text="ED">
      <formula>NOT(ISERROR(SEARCH(("ED"),(AC51))))</formula>
    </cfRule>
    <cfRule type="containsText" priority="1863" operator="containsText" dxfId="15" text="GERIATRIC">
      <formula>NOT(ISERROR(SEARCH(("GERIATRIC"),(AC51))))</formula>
    </cfRule>
    <cfRule type="containsText" priority="1864" operator="containsText" dxfId="7" text="PATH">
      <formula>NOT(ISERROR(SEARCH(("PATH"),(AC51))))</formula>
    </cfRule>
    <cfRule type="containsText" priority="1865" operator="containsText" dxfId="7" text="NEPHRO">
      <formula>NOT(ISERROR(SEARCH(("NEPHRO"),(AC51))))</formula>
    </cfRule>
    <cfRule type="containsText" priority="1866" operator="containsText" dxfId="7" text="PULM">
      <formula>NOT(ISERROR(SEARCH(("PULM"),(AC51))))</formula>
    </cfRule>
    <cfRule type="containsText" priority="1867" operator="containsText" dxfId="7" text="RADIOLOGY">
      <formula>NOT(ISERROR(SEARCH(("RADIOLOGY"),(AC51))))</formula>
    </cfRule>
    <cfRule type="containsText" priority="1868" operator="containsText" dxfId="7" text="HEM/ONC">
      <formula>NOT(ISERROR(SEARCH(("HEM/ONC"),(AC51))))</formula>
    </cfRule>
    <cfRule type="containsText" priority="1869" operator="containsText" dxfId="7" text="CARDIO">
      <formula>NOT(ISERROR(SEARCH(("CARDIO"),(AC51))))</formula>
    </cfRule>
    <cfRule type="containsText" priority="1870" operator="containsText" dxfId="7" text="ID">
      <formula>NOT(ISERROR(SEARCH(("ID"),(AC51))))</formula>
    </cfRule>
    <cfRule type="containsText" priority="1871" operator="containsText" dxfId="7" text="NEURO">
      <formula>NOT(ISERROR(SEARCH(("NEURO"),(AC51))))</formula>
    </cfRule>
    <cfRule type="containsText" priority="1872" operator="containsText" dxfId="6" text="NEURO">
      <formula>NOT(ISERROR(SEARCH(("NEURO"),(AC51))))</formula>
    </cfRule>
    <cfRule type="containsText" priority="1873" operator="containsText" dxfId="5" text="NEURO">
      <formula>NOT(ISERROR(SEARCH(("NEURO"),(AC51))))</formula>
    </cfRule>
    <cfRule type="containsText" priority="1874" operator="containsText" dxfId="0" text="ICU N">
      <formula>NOT(ISERROR(SEARCH(("ICU N"),(AC51))))</formula>
    </cfRule>
    <cfRule type="containsText" priority="1875" operator="containsText" dxfId="3" text="ICU">
      <formula>NOT(ISERROR(SEARCH(("ICU"),(AC51))))</formula>
    </cfRule>
    <cfRule type="containsText" priority="1876" operator="containsText" dxfId="0" text="SWING">
      <formula>NOT(ISERROR(SEARCH(("SWING"),(AC51))))</formula>
    </cfRule>
    <cfRule type="containsText" priority="1877" operator="containsText" dxfId="0" text="NF">
      <formula>NOT(ISERROR(SEARCH(("NF"),(AC51))))</formula>
    </cfRule>
  </conditionalFormatting>
  <conditionalFormatting sqref="S14">
    <cfRule type="containsText" priority="1806" operator="containsText" dxfId="17" text="VACATION">
      <formula>NOT(ISERROR(SEARCH(("VACATION"),(S14))))</formula>
    </cfRule>
    <cfRule type="containsText" priority="1807" operator="containsText" dxfId="16" text="ED">
      <formula>NOT(ISERROR(SEARCH(("ED"),(S14))))</formula>
    </cfRule>
    <cfRule type="containsText" priority="1808" operator="containsText" dxfId="15" text="GERIATRIC">
      <formula>NOT(ISERROR(SEARCH(("GERIATRIC"),(S14))))</formula>
    </cfRule>
    <cfRule type="containsText" priority="1809" operator="containsText" dxfId="7" text="PATH">
      <formula>NOT(ISERROR(SEARCH(("PATH"),(S14))))</formula>
    </cfRule>
    <cfRule type="containsText" priority="1810" operator="containsText" dxfId="7" text="NEPHRO">
      <formula>NOT(ISERROR(SEARCH(("NEPHRO"),(S14))))</formula>
    </cfRule>
    <cfRule type="containsText" priority="1811" operator="containsText" dxfId="7" text="PULM">
      <formula>NOT(ISERROR(SEARCH(("PULM"),(S14))))</formula>
    </cfRule>
    <cfRule type="containsText" priority="1812" operator="containsText" dxfId="7" text="RADIOLOGY">
      <formula>NOT(ISERROR(SEARCH(("RADIOLOGY"),(S14))))</formula>
    </cfRule>
    <cfRule type="containsText" priority="1813" operator="containsText" dxfId="7" text="HEM/ONC">
      <formula>NOT(ISERROR(SEARCH(("HEM/ONC"),(S14))))</formula>
    </cfRule>
    <cfRule type="containsText" priority="1814" operator="containsText" dxfId="7" text="CARDIO">
      <formula>NOT(ISERROR(SEARCH(("CARDIO"),(S14))))</formula>
    </cfRule>
    <cfRule type="containsText" priority="1815" operator="containsText" dxfId="7" text="ID">
      <formula>NOT(ISERROR(SEARCH(("ID"),(S14))))</formula>
    </cfRule>
    <cfRule type="containsText" priority="1816" operator="containsText" dxfId="7" text="NEURO">
      <formula>NOT(ISERROR(SEARCH(("NEURO"),(S14))))</formula>
    </cfRule>
    <cfRule type="containsText" priority="1817" operator="containsText" dxfId="6" text="NEURO">
      <formula>NOT(ISERROR(SEARCH(("NEURO"),(S14))))</formula>
    </cfRule>
    <cfRule type="containsText" priority="1818" operator="containsText" dxfId="5" text="NEURO">
      <formula>NOT(ISERROR(SEARCH(("NEURO"),(S14))))</formula>
    </cfRule>
    <cfRule type="containsText" priority="1819" operator="containsText" dxfId="0" text="ICU N">
      <formula>NOT(ISERROR(SEARCH(("ICU N"),(S14))))</formula>
    </cfRule>
    <cfRule type="containsText" priority="1820" operator="containsText" dxfId="3" text="ICU">
      <formula>NOT(ISERROR(SEARCH(("ICU"),(S14))))</formula>
    </cfRule>
    <cfRule type="containsText" priority="1821" operator="containsText" dxfId="0" text="SWING">
      <formula>NOT(ISERROR(SEARCH(("SWING"),(S14))))</formula>
    </cfRule>
    <cfRule type="containsText" priority="1822" operator="containsText" dxfId="0" text="NF">
      <formula>NOT(ISERROR(SEARCH(("NF"),(S14))))</formula>
    </cfRule>
  </conditionalFormatting>
  <conditionalFormatting sqref="AY14">
    <cfRule type="containsText" priority="1805" operator="containsText" dxfId="0" text="ICU N">
      <formula>NOT(ISERROR(SEARCH(("ICU N"),(AY14))))</formula>
    </cfRule>
    <cfRule type="containsText" priority="1804" operator="containsText" dxfId="0" text="ICU N">
      <formula>NOT(ISERROR(SEARCH(("ICU N"),(AY14))))</formula>
    </cfRule>
  </conditionalFormatting>
  <conditionalFormatting sqref="R32">
    <cfRule type="containsText" priority="1803" operator="containsText" dxfId="0" text="ICU N">
      <formula>NOT(ISERROR(SEARCH(("ICU N"),(R32))))</formula>
    </cfRule>
  </conditionalFormatting>
  <conditionalFormatting sqref="R16:S16">
    <cfRule type="containsText" priority="1801" operator="containsText" dxfId="17" text="VACATION">
      <formula>NOT(ISERROR(SEARCH(("VACATION"),(R16))))</formula>
    </cfRule>
    <cfRule type="containsText" priority="1802" operator="containsText" dxfId="0" text="ICU N">
      <formula>NOT(ISERROR(SEARCH(("ICU N"),(R16))))</formula>
    </cfRule>
  </conditionalFormatting>
  <conditionalFormatting sqref="S36">
    <cfRule type="containsText" priority="1784" operator="containsText" dxfId="17" text="VACATION">
      <formula>NOT(ISERROR(SEARCH(("VACATION"),(S36))))</formula>
    </cfRule>
    <cfRule type="containsText" priority="1785" operator="containsText" dxfId="16" text="ED">
      <formula>NOT(ISERROR(SEARCH(("ED"),(S36))))</formula>
    </cfRule>
    <cfRule type="containsText" priority="1786" operator="containsText" dxfId="15" text="GERIATRIC">
      <formula>NOT(ISERROR(SEARCH(("GERIATRIC"),(S36))))</formula>
    </cfRule>
    <cfRule type="containsText" priority="1787" operator="containsText" dxfId="7" text="PATH">
      <formula>NOT(ISERROR(SEARCH(("PATH"),(S36))))</formula>
    </cfRule>
    <cfRule type="containsText" priority="1788" operator="containsText" dxfId="7" text="NEPHRO">
      <formula>NOT(ISERROR(SEARCH(("NEPHRO"),(S36))))</formula>
    </cfRule>
    <cfRule type="containsText" priority="1789" operator="containsText" dxfId="7" text="PULM">
      <formula>NOT(ISERROR(SEARCH(("PULM"),(S36))))</formula>
    </cfRule>
    <cfRule type="containsText" priority="1790" operator="containsText" dxfId="7" text="RADIOLOGY">
      <formula>NOT(ISERROR(SEARCH(("RADIOLOGY"),(S36))))</formula>
    </cfRule>
    <cfRule type="containsText" priority="1791" operator="containsText" dxfId="7" text="HEM/ONC">
      <formula>NOT(ISERROR(SEARCH(("HEM/ONC"),(S36))))</formula>
    </cfRule>
    <cfRule type="containsText" priority="1792" operator="containsText" dxfId="7" text="CARDIO">
      <formula>NOT(ISERROR(SEARCH(("CARDIO"),(S36))))</formula>
    </cfRule>
    <cfRule type="containsText" priority="1793" operator="containsText" dxfId="7" text="ID">
      <formula>NOT(ISERROR(SEARCH(("ID"),(S36))))</formula>
    </cfRule>
    <cfRule type="containsText" priority="1794" operator="containsText" dxfId="7" text="NEURO">
      <formula>NOT(ISERROR(SEARCH(("NEURO"),(S36))))</formula>
    </cfRule>
    <cfRule type="containsText" priority="1795" operator="containsText" dxfId="6" text="NEURO">
      <formula>NOT(ISERROR(SEARCH(("NEURO"),(S36))))</formula>
    </cfRule>
    <cfRule type="containsText" priority="1796" operator="containsText" dxfId="5" text="NEURO">
      <formula>NOT(ISERROR(SEARCH(("NEURO"),(S36))))</formula>
    </cfRule>
    <cfRule type="containsText" priority="1797" operator="containsText" dxfId="0" text="ICU N">
      <formula>NOT(ISERROR(SEARCH(("ICU N"),(S36))))</formula>
    </cfRule>
    <cfRule type="containsText" priority="1798" operator="containsText" dxfId="3" text="ICU">
      <formula>NOT(ISERROR(SEARCH(("ICU"),(S36))))</formula>
    </cfRule>
    <cfRule type="containsText" priority="1799" operator="containsText" dxfId="0" text="SWING">
      <formula>NOT(ISERROR(SEARCH(("SWING"),(S36))))</formula>
    </cfRule>
    <cfRule type="containsText" priority="1800" operator="containsText" dxfId="0" text="NF">
      <formula>NOT(ISERROR(SEARCH(("NF"),(S36))))</formula>
    </cfRule>
  </conditionalFormatting>
  <conditionalFormatting sqref="U35">
    <cfRule type="containsText" priority="1766" operator="containsText" dxfId="16" text="ED">
      <formula>NOT(ISERROR(SEARCH(("ED"),(U35))))</formula>
    </cfRule>
    <cfRule type="containsText" priority="1767" operator="containsText" dxfId="15" text="GERIATRIC">
      <formula>NOT(ISERROR(SEARCH(("GERIATRIC"),(U35))))</formula>
    </cfRule>
    <cfRule type="containsText" priority="1768" operator="containsText" dxfId="17" text="VACATION">
      <formula>NOT(ISERROR(SEARCH(("VACATION"),(U35))))</formula>
    </cfRule>
    <cfRule type="containsText" priority="1769" operator="containsText" dxfId="7" text="PATH">
      <formula>NOT(ISERROR(SEARCH(("PATH"),(U35))))</formula>
    </cfRule>
    <cfRule type="containsText" priority="1770" operator="containsText" dxfId="7" text="NEPHRO">
      <formula>NOT(ISERROR(SEARCH(("NEPHRO"),(U35))))</formula>
    </cfRule>
    <cfRule type="containsText" priority="1771" operator="containsText" dxfId="7" text="PULM">
      <formula>NOT(ISERROR(SEARCH(("PULM"),(U35))))</formula>
    </cfRule>
    <cfRule type="containsText" priority="1772" operator="containsText" dxfId="7" text="RADIOLOGY">
      <formula>NOT(ISERROR(SEARCH(("RADIOLOGY"),(U35))))</formula>
    </cfRule>
    <cfRule type="containsText" priority="1773" operator="containsText" dxfId="7" text="HEM/ONC">
      <formula>NOT(ISERROR(SEARCH(("HEM/ONC"),(U35))))</formula>
    </cfRule>
    <cfRule type="containsText" priority="1774" operator="containsText" dxfId="7" text="CARDIO">
      <formula>NOT(ISERROR(SEARCH(("CARDIO"),(U35))))</formula>
    </cfRule>
    <cfRule type="containsText" priority="1775" operator="containsText" dxfId="7" text="ID">
      <formula>NOT(ISERROR(SEARCH(("ID"),(U35))))</formula>
    </cfRule>
    <cfRule type="containsText" priority="1776" operator="containsText" dxfId="7" text="NEURO">
      <formula>NOT(ISERROR(SEARCH(("NEURO"),(U35))))</formula>
    </cfRule>
    <cfRule type="containsText" priority="1777" operator="containsText" dxfId="6" text="NEURO">
      <formula>NOT(ISERROR(SEARCH(("NEURO"),(U35))))</formula>
    </cfRule>
    <cfRule type="containsText" priority="1778" operator="containsText" dxfId="5" text="NEURO">
      <formula>NOT(ISERROR(SEARCH(("NEURO"),(U35))))</formula>
    </cfRule>
    <cfRule type="containsText" priority="1779" operator="containsText" dxfId="0" text="ICU N">
      <formula>NOT(ISERROR(SEARCH(("ICU N"),(U35))))</formula>
    </cfRule>
    <cfRule type="containsText" priority="1780" operator="containsText" dxfId="3" text="ICU">
      <formula>NOT(ISERROR(SEARCH(("ICU"),(U35))))</formula>
    </cfRule>
    <cfRule type="containsText" priority="1781" operator="containsText" dxfId="0" text="SWING">
      <formula>NOT(ISERROR(SEARCH(("SWING"),(U35))))</formula>
    </cfRule>
    <cfRule type="containsText" priority="1782" operator="containsText" dxfId="0" text="NF">
      <formula>NOT(ISERROR(SEARCH(("NF"),(U35))))</formula>
    </cfRule>
    <cfRule type="containsText" priority="1783" operator="containsText" dxfId="0" text="ICU N">
      <formula>NOT(ISERROR(SEARCH(("ICU N"),(U35))))</formula>
    </cfRule>
    <cfRule type="containsText" priority="1748" operator="containsText" dxfId="16" text="ED">
      <formula>NOT(ISERROR(SEARCH(("ED"),(U35))))</formula>
    </cfRule>
    <cfRule type="containsText" priority="1749" operator="containsText" dxfId="15" text="GERIATRIC">
      <formula>NOT(ISERROR(SEARCH(("GERIATRIC"),(U35))))</formula>
    </cfRule>
    <cfRule type="containsText" priority="1750" operator="containsText" dxfId="17" text="VACATION">
      <formula>NOT(ISERROR(SEARCH(("VACATION"),(U35))))</formula>
    </cfRule>
    <cfRule type="containsText" priority="1751" operator="containsText" dxfId="7" text="PATH">
      <formula>NOT(ISERROR(SEARCH(("PATH"),(U35))))</formula>
    </cfRule>
    <cfRule type="containsText" priority="1752" operator="containsText" dxfId="7" text="NEPHRO">
      <formula>NOT(ISERROR(SEARCH(("NEPHRO"),(U35))))</formula>
    </cfRule>
    <cfRule type="containsText" priority="1753" operator="containsText" dxfId="7" text="PULM">
      <formula>NOT(ISERROR(SEARCH(("PULM"),(U35))))</formula>
    </cfRule>
    <cfRule type="containsText" priority="1754" operator="containsText" dxfId="7" text="RADIOLOGY">
      <formula>NOT(ISERROR(SEARCH(("RADIOLOGY"),(U35))))</formula>
    </cfRule>
    <cfRule type="containsText" priority="1755" operator="containsText" dxfId="7" text="HEM/ONC">
      <formula>NOT(ISERROR(SEARCH(("HEM/ONC"),(U35))))</formula>
    </cfRule>
    <cfRule type="containsText" priority="1756" operator="containsText" dxfId="7" text="CARDIO">
      <formula>NOT(ISERROR(SEARCH(("CARDIO"),(U35))))</formula>
    </cfRule>
    <cfRule type="containsText" priority="1757" operator="containsText" dxfId="7" text="ID">
      <formula>NOT(ISERROR(SEARCH(("ID"),(U35))))</formula>
    </cfRule>
    <cfRule type="containsText" priority="1758" operator="containsText" dxfId="7" text="NEURO">
      <formula>NOT(ISERROR(SEARCH(("NEURO"),(U35))))</formula>
    </cfRule>
    <cfRule type="containsText" priority="1759" operator="containsText" dxfId="6" text="NEURO">
      <formula>NOT(ISERROR(SEARCH(("NEURO"),(U35))))</formula>
    </cfRule>
    <cfRule type="containsText" priority="1760" operator="containsText" dxfId="5" text="NEURO">
      <formula>NOT(ISERROR(SEARCH(("NEURO"),(U35))))</formula>
    </cfRule>
    <cfRule type="containsText" priority="1761" operator="containsText" dxfId="0" text="ICU N">
      <formula>NOT(ISERROR(SEARCH(("ICU N"),(U35))))</formula>
    </cfRule>
    <cfRule type="containsText" priority="1762" operator="containsText" dxfId="3" text="ICU">
      <formula>NOT(ISERROR(SEARCH(("ICU"),(U35))))</formula>
    </cfRule>
    <cfRule type="containsText" priority="1763" operator="containsText" dxfId="0" text="SWING">
      <formula>NOT(ISERROR(SEARCH(("SWING"),(U35))))</formula>
    </cfRule>
    <cfRule type="containsText" priority="1764" operator="containsText" dxfId="0" text="NF">
      <formula>NOT(ISERROR(SEARCH(("NF"),(U35))))</formula>
    </cfRule>
    <cfRule type="containsText" priority="1765" operator="containsText" dxfId="0" text="ICU N">
      <formula>NOT(ISERROR(SEARCH(("ICU N"),(U35))))</formula>
    </cfRule>
  </conditionalFormatting>
  <conditionalFormatting sqref="AC55">
    <cfRule type="containsText" priority="1731" operator="containsText" dxfId="17" text="VACATION">
      <formula>NOT(ISERROR(SEARCH(("VACATION"),(AC55))))</formula>
    </cfRule>
    <cfRule type="containsText" priority="1732" operator="containsText" dxfId="16" text="ED">
      <formula>NOT(ISERROR(SEARCH(("ED"),(AC55))))</formula>
    </cfRule>
    <cfRule type="containsText" priority="1733" operator="containsText" dxfId="15" text="GERIATRIC">
      <formula>NOT(ISERROR(SEARCH(("GERIATRIC"),(AC55))))</formula>
    </cfRule>
    <cfRule type="containsText" priority="1734" operator="containsText" dxfId="7" text="PATH">
      <formula>NOT(ISERROR(SEARCH(("PATH"),(AC55))))</formula>
    </cfRule>
    <cfRule type="containsText" priority="1735" operator="containsText" dxfId="7" text="NEPHRO">
      <formula>NOT(ISERROR(SEARCH(("NEPHRO"),(AC55))))</formula>
    </cfRule>
    <cfRule type="containsText" priority="1736" operator="containsText" dxfId="7" text="PULM">
      <formula>NOT(ISERROR(SEARCH(("PULM"),(AC55))))</formula>
    </cfRule>
    <cfRule type="containsText" priority="1737" operator="containsText" dxfId="7" text="RADIOLOGY">
      <formula>NOT(ISERROR(SEARCH(("RADIOLOGY"),(AC55))))</formula>
    </cfRule>
    <cfRule type="containsText" priority="1738" operator="containsText" dxfId="7" text="HEM/ONC">
      <formula>NOT(ISERROR(SEARCH(("HEM/ONC"),(AC55))))</formula>
    </cfRule>
    <cfRule type="containsText" priority="1739" operator="containsText" dxfId="7" text="CARDIO">
      <formula>NOT(ISERROR(SEARCH(("CARDIO"),(AC55))))</formula>
    </cfRule>
    <cfRule type="containsText" priority="1740" operator="containsText" dxfId="7" text="ID">
      <formula>NOT(ISERROR(SEARCH(("ID"),(AC55))))</formula>
    </cfRule>
    <cfRule type="containsText" priority="1741" operator="containsText" dxfId="7" text="NEURO">
      <formula>NOT(ISERROR(SEARCH(("NEURO"),(AC55))))</formula>
    </cfRule>
    <cfRule type="containsText" priority="1742" operator="containsText" dxfId="6" text="NEURO">
      <formula>NOT(ISERROR(SEARCH(("NEURO"),(AC55))))</formula>
    </cfRule>
    <cfRule type="containsText" priority="1743" operator="containsText" dxfId="5" text="NEURO">
      <formula>NOT(ISERROR(SEARCH(("NEURO"),(AC55))))</formula>
    </cfRule>
    <cfRule type="containsText" priority="1744" operator="containsText" dxfId="0" text="ICU N">
      <formula>NOT(ISERROR(SEARCH(("ICU N"),(AC55))))</formula>
    </cfRule>
    <cfRule type="containsText" priority="1745" operator="containsText" dxfId="3" text="ICU">
      <formula>NOT(ISERROR(SEARCH(("ICU"),(AC55))))</formula>
    </cfRule>
    <cfRule type="containsText" priority="1746" operator="containsText" dxfId="0" text="SWING">
      <formula>NOT(ISERROR(SEARCH(("SWING"),(AC55))))</formula>
    </cfRule>
    <cfRule type="containsText" priority="1747" operator="containsText" dxfId="0" text="NF">
      <formula>NOT(ISERROR(SEARCH(("NF"),(AC55))))</formula>
    </cfRule>
    <cfRule type="containsText" priority="1729" operator="containsText" dxfId="17" text="VACATION">
      <formula>NOT(ISERROR(SEARCH(("VACATION"),(AC55))))</formula>
    </cfRule>
    <cfRule type="containsText" priority="1730" operator="containsText" dxfId="0" text="ICU N">
      <formula>NOT(ISERROR(SEARCH(("ICU N"),(AC55))))</formula>
    </cfRule>
  </conditionalFormatting>
  <conditionalFormatting sqref="AD53">
    <cfRule type="containsText" priority="1712" operator="containsText" dxfId="17" text="VACATION">
      <formula>NOT(ISERROR(SEARCH(("VACATION"),(AD53))))</formula>
    </cfRule>
    <cfRule type="containsText" priority="1713" operator="containsText" dxfId="16" text="ED">
      <formula>NOT(ISERROR(SEARCH(("ED"),(AD53))))</formula>
    </cfRule>
    <cfRule type="containsText" priority="1714" operator="containsText" dxfId="15" text="GERIATRIC">
      <formula>NOT(ISERROR(SEARCH(("GERIATRIC"),(AD53))))</formula>
    </cfRule>
    <cfRule type="containsText" priority="1715" operator="containsText" dxfId="7" text="PATH">
      <formula>NOT(ISERROR(SEARCH(("PATH"),(AD53))))</formula>
    </cfRule>
    <cfRule type="containsText" priority="1716" operator="containsText" dxfId="7" text="NEPHRO">
      <formula>NOT(ISERROR(SEARCH(("NEPHRO"),(AD53))))</formula>
    </cfRule>
    <cfRule type="containsText" priority="1717" operator="containsText" dxfId="7" text="PULM">
      <formula>NOT(ISERROR(SEARCH(("PULM"),(AD53))))</formula>
    </cfRule>
    <cfRule type="containsText" priority="1718" operator="containsText" dxfId="7" text="RADIOLOGY">
      <formula>NOT(ISERROR(SEARCH(("RADIOLOGY"),(AD53))))</formula>
    </cfRule>
    <cfRule type="containsText" priority="1719" operator="containsText" dxfId="7" text="HEM/ONC">
      <formula>NOT(ISERROR(SEARCH(("HEM/ONC"),(AD53))))</formula>
    </cfRule>
    <cfRule type="containsText" priority="1720" operator="containsText" dxfId="7" text="CARDIO">
      <formula>NOT(ISERROR(SEARCH(("CARDIO"),(AD53))))</formula>
    </cfRule>
    <cfRule type="containsText" priority="1721" operator="containsText" dxfId="7" text="ID">
      <formula>NOT(ISERROR(SEARCH(("ID"),(AD53))))</formula>
    </cfRule>
    <cfRule type="containsText" priority="1722" operator="containsText" dxfId="7" text="NEURO">
      <formula>NOT(ISERROR(SEARCH(("NEURO"),(AD53))))</formula>
    </cfRule>
    <cfRule type="containsText" priority="1723" operator="containsText" dxfId="6" text="NEURO">
      <formula>NOT(ISERROR(SEARCH(("NEURO"),(AD53))))</formula>
    </cfRule>
    <cfRule type="containsText" priority="1724" operator="containsText" dxfId="5" text="NEURO">
      <formula>NOT(ISERROR(SEARCH(("NEURO"),(AD53))))</formula>
    </cfRule>
    <cfRule type="containsText" priority="1725" operator="containsText" dxfId="0" text="ICU N">
      <formula>NOT(ISERROR(SEARCH(("ICU N"),(AD53))))</formula>
    </cfRule>
    <cfRule type="containsText" priority="1726" operator="containsText" dxfId="3" text="ICU">
      <formula>NOT(ISERROR(SEARCH(("ICU"),(AD53))))</formula>
    </cfRule>
    <cfRule type="containsText" priority="1727" operator="containsText" dxfId="0" text="SWING">
      <formula>NOT(ISERROR(SEARCH(("SWING"),(AD53))))</formula>
    </cfRule>
    <cfRule type="containsText" priority="1728" operator="containsText" dxfId="0" text="NF">
      <formula>NOT(ISERROR(SEARCH(("NF"),(AD53))))</formula>
    </cfRule>
    <cfRule type="containsText" priority="1710" operator="containsText" dxfId="17" text="VACATION">
      <formula>NOT(ISERROR(SEARCH(("VACATION"),(AD53))))</formula>
    </cfRule>
    <cfRule type="containsText" priority="1711" operator="containsText" dxfId="0" text="ICU N">
      <formula>NOT(ISERROR(SEARCH(("ICU N"),(AD53))))</formula>
    </cfRule>
  </conditionalFormatting>
  <conditionalFormatting sqref="M35">
    <cfRule type="containsText" priority="1692" operator="containsText" dxfId="16" text="ED">
      <formula>NOT(ISERROR(SEARCH(("ED"),(M35))))</formula>
    </cfRule>
    <cfRule type="containsText" priority="1693" operator="containsText" dxfId="15" text="GERIATRIC">
      <formula>NOT(ISERROR(SEARCH(("GERIATRIC"),(M35))))</formula>
    </cfRule>
    <cfRule type="containsText" priority="1694" operator="containsText" dxfId="17" text="VACATION">
      <formula>NOT(ISERROR(SEARCH(("VACATION"),(M35))))</formula>
    </cfRule>
    <cfRule type="containsText" priority="1695" operator="containsText" dxfId="7" text="PATH">
      <formula>NOT(ISERROR(SEARCH(("PATH"),(M35))))</formula>
    </cfRule>
    <cfRule type="containsText" priority="1696" operator="containsText" dxfId="7" text="NEPHRO">
      <formula>NOT(ISERROR(SEARCH(("NEPHRO"),(M35))))</formula>
    </cfRule>
    <cfRule type="containsText" priority="1697" operator="containsText" dxfId="7" text="PULM">
      <formula>NOT(ISERROR(SEARCH(("PULM"),(M35))))</formula>
    </cfRule>
    <cfRule type="containsText" priority="1698" operator="containsText" dxfId="7" text="RADIOLOGY">
      <formula>NOT(ISERROR(SEARCH(("RADIOLOGY"),(M35))))</formula>
    </cfRule>
    <cfRule type="containsText" priority="1699" operator="containsText" dxfId="7" text="HEM/ONC">
      <formula>NOT(ISERROR(SEARCH(("HEM/ONC"),(M35))))</formula>
    </cfRule>
    <cfRule type="containsText" priority="1700" operator="containsText" dxfId="7" text="CARDIO">
      <formula>NOT(ISERROR(SEARCH(("CARDIO"),(M35))))</formula>
    </cfRule>
    <cfRule type="containsText" priority="1701" operator="containsText" dxfId="7" text="ID">
      <formula>NOT(ISERROR(SEARCH(("ID"),(M35))))</formula>
    </cfRule>
    <cfRule type="containsText" priority="1702" operator="containsText" dxfId="7" text="NEURO">
      <formula>NOT(ISERROR(SEARCH(("NEURO"),(M35))))</formula>
    </cfRule>
    <cfRule type="containsText" priority="1703" operator="containsText" dxfId="6" text="NEURO">
      <formula>NOT(ISERROR(SEARCH(("NEURO"),(M35))))</formula>
    </cfRule>
    <cfRule type="containsText" priority="1704" operator="containsText" dxfId="5" text="NEURO">
      <formula>NOT(ISERROR(SEARCH(("NEURO"),(M35))))</formula>
    </cfRule>
    <cfRule type="containsText" priority="1705" operator="containsText" dxfId="0" text="ICU N">
      <formula>NOT(ISERROR(SEARCH(("ICU N"),(M35))))</formula>
    </cfRule>
    <cfRule type="containsText" priority="1706" operator="containsText" dxfId="3" text="ICU">
      <formula>NOT(ISERROR(SEARCH(("ICU"),(M35))))</formula>
    </cfRule>
    <cfRule type="containsText" priority="1707" operator="containsText" dxfId="0" text="SWING">
      <formula>NOT(ISERROR(SEARCH(("SWING"),(M35))))</formula>
    </cfRule>
    <cfRule type="containsText" priority="1708" operator="containsText" dxfId="0" text="NF">
      <formula>NOT(ISERROR(SEARCH(("NF"),(M35))))</formula>
    </cfRule>
    <cfRule type="containsText" priority="1709" operator="containsText" dxfId="0" text="ICU N">
      <formula>NOT(ISERROR(SEARCH(("ICU N"),(M35))))</formula>
    </cfRule>
    <cfRule type="containsText" priority="1674" operator="containsText" dxfId="16" text="ED">
      <formula>NOT(ISERROR(SEARCH(("ED"),(M35))))</formula>
    </cfRule>
    <cfRule type="containsText" priority="1675" operator="containsText" dxfId="15" text="GERIATRIC">
      <formula>NOT(ISERROR(SEARCH(("GERIATRIC"),(M35))))</formula>
    </cfRule>
    <cfRule type="containsText" priority="1676" operator="containsText" dxfId="17" text="VACATION">
      <formula>NOT(ISERROR(SEARCH(("VACATION"),(M35))))</formula>
    </cfRule>
    <cfRule type="containsText" priority="1677" operator="containsText" dxfId="7" text="PATH">
      <formula>NOT(ISERROR(SEARCH(("PATH"),(M35))))</formula>
    </cfRule>
    <cfRule type="containsText" priority="1678" operator="containsText" dxfId="7" text="NEPHRO">
      <formula>NOT(ISERROR(SEARCH(("NEPHRO"),(M35))))</formula>
    </cfRule>
    <cfRule type="containsText" priority="1679" operator="containsText" dxfId="7" text="PULM">
      <formula>NOT(ISERROR(SEARCH(("PULM"),(M35))))</formula>
    </cfRule>
    <cfRule type="containsText" priority="1680" operator="containsText" dxfId="7" text="RADIOLOGY">
      <formula>NOT(ISERROR(SEARCH(("RADIOLOGY"),(M35))))</formula>
    </cfRule>
    <cfRule type="containsText" priority="1681" operator="containsText" dxfId="7" text="HEM/ONC">
      <formula>NOT(ISERROR(SEARCH(("HEM/ONC"),(M35))))</formula>
    </cfRule>
    <cfRule type="containsText" priority="1682" operator="containsText" dxfId="7" text="CARDIO">
      <formula>NOT(ISERROR(SEARCH(("CARDIO"),(M35))))</formula>
    </cfRule>
    <cfRule type="containsText" priority="1683" operator="containsText" dxfId="7" text="ID">
      <formula>NOT(ISERROR(SEARCH(("ID"),(M35))))</formula>
    </cfRule>
    <cfRule type="containsText" priority="1684" operator="containsText" dxfId="7" text="NEURO">
      <formula>NOT(ISERROR(SEARCH(("NEURO"),(M35))))</formula>
    </cfRule>
    <cfRule type="containsText" priority="1685" operator="containsText" dxfId="6" text="NEURO">
      <formula>NOT(ISERROR(SEARCH(("NEURO"),(M35))))</formula>
    </cfRule>
    <cfRule type="containsText" priority="1686" operator="containsText" dxfId="5" text="NEURO">
      <formula>NOT(ISERROR(SEARCH(("NEURO"),(M35))))</formula>
    </cfRule>
    <cfRule type="containsText" priority="1687" operator="containsText" dxfId="0" text="ICU N">
      <formula>NOT(ISERROR(SEARCH(("ICU N"),(M35))))</formula>
    </cfRule>
    <cfRule type="containsText" priority="1688" operator="containsText" dxfId="3" text="ICU">
      <formula>NOT(ISERROR(SEARCH(("ICU"),(M35))))</formula>
    </cfRule>
    <cfRule type="containsText" priority="1689" operator="containsText" dxfId="0" text="SWING">
      <formula>NOT(ISERROR(SEARCH(("SWING"),(M35))))</formula>
    </cfRule>
    <cfRule type="containsText" priority="1690" operator="containsText" dxfId="0" text="NF">
      <formula>NOT(ISERROR(SEARCH(("NF"),(M35))))</formula>
    </cfRule>
    <cfRule type="containsText" priority="1691" operator="containsText" dxfId="0" text="ICU N">
      <formula>NOT(ISERROR(SEARCH(("ICU N"),(M35))))</formula>
    </cfRule>
  </conditionalFormatting>
  <conditionalFormatting sqref="Z35">
    <cfRule type="containsText" priority="1671" operator="containsText" dxfId="17" text="VACATION">
      <formula>NOT(ISERROR(SEARCH(("VACATION"),(Z35))))</formula>
    </cfRule>
    <cfRule type="containsText" priority="1672" operator="containsText" dxfId="16" text="ED">
      <formula>NOT(ISERROR(SEARCH(("ED"),(Z35))))</formula>
    </cfRule>
    <cfRule type="containsText" priority="1673" operator="containsText" dxfId="0" text="ICU N">
      <formula>NOT(ISERROR(SEARCH(("ICU N"),(Z35))))</formula>
    </cfRule>
  </conditionalFormatting>
  <conditionalFormatting sqref="R22">
    <cfRule type="containsText" priority="1650" operator="containsText" dxfId="17" text="VACATION">
      <formula>NOT(ISERROR(SEARCH(("VACATION"),(R22))))</formula>
    </cfRule>
    <cfRule type="containsText" priority="1651" operator="containsText" dxfId="0" text="ICU N">
      <formula>NOT(ISERROR(SEARCH(("ICU N"),(R22))))</formula>
    </cfRule>
    <cfRule type="containsText" priority="1649" operator="containsText" dxfId="17" text="VACATION">
      <formula>NOT(ISERROR(SEARCH(("VACATION"),(R22))))</formula>
    </cfRule>
    <cfRule type="containsText" priority="1634" operator="containsText" dxfId="7" text="PATH">
      <formula>NOT(ISERROR(SEARCH(("PATH"),(R22))))</formula>
    </cfRule>
    <cfRule type="containsText" priority="1635" operator="containsText" dxfId="7" text="NEPHRO">
      <formula>NOT(ISERROR(SEARCH(("NEPHRO"),(R22))))</formula>
    </cfRule>
    <cfRule type="containsText" priority="1636" operator="containsText" dxfId="7" text="PULM">
      <formula>NOT(ISERROR(SEARCH(("PULM"),(R22))))</formula>
    </cfRule>
    <cfRule type="containsText" priority="1637" operator="containsText" dxfId="7" text="RADIOLOGY">
      <formula>NOT(ISERROR(SEARCH(("RADIOLOGY"),(R22))))</formula>
    </cfRule>
    <cfRule type="containsText" priority="1638" operator="containsText" dxfId="7" text="HEM/ONC">
      <formula>NOT(ISERROR(SEARCH(("HEM/ONC"),(R22))))</formula>
    </cfRule>
    <cfRule type="containsText" priority="1639" operator="containsText" dxfId="7" text="CARDIO">
      <formula>NOT(ISERROR(SEARCH(("CARDIO"),(R22))))</formula>
    </cfRule>
    <cfRule type="containsText" priority="1640" operator="containsText" dxfId="7" text="ID">
      <formula>NOT(ISERROR(SEARCH(("ID"),(R22))))</formula>
    </cfRule>
    <cfRule type="containsText" priority="1641" operator="containsText" dxfId="7" text="NEURO">
      <formula>NOT(ISERROR(SEARCH(("NEURO"),(R22))))</formula>
    </cfRule>
    <cfRule type="containsText" priority="1642" operator="containsText" dxfId="6" text="NEURO">
      <formula>NOT(ISERROR(SEARCH(("NEURO"),(R22))))</formula>
    </cfRule>
    <cfRule type="containsText" priority="1643" operator="containsText" dxfId="5" text="NEURO">
      <formula>NOT(ISERROR(SEARCH(("NEURO"),(R22))))</formula>
    </cfRule>
    <cfRule type="containsText" priority="1644" operator="containsText" dxfId="0" text="ICU N">
      <formula>NOT(ISERROR(SEARCH(("ICU N"),(R22))))</formula>
    </cfRule>
    <cfRule type="containsText" priority="1645" operator="containsText" dxfId="3" text="ICU">
      <formula>NOT(ISERROR(SEARCH(("ICU"),(R22))))</formula>
    </cfRule>
    <cfRule type="containsText" priority="1646" operator="containsText" dxfId="0" text="SWING">
      <formula>NOT(ISERROR(SEARCH(("SWING"),(R22))))</formula>
    </cfRule>
    <cfRule type="containsText" priority="1647" operator="containsText" dxfId="0" text="NF">
      <formula>NOT(ISERROR(SEARCH(("NF"),(R22))))</formula>
    </cfRule>
    <cfRule type="containsText" priority="1648" operator="containsText" dxfId="0" text="ICU N">
      <formula>NOT(ISERROR(SEARCH(("ICU N"),(R22))))</formula>
    </cfRule>
    <cfRule type="containsText" priority="1632" operator="containsText" dxfId="17" text="VACATION">
      <formula>NOT(ISERROR(SEARCH(("VACATION"),(R22))))</formula>
    </cfRule>
    <cfRule type="containsText" priority="1633" operator="containsText" dxfId="0" text="ICU N">
      <formula>NOT(ISERROR(SEARCH(("ICU N"),(R22))))</formula>
    </cfRule>
  </conditionalFormatting>
  <conditionalFormatting sqref="Z24">
    <cfRule type="containsText" priority="1630" operator="containsText" dxfId="17" text="VACATION">
      <formula>NOT(ISERROR(SEARCH(("VACATION"),(Z24))))</formula>
    </cfRule>
    <cfRule type="containsText" priority="1631" operator="containsText" dxfId="0" text="ICU N">
      <formula>NOT(ISERROR(SEARCH(("ICU N"),(Z24))))</formula>
    </cfRule>
  </conditionalFormatting>
  <conditionalFormatting sqref="BA24">
    <cfRule type="containsText" priority="1629" operator="containsText" dxfId="0" text="ICU N">
      <formula>NOT(ISERROR(SEARCH(("ICU N"),(BA24))))</formula>
    </cfRule>
    <cfRule type="containsText" priority="1628" operator="containsText" dxfId="0" text="ICU N">
      <formula>NOT(ISERROR(SEARCH(("ICU N"),(BA24))))</formula>
    </cfRule>
  </conditionalFormatting>
  <conditionalFormatting sqref="AC27:AD27">
    <cfRule type="containsText" priority="1626" operator="containsText" dxfId="17" text="VACATION">
      <formula>NOT(ISERROR(SEARCH(("VACATION"),(AC27))))</formula>
    </cfRule>
    <cfRule type="containsText" priority="1627" operator="containsText" dxfId="0" text="ICU N">
      <formula>NOT(ISERROR(SEARCH(("ICU N"),(AC27))))</formula>
    </cfRule>
  </conditionalFormatting>
  <conditionalFormatting sqref="T26">
    <cfRule type="containsText" priority="1624" operator="containsText" dxfId="17" text="VACATION">
      <formula>NOT(ISERROR(SEARCH(("VACATION"),(T26))))</formula>
    </cfRule>
    <cfRule type="containsText" priority="1625" operator="containsText" dxfId="0" text="ICU N">
      <formula>NOT(ISERROR(SEARCH(("ICU N"),(T26))))</formula>
    </cfRule>
    <cfRule type="containsText" priority="1622" operator="containsText" dxfId="17" text="VACATION">
      <formula>NOT(ISERROR(SEARCH(("VACATION"),(T26))))</formula>
    </cfRule>
    <cfRule type="containsText" priority="1623" operator="containsText" dxfId="0" text="ICU N">
      <formula>NOT(ISERROR(SEARCH(("ICU N"),(T26))))</formula>
    </cfRule>
  </conditionalFormatting>
  <conditionalFormatting sqref="G26">
    <cfRule type="containsText" priority="1604" operator="containsText" dxfId="16" text="ED">
      <formula>NOT(ISERROR(SEARCH(("ED"),(G26))))</formula>
    </cfRule>
    <cfRule type="containsText" priority="1605" operator="containsText" dxfId="15" text="GERIATRIC">
      <formula>NOT(ISERROR(SEARCH(("GERIATRIC"),(G26))))</formula>
    </cfRule>
    <cfRule type="containsText" priority="1606" operator="containsText" dxfId="17" text="VACATION">
      <formula>NOT(ISERROR(SEARCH(("VACATION"),(G26))))</formula>
    </cfRule>
    <cfRule type="containsText" priority="1607" operator="containsText" dxfId="7" text="PATH">
      <formula>NOT(ISERROR(SEARCH(("PATH"),(G26))))</formula>
    </cfRule>
    <cfRule type="containsText" priority="1608" operator="containsText" dxfId="7" text="NEPHRO">
      <formula>NOT(ISERROR(SEARCH(("NEPHRO"),(G26))))</formula>
    </cfRule>
    <cfRule type="containsText" priority="1609" operator="containsText" dxfId="7" text="PULM">
      <formula>NOT(ISERROR(SEARCH(("PULM"),(G26))))</formula>
    </cfRule>
    <cfRule type="containsText" priority="1610" operator="containsText" dxfId="7" text="RADIOLOGY">
      <formula>NOT(ISERROR(SEARCH(("RADIOLOGY"),(G26))))</formula>
    </cfRule>
    <cfRule type="containsText" priority="1611" operator="containsText" dxfId="7" text="HEM/ONC">
      <formula>NOT(ISERROR(SEARCH(("HEM/ONC"),(G26))))</formula>
    </cfRule>
    <cfRule type="containsText" priority="1612" operator="containsText" dxfId="7" text="CARDIO">
      <formula>NOT(ISERROR(SEARCH(("CARDIO"),(G26))))</formula>
    </cfRule>
    <cfRule type="containsText" priority="1613" operator="containsText" dxfId="7" text="ID">
      <formula>NOT(ISERROR(SEARCH(("ID"),(G26))))</formula>
    </cfRule>
    <cfRule type="containsText" priority="1614" operator="containsText" dxfId="7" text="NEURO">
      <formula>NOT(ISERROR(SEARCH(("NEURO"),(G26))))</formula>
    </cfRule>
    <cfRule type="containsText" priority="1615" operator="containsText" dxfId="6" text="NEURO">
      <formula>NOT(ISERROR(SEARCH(("NEURO"),(G26))))</formula>
    </cfRule>
    <cfRule type="containsText" priority="1616" operator="containsText" dxfId="5" text="NEURO">
      <formula>NOT(ISERROR(SEARCH(("NEURO"),(G26))))</formula>
    </cfRule>
    <cfRule type="containsText" priority="1617" operator="containsText" dxfId="0" text="ICU N">
      <formula>NOT(ISERROR(SEARCH(("ICU N"),(G26))))</formula>
    </cfRule>
    <cfRule type="containsText" priority="1618" operator="containsText" dxfId="3" text="ICU">
      <formula>NOT(ISERROR(SEARCH(("ICU"),(G26))))</formula>
    </cfRule>
    <cfRule type="containsText" priority="1619" operator="containsText" dxfId="0" text="SWING">
      <formula>NOT(ISERROR(SEARCH(("SWING"),(G26))))</formula>
    </cfRule>
    <cfRule type="containsText" priority="1620" operator="containsText" dxfId="0" text="NF">
      <formula>NOT(ISERROR(SEARCH(("NF"),(G26))))</formula>
    </cfRule>
    <cfRule type="containsText" priority="1621" operator="containsText" dxfId="0" text="ICU N">
      <formula>NOT(ISERROR(SEARCH(("ICU N"),(G26))))</formula>
    </cfRule>
  </conditionalFormatting>
  <conditionalFormatting sqref="AY26:AZ26">
    <cfRule type="containsText" priority="1586" operator="containsText" dxfId="16" text="ED">
      <formula>NOT(ISERROR(SEARCH(("ED"),(AY26))))</formula>
    </cfRule>
    <cfRule type="containsText" priority="1587" operator="containsText" dxfId="15" text="GERIATRIC">
      <formula>NOT(ISERROR(SEARCH(("GERIATRIC"),(AY26))))</formula>
    </cfRule>
    <cfRule type="containsText" priority="1588" operator="containsText" dxfId="17" text="VACATION">
      <formula>NOT(ISERROR(SEARCH(("VACATION"),(AY26))))</formula>
    </cfRule>
    <cfRule type="containsText" priority="1589" operator="containsText" dxfId="7" text="PATH">
      <formula>NOT(ISERROR(SEARCH(("PATH"),(AY26))))</formula>
    </cfRule>
    <cfRule type="containsText" priority="1590" operator="containsText" dxfId="7" text="NEPHRO">
      <formula>NOT(ISERROR(SEARCH(("NEPHRO"),(AY26))))</formula>
    </cfRule>
    <cfRule type="containsText" priority="1591" operator="containsText" dxfId="7" text="PULM">
      <formula>NOT(ISERROR(SEARCH(("PULM"),(AY26))))</formula>
    </cfRule>
    <cfRule type="containsText" priority="1592" operator="containsText" dxfId="7" text="RADIOLOGY">
      <formula>NOT(ISERROR(SEARCH(("RADIOLOGY"),(AY26))))</formula>
    </cfRule>
    <cfRule type="containsText" priority="1593" operator="containsText" dxfId="7" text="HEM/ONC">
      <formula>NOT(ISERROR(SEARCH(("HEM/ONC"),(AY26))))</formula>
    </cfRule>
    <cfRule type="containsText" priority="1594" operator="containsText" dxfId="7" text="CARDIO">
      <formula>NOT(ISERROR(SEARCH(("CARDIO"),(AY26))))</formula>
    </cfRule>
    <cfRule type="containsText" priority="1595" operator="containsText" dxfId="7" text="ID">
      <formula>NOT(ISERROR(SEARCH(("ID"),(AY26))))</formula>
    </cfRule>
    <cfRule type="containsText" priority="1596" operator="containsText" dxfId="7" text="NEURO">
      <formula>NOT(ISERROR(SEARCH(("NEURO"),(AY26))))</formula>
    </cfRule>
    <cfRule type="containsText" priority="1597" operator="containsText" dxfId="6" text="NEURO">
      <formula>NOT(ISERROR(SEARCH(("NEURO"),(AY26))))</formula>
    </cfRule>
    <cfRule type="containsText" priority="1598" operator="containsText" dxfId="5" text="NEURO">
      <formula>NOT(ISERROR(SEARCH(("NEURO"),(AY26))))</formula>
    </cfRule>
    <cfRule type="containsText" priority="1599" operator="containsText" dxfId="0" text="ICU N">
      <formula>NOT(ISERROR(SEARCH(("ICU N"),(AY26))))</formula>
    </cfRule>
    <cfRule type="containsText" priority="1600" operator="containsText" dxfId="3" text="ICU">
      <formula>NOT(ISERROR(SEARCH(("ICU"),(AY26))))</formula>
    </cfRule>
    <cfRule type="containsText" priority="1601" operator="containsText" dxfId="0" text="SWING">
      <formula>NOT(ISERROR(SEARCH(("SWING"),(AY26))))</formula>
    </cfRule>
    <cfRule type="containsText" priority="1602" operator="containsText" dxfId="0" text="NF">
      <formula>NOT(ISERROR(SEARCH(("NF"),(AY26))))</formula>
    </cfRule>
    <cfRule type="containsText" priority="1603" operator="containsText" dxfId="0" text="ICU N">
      <formula>NOT(ISERROR(SEARCH(("ICU N"),(AY26))))</formula>
    </cfRule>
    <cfRule type="containsText" priority="1568" operator="containsText" dxfId="16" text="ED">
      <formula>NOT(ISERROR(SEARCH(("ED"),(AY26))))</formula>
    </cfRule>
    <cfRule type="containsText" priority="1569" operator="containsText" dxfId="15" text="GERIATRIC">
      <formula>NOT(ISERROR(SEARCH(("GERIATRIC"),(AY26))))</formula>
    </cfRule>
    <cfRule type="containsText" priority="1570" operator="containsText" dxfId="17" text="VACATION">
      <formula>NOT(ISERROR(SEARCH(("VACATION"),(AY26))))</formula>
    </cfRule>
    <cfRule type="containsText" priority="1571" operator="containsText" dxfId="7" text="PATH">
      <formula>NOT(ISERROR(SEARCH(("PATH"),(AY26))))</formula>
    </cfRule>
    <cfRule type="containsText" priority="1572" operator="containsText" dxfId="7" text="NEPHRO">
      <formula>NOT(ISERROR(SEARCH(("NEPHRO"),(AY26))))</formula>
    </cfRule>
    <cfRule type="containsText" priority="1573" operator="containsText" dxfId="7" text="PULM">
      <formula>NOT(ISERROR(SEARCH(("PULM"),(AY26))))</formula>
    </cfRule>
    <cfRule type="containsText" priority="1574" operator="containsText" dxfId="7" text="RADIOLOGY">
      <formula>NOT(ISERROR(SEARCH(("RADIOLOGY"),(AY26))))</formula>
    </cfRule>
    <cfRule type="containsText" priority="1575" operator="containsText" dxfId="7" text="HEM/ONC">
      <formula>NOT(ISERROR(SEARCH(("HEM/ONC"),(AY26))))</formula>
    </cfRule>
    <cfRule type="containsText" priority="1576" operator="containsText" dxfId="7" text="CARDIO">
      <formula>NOT(ISERROR(SEARCH(("CARDIO"),(AY26))))</formula>
    </cfRule>
    <cfRule type="containsText" priority="1577" operator="containsText" dxfId="7" text="ID">
      <formula>NOT(ISERROR(SEARCH(("ID"),(AY26))))</formula>
    </cfRule>
    <cfRule type="containsText" priority="1578" operator="containsText" dxfId="7" text="NEURO">
      <formula>NOT(ISERROR(SEARCH(("NEURO"),(AY26))))</formula>
    </cfRule>
    <cfRule type="containsText" priority="1579" operator="containsText" dxfId="6" text="NEURO">
      <formula>NOT(ISERROR(SEARCH(("NEURO"),(AY26))))</formula>
    </cfRule>
    <cfRule type="containsText" priority="1580" operator="containsText" dxfId="5" text="NEURO">
      <formula>NOT(ISERROR(SEARCH(("NEURO"),(AY26))))</formula>
    </cfRule>
    <cfRule type="containsText" priority="1581" operator="containsText" dxfId="0" text="ICU N">
      <formula>NOT(ISERROR(SEARCH(("ICU N"),(AY26))))</formula>
    </cfRule>
    <cfRule type="containsText" priority="1582" operator="containsText" dxfId="3" text="ICU">
      <formula>NOT(ISERROR(SEARCH(("ICU"),(AY26))))</formula>
    </cfRule>
    <cfRule type="containsText" priority="1583" operator="containsText" dxfId="0" text="SWING">
      <formula>NOT(ISERROR(SEARCH(("SWING"),(AY26))))</formula>
    </cfRule>
    <cfRule type="containsText" priority="1584" operator="containsText" dxfId="0" text="NF">
      <formula>NOT(ISERROR(SEARCH(("NF"),(AY26))))</formula>
    </cfRule>
    <cfRule type="containsText" priority="1585" operator="containsText" dxfId="0" text="ICU N">
      <formula>NOT(ISERROR(SEARCH(("ICU N"),(AY26))))</formula>
    </cfRule>
  </conditionalFormatting>
  <conditionalFormatting sqref="R26">
    <cfRule type="containsText" priority="1512" operator="containsText" dxfId="17" text="VACATION">
      <formula>NOT(ISERROR(SEARCH(("VACATION"),(R26))))</formula>
    </cfRule>
    <cfRule type="containsText" priority="1513" operator="containsText" dxfId="0" text="ICU N">
      <formula>NOT(ISERROR(SEARCH(("ICU N"),(R26))))</formula>
    </cfRule>
    <cfRule type="containsText" priority="1510" operator="containsText" dxfId="17" text="VACATION">
      <formula>NOT(ISERROR(SEARCH(("VACATION"),(R26))))</formula>
    </cfRule>
    <cfRule type="containsText" priority="1511" operator="containsText" dxfId="0" text="ICU N">
      <formula>NOT(ISERROR(SEARCH(("ICU N"),(R26))))</formula>
    </cfRule>
  </conditionalFormatting>
  <conditionalFormatting sqref="Y24">
    <cfRule type="containsText" priority="1496" operator="containsText" dxfId="15" text="GERIATRIC">
      <formula>NOT(ISERROR(SEARCH(("GERIATRIC"),(Y24))))</formula>
    </cfRule>
    <cfRule type="containsText" priority="1497" operator="containsText" dxfId="7" text="PATH">
      <formula>NOT(ISERROR(SEARCH(("PATH"),(Y24))))</formula>
    </cfRule>
    <cfRule type="containsText" priority="1498" operator="containsText" dxfId="7" text="NEPHRO">
      <formula>NOT(ISERROR(SEARCH(("NEPHRO"),(Y24))))</formula>
    </cfRule>
    <cfRule type="containsText" priority="1499" operator="containsText" dxfId="7" text="PULM">
      <formula>NOT(ISERROR(SEARCH(("PULM"),(Y24))))</formula>
    </cfRule>
    <cfRule type="containsText" priority="1500" operator="containsText" dxfId="7" text="RADIOLOGY">
      <formula>NOT(ISERROR(SEARCH(("RADIOLOGY"),(Y24))))</formula>
    </cfRule>
    <cfRule type="containsText" priority="1501" operator="containsText" dxfId="7" text="HEM/ONC">
      <formula>NOT(ISERROR(SEARCH(("HEM/ONC"),(Y24))))</formula>
    </cfRule>
    <cfRule type="containsText" priority="1502" operator="containsText" dxfId="7" text="CARDIO">
      <formula>NOT(ISERROR(SEARCH(("CARDIO"),(Y24))))</formula>
    </cfRule>
    <cfRule type="containsText" priority="1503" operator="containsText" dxfId="7" text="ID">
      <formula>NOT(ISERROR(SEARCH(("ID"),(Y24))))</formula>
    </cfRule>
    <cfRule type="containsText" priority="1504" operator="containsText" dxfId="7" text="NEURO">
      <formula>NOT(ISERROR(SEARCH(("NEURO"),(Y24))))</formula>
    </cfRule>
    <cfRule type="containsText" priority="1505" operator="containsText" dxfId="6" text="NEURO">
      <formula>NOT(ISERROR(SEARCH(("NEURO"),(Y24))))</formula>
    </cfRule>
    <cfRule type="containsText" priority="1506" operator="containsText" dxfId="5" text="NEURO">
      <formula>NOT(ISERROR(SEARCH(("NEURO"),(Y24))))</formula>
    </cfRule>
    <cfRule type="containsText" priority="1507" operator="containsText" dxfId="3" text="ICU">
      <formula>NOT(ISERROR(SEARCH(("ICU"),(Y24))))</formula>
    </cfRule>
    <cfRule type="containsText" priority="1508" operator="containsText" dxfId="0" text="SWING">
      <formula>NOT(ISERROR(SEARCH(("SWING"),(Y24))))</formula>
    </cfRule>
    <cfRule type="containsText" priority="1509" operator="containsText" dxfId="0" text="NF">
      <formula>NOT(ISERROR(SEARCH(("NF"),(Y24))))</formula>
    </cfRule>
  </conditionalFormatting>
  <conditionalFormatting sqref="Y8">
    <cfRule type="containsText" priority="1479" operator="containsText" dxfId="17" text="VACATION">
      <formula>NOT(ISERROR(SEARCH(("VACATION"),(Y8))))</formula>
    </cfRule>
    <cfRule type="containsText" priority="1480" operator="containsText" dxfId="16" text="ED">
      <formula>NOT(ISERROR(SEARCH(("ED"),(Y8))))</formula>
    </cfRule>
    <cfRule type="containsText" priority="1481" operator="containsText" dxfId="15" text="GERIATRIC">
      <formula>NOT(ISERROR(SEARCH(("GERIATRIC"),(Y8))))</formula>
    </cfRule>
    <cfRule type="containsText" priority="1482" operator="containsText" dxfId="7" text="PATH">
      <formula>NOT(ISERROR(SEARCH(("PATH"),(Y8))))</formula>
    </cfRule>
    <cfRule type="containsText" priority="1483" operator="containsText" dxfId="7" text="NEPHRO">
      <formula>NOT(ISERROR(SEARCH(("NEPHRO"),(Y8))))</formula>
    </cfRule>
    <cfRule type="containsText" priority="1484" operator="containsText" dxfId="7" text="PULM">
      <formula>NOT(ISERROR(SEARCH(("PULM"),(Y8))))</formula>
    </cfRule>
    <cfRule type="containsText" priority="1485" operator="containsText" dxfId="7" text="RADIOLOGY">
      <formula>NOT(ISERROR(SEARCH(("RADIOLOGY"),(Y8))))</formula>
    </cfRule>
    <cfRule type="containsText" priority="1486" operator="containsText" dxfId="7" text="HEM/ONC">
      <formula>NOT(ISERROR(SEARCH(("HEM/ONC"),(Y8))))</formula>
    </cfRule>
    <cfRule type="containsText" priority="1487" operator="containsText" dxfId="7" text="CARDIO">
      <formula>NOT(ISERROR(SEARCH(("CARDIO"),(Y8))))</formula>
    </cfRule>
    <cfRule type="containsText" priority="1488" operator="containsText" dxfId="7" text="ID">
      <formula>NOT(ISERROR(SEARCH(("ID"),(Y8))))</formula>
    </cfRule>
    <cfRule type="containsText" priority="1489" operator="containsText" dxfId="7" text="NEURO">
      <formula>NOT(ISERROR(SEARCH(("NEURO"),(Y8))))</formula>
    </cfRule>
    <cfRule type="containsText" priority="1490" operator="containsText" dxfId="6" text="NEURO">
      <formula>NOT(ISERROR(SEARCH(("NEURO"),(Y8))))</formula>
    </cfRule>
    <cfRule type="containsText" priority="1491" operator="containsText" dxfId="5" text="NEURO">
      <formula>NOT(ISERROR(SEARCH(("NEURO"),(Y8))))</formula>
    </cfRule>
    <cfRule type="containsText" priority="1492" operator="containsText" dxfId="0" text="ICU N">
      <formula>NOT(ISERROR(SEARCH(("ICU N"),(Y8))))</formula>
    </cfRule>
    <cfRule type="containsText" priority="1493" operator="containsText" dxfId="3" text="ICU">
      <formula>NOT(ISERROR(SEARCH(("ICU"),(Y8))))</formula>
    </cfRule>
    <cfRule type="containsText" priority="1494" operator="containsText" dxfId="0" text="SWING">
      <formula>NOT(ISERROR(SEARCH(("SWING"),(Y8))))</formula>
    </cfRule>
    <cfRule type="containsText" priority="1495" operator="containsText" dxfId="0" text="NF">
      <formula>NOT(ISERROR(SEARCH(("NF"),(Y8))))</formula>
    </cfRule>
    <cfRule type="containsText" priority="1477" operator="containsText" dxfId="17" text="VACATION">
      <formula>NOT(ISERROR(SEARCH(("VACATION"),(Y8))))</formula>
    </cfRule>
    <cfRule type="containsText" priority="1478" operator="containsText" dxfId="0" text="ICU N">
      <formula>NOT(ISERROR(SEARCH(("ICU N"),(Y8))))</formula>
    </cfRule>
  </conditionalFormatting>
  <conditionalFormatting sqref="V34">
    <cfRule type="containsText" priority="1463" operator="containsText" dxfId="15" text="GERIATRIC">
      <formula>NOT(ISERROR(SEARCH(("GERIATRIC"),(V34))))</formula>
    </cfRule>
    <cfRule type="containsText" priority="1464" operator="containsText" dxfId="7" text="PATH">
      <formula>NOT(ISERROR(SEARCH(("PATH"),(V34))))</formula>
    </cfRule>
    <cfRule type="containsText" priority="1465" operator="containsText" dxfId="7" text="NEPHRO">
      <formula>NOT(ISERROR(SEARCH(("NEPHRO"),(V34))))</formula>
    </cfRule>
    <cfRule type="containsText" priority="1466" operator="containsText" dxfId="7" text="PULM">
      <formula>NOT(ISERROR(SEARCH(("PULM"),(V34))))</formula>
    </cfRule>
    <cfRule type="containsText" priority="1467" operator="containsText" dxfId="7" text="RADIOLOGY">
      <formula>NOT(ISERROR(SEARCH(("RADIOLOGY"),(V34))))</formula>
    </cfRule>
    <cfRule type="containsText" priority="1468" operator="containsText" dxfId="7" text="HEM/ONC">
      <formula>NOT(ISERROR(SEARCH(("HEM/ONC"),(V34))))</formula>
    </cfRule>
    <cfRule type="containsText" priority="1469" operator="containsText" dxfId="7" text="CARDIO">
      <formula>NOT(ISERROR(SEARCH(("CARDIO"),(V34))))</formula>
    </cfRule>
    <cfRule type="containsText" priority="1470" operator="containsText" dxfId="7" text="ID">
      <formula>NOT(ISERROR(SEARCH(("ID"),(V34))))</formula>
    </cfRule>
    <cfRule type="containsText" priority="1471" operator="containsText" dxfId="7" text="NEURO">
      <formula>NOT(ISERROR(SEARCH(("NEURO"),(V34))))</formula>
    </cfRule>
    <cfRule type="containsText" priority="1472" operator="containsText" dxfId="6" text="NEURO">
      <formula>NOT(ISERROR(SEARCH(("NEURO"),(V34))))</formula>
    </cfRule>
    <cfRule type="containsText" priority="1473" operator="containsText" dxfId="5" text="NEURO">
      <formula>NOT(ISERROR(SEARCH(("NEURO"),(V34))))</formula>
    </cfRule>
    <cfRule type="containsText" priority="1474" operator="containsText" dxfId="3" text="ICU">
      <formula>NOT(ISERROR(SEARCH(("ICU"),(V34))))</formula>
    </cfRule>
    <cfRule type="containsText" priority="1475" operator="containsText" dxfId="0" text="SWING">
      <formula>NOT(ISERROR(SEARCH(("SWING"),(V34))))</formula>
    </cfRule>
    <cfRule type="containsText" priority="1476" operator="containsText" dxfId="0" text="NF">
      <formula>NOT(ISERROR(SEARCH(("NF"),(V34))))</formula>
    </cfRule>
  </conditionalFormatting>
  <conditionalFormatting sqref="AN52">
    <cfRule type="containsText" priority="1390" operator="containsText" dxfId="16" text="ED">
      <formula>NOT(ISERROR(SEARCH(("ED"),(AN52))))</formula>
    </cfRule>
    <cfRule type="containsText" priority="1391" operator="containsText" dxfId="17" text="VACATION">
      <formula>NOT(ISERROR(SEARCH(("VACATION"),(AN52))))</formula>
    </cfRule>
    <cfRule type="containsText" priority="1392" operator="containsText" dxfId="0" text="ICU N">
      <formula>NOT(ISERROR(SEARCH(("ICU N"),(AN52))))</formula>
    </cfRule>
  </conditionalFormatting>
  <conditionalFormatting sqref="AO52">
    <cfRule type="containsText" priority="1387" operator="containsText" dxfId="16" text="ED">
      <formula>NOT(ISERROR(SEARCH(("ED"),(AO52))))</formula>
    </cfRule>
    <cfRule type="containsText" priority="1388" operator="containsText" dxfId="17" text="VACATION">
      <formula>NOT(ISERROR(SEARCH(("VACATION"),(AO52))))</formula>
    </cfRule>
    <cfRule type="containsText" priority="1389" operator="containsText" dxfId="0" text="ICU N">
      <formula>NOT(ISERROR(SEARCH(("ICU N"),(AO52))))</formula>
    </cfRule>
  </conditionalFormatting>
  <conditionalFormatting sqref="AZ52">
    <cfRule type="containsText" priority="1370" operator="containsText" dxfId="17" text="VACATION">
      <formula>NOT(ISERROR(SEARCH(("VACATION"),(AZ52))))</formula>
    </cfRule>
    <cfRule type="containsText" priority="1371" operator="containsText" dxfId="16" text="ED">
      <formula>NOT(ISERROR(SEARCH(("ED"),(AZ52))))</formula>
    </cfRule>
    <cfRule type="containsText" priority="1372" operator="containsText" dxfId="15" text="GERIATRIC">
      <formula>NOT(ISERROR(SEARCH(("GERIATRIC"),(AZ52))))</formula>
    </cfRule>
    <cfRule type="containsText" priority="1373" operator="containsText" dxfId="7" text="PATH">
      <formula>NOT(ISERROR(SEARCH(("PATH"),(AZ52))))</formula>
    </cfRule>
    <cfRule type="containsText" priority="1374" operator="containsText" dxfId="7" text="NEPHRO">
      <formula>NOT(ISERROR(SEARCH(("NEPHRO"),(AZ52))))</formula>
    </cfRule>
    <cfRule type="containsText" priority="1375" operator="containsText" dxfId="7" text="PULM">
      <formula>NOT(ISERROR(SEARCH(("PULM"),(AZ52))))</formula>
    </cfRule>
    <cfRule type="containsText" priority="1376" operator="containsText" dxfId="7" text="RADIOLOGY">
      <formula>NOT(ISERROR(SEARCH(("RADIOLOGY"),(AZ52))))</formula>
    </cfRule>
    <cfRule type="containsText" priority="1377" operator="containsText" dxfId="7" text="HEM/ONC">
      <formula>NOT(ISERROR(SEARCH(("HEM/ONC"),(AZ52))))</formula>
    </cfRule>
    <cfRule type="containsText" priority="1378" operator="containsText" dxfId="7" text="CARDIO">
      <formula>NOT(ISERROR(SEARCH(("CARDIO"),(AZ52))))</formula>
    </cfRule>
    <cfRule type="containsText" priority="1379" operator="containsText" dxfId="7" text="ID">
      <formula>NOT(ISERROR(SEARCH(("ID"),(AZ52))))</formula>
    </cfRule>
    <cfRule type="containsText" priority="1380" operator="containsText" dxfId="7" text="NEURO">
      <formula>NOT(ISERROR(SEARCH(("NEURO"),(AZ52))))</formula>
    </cfRule>
    <cfRule type="containsText" priority="1381" operator="containsText" dxfId="6" text="NEURO">
      <formula>NOT(ISERROR(SEARCH(("NEURO"),(AZ52))))</formula>
    </cfRule>
    <cfRule type="containsText" priority="1382" operator="containsText" dxfId="5" text="NEURO">
      <formula>NOT(ISERROR(SEARCH(("NEURO"),(AZ52))))</formula>
    </cfRule>
    <cfRule type="containsText" priority="1383" operator="containsText" dxfId="0" text="ICU N">
      <formula>NOT(ISERROR(SEARCH(("ICU N"),(AZ52))))</formula>
    </cfRule>
    <cfRule type="containsText" priority="1384" operator="containsText" dxfId="3" text="ICU">
      <formula>NOT(ISERROR(SEARCH(("ICU"),(AZ52))))</formula>
    </cfRule>
    <cfRule type="containsText" priority="1385" operator="containsText" dxfId="0" text="SWING">
      <formula>NOT(ISERROR(SEARCH(("SWING"),(AZ52))))</formula>
    </cfRule>
    <cfRule type="containsText" priority="1386" operator="containsText" dxfId="0" text="NF">
      <formula>NOT(ISERROR(SEARCH(("NF"),(AZ52))))</formula>
    </cfRule>
  </conditionalFormatting>
  <conditionalFormatting sqref="BA52">
    <cfRule type="containsText" priority="1353" operator="containsText" dxfId="17" text="VACATION">
      <formula>NOT(ISERROR(SEARCH(("VACATION"),(BA52))))</formula>
    </cfRule>
    <cfRule type="containsText" priority="1354" operator="containsText" dxfId="16" text="ED">
      <formula>NOT(ISERROR(SEARCH(("ED"),(BA52))))</formula>
    </cfRule>
    <cfRule type="containsText" priority="1355" operator="containsText" dxfId="15" text="GERIATRIC">
      <formula>NOT(ISERROR(SEARCH(("GERIATRIC"),(BA52))))</formula>
    </cfRule>
    <cfRule type="containsText" priority="1356" operator="containsText" dxfId="7" text="PATH">
      <formula>NOT(ISERROR(SEARCH(("PATH"),(BA52))))</formula>
    </cfRule>
    <cfRule type="containsText" priority="1357" operator="containsText" dxfId="7" text="NEPHRO">
      <formula>NOT(ISERROR(SEARCH(("NEPHRO"),(BA52))))</formula>
    </cfRule>
    <cfRule type="containsText" priority="1358" operator="containsText" dxfId="7" text="PULM">
      <formula>NOT(ISERROR(SEARCH(("PULM"),(BA52))))</formula>
    </cfRule>
    <cfRule type="containsText" priority="1359" operator="containsText" dxfId="7" text="RADIOLOGY">
      <formula>NOT(ISERROR(SEARCH(("RADIOLOGY"),(BA52))))</formula>
    </cfRule>
    <cfRule type="containsText" priority="1360" operator="containsText" dxfId="7" text="HEM/ONC">
      <formula>NOT(ISERROR(SEARCH(("HEM/ONC"),(BA52))))</formula>
    </cfRule>
    <cfRule type="containsText" priority="1361" operator="containsText" dxfId="7" text="CARDIO">
      <formula>NOT(ISERROR(SEARCH(("CARDIO"),(BA52))))</formula>
    </cfRule>
    <cfRule type="containsText" priority="1362" operator="containsText" dxfId="7" text="ID">
      <formula>NOT(ISERROR(SEARCH(("ID"),(BA52))))</formula>
    </cfRule>
    <cfRule type="containsText" priority="1363" operator="containsText" dxfId="7" text="NEURO">
      <formula>NOT(ISERROR(SEARCH(("NEURO"),(BA52))))</formula>
    </cfRule>
    <cfRule type="containsText" priority="1364" operator="containsText" dxfId="6" text="NEURO">
      <formula>NOT(ISERROR(SEARCH(("NEURO"),(BA52))))</formula>
    </cfRule>
    <cfRule type="containsText" priority="1365" operator="containsText" dxfId="5" text="NEURO">
      <formula>NOT(ISERROR(SEARCH(("NEURO"),(BA52))))</formula>
    </cfRule>
    <cfRule type="containsText" priority="1366" operator="containsText" dxfId="0" text="ICU N">
      <formula>NOT(ISERROR(SEARCH(("ICU N"),(BA52))))</formula>
    </cfRule>
    <cfRule type="containsText" priority="1367" operator="containsText" dxfId="3" text="ICU">
      <formula>NOT(ISERROR(SEARCH(("ICU"),(BA52))))</formula>
    </cfRule>
    <cfRule type="containsText" priority="1368" operator="containsText" dxfId="0" text="SWING">
      <formula>NOT(ISERROR(SEARCH(("SWING"),(BA52))))</formula>
    </cfRule>
    <cfRule type="containsText" priority="1369" operator="containsText" dxfId="0" text="NF">
      <formula>NOT(ISERROR(SEARCH(("NF"),(BA52))))</formula>
    </cfRule>
  </conditionalFormatting>
  <conditionalFormatting sqref="AP27">
    <cfRule type="containsText" priority="1352" operator="containsText" dxfId="0" text="ICU N">
      <formula>NOT(ISERROR(SEARCH(("ICU N"),(AP27))))</formula>
    </cfRule>
    <cfRule type="containsText" priority="802" operator="containsText" dxfId="0" text="ICU N">
      <formula>NOT(ISERROR(SEARCH(("ICU N"),(AP27))))</formula>
    </cfRule>
  </conditionalFormatting>
  <conditionalFormatting sqref="Y10">
    <cfRule type="containsText" priority="1335" operator="containsText" dxfId="17" text="VACATION">
      <formula>NOT(ISERROR(SEARCH(("VACATION"),(Y10))))</formula>
    </cfRule>
    <cfRule type="containsText" priority="1336" operator="containsText" dxfId="16" text="ED">
      <formula>NOT(ISERROR(SEARCH(("ED"),(Y10))))</formula>
    </cfRule>
    <cfRule type="containsText" priority="1337" operator="containsText" dxfId="15" text="GERIATRIC">
      <formula>NOT(ISERROR(SEARCH(("GERIATRIC"),(Y10))))</formula>
    </cfRule>
    <cfRule type="containsText" priority="1338" operator="containsText" dxfId="7" text="PATH">
      <formula>NOT(ISERROR(SEARCH(("PATH"),(Y10))))</formula>
    </cfRule>
    <cfRule type="containsText" priority="1339" operator="containsText" dxfId="7" text="NEPHRO">
      <formula>NOT(ISERROR(SEARCH(("NEPHRO"),(Y10))))</formula>
    </cfRule>
    <cfRule type="containsText" priority="1340" operator="containsText" dxfId="7" text="PULM">
      <formula>NOT(ISERROR(SEARCH(("PULM"),(Y10))))</formula>
    </cfRule>
    <cfRule type="containsText" priority="1341" operator="containsText" dxfId="7" text="RADIOLOGY">
      <formula>NOT(ISERROR(SEARCH(("RADIOLOGY"),(Y10))))</formula>
    </cfRule>
    <cfRule type="containsText" priority="1342" operator="containsText" dxfId="7" text="HEM/ONC">
      <formula>NOT(ISERROR(SEARCH(("HEM/ONC"),(Y10))))</formula>
    </cfRule>
    <cfRule type="containsText" priority="1343" operator="containsText" dxfId="7" text="CARDIO">
      <formula>NOT(ISERROR(SEARCH(("CARDIO"),(Y10))))</formula>
    </cfRule>
    <cfRule type="containsText" priority="1344" operator="containsText" dxfId="7" text="ID">
      <formula>NOT(ISERROR(SEARCH(("ID"),(Y10))))</formula>
    </cfRule>
    <cfRule type="containsText" priority="1345" operator="containsText" dxfId="7" text="NEURO">
      <formula>NOT(ISERROR(SEARCH(("NEURO"),(Y10))))</formula>
    </cfRule>
    <cfRule type="containsText" priority="1346" operator="containsText" dxfId="6" text="NEURO">
      <formula>NOT(ISERROR(SEARCH(("NEURO"),(Y10))))</formula>
    </cfRule>
    <cfRule type="containsText" priority="1347" operator="containsText" dxfId="5" text="NEURO">
      <formula>NOT(ISERROR(SEARCH(("NEURO"),(Y10))))</formula>
    </cfRule>
    <cfRule type="containsText" priority="1348" operator="containsText" dxfId="0" text="ICU N">
      <formula>NOT(ISERROR(SEARCH(("ICU N"),(Y10))))</formula>
    </cfRule>
    <cfRule type="containsText" priority="1349" operator="containsText" dxfId="3" text="ICU">
      <formula>NOT(ISERROR(SEARCH(("ICU"),(Y10))))</formula>
    </cfRule>
    <cfRule type="containsText" priority="1350" operator="containsText" dxfId="0" text="SWING">
      <formula>NOT(ISERROR(SEARCH(("SWING"),(Y10))))</formula>
    </cfRule>
    <cfRule type="containsText" priority="1351" operator="containsText" dxfId="0" text="NF">
      <formula>NOT(ISERROR(SEARCH(("NF"),(Y10))))</formula>
    </cfRule>
    <cfRule type="containsText" priority="1333" operator="containsText" dxfId="17" text="VACATION">
      <formula>NOT(ISERROR(SEARCH(("VACATION"),(Y10))))</formula>
    </cfRule>
    <cfRule type="containsText" priority="1334" operator="containsText" dxfId="0" text="ICU N">
      <formula>NOT(ISERROR(SEARCH(("ICU N"),(Y10))))</formula>
    </cfRule>
  </conditionalFormatting>
  <conditionalFormatting sqref="AA10">
    <cfRule type="containsText" priority="1315" operator="containsText" dxfId="16" text="ED">
      <formula>NOT(ISERROR(SEARCH(("ED"),(AA10))))</formula>
    </cfRule>
    <cfRule type="containsText" priority="1316" operator="containsText" dxfId="15" text="GERIATRIC">
      <formula>NOT(ISERROR(SEARCH(("GERIATRIC"),(AA10))))</formula>
    </cfRule>
    <cfRule type="containsText" priority="1317" operator="containsText" dxfId="17" text="VACATION">
      <formula>NOT(ISERROR(SEARCH(("VACATION"),(AA10))))</formula>
    </cfRule>
    <cfRule type="containsText" priority="1318" operator="containsText" dxfId="7" text="PATH">
      <formula>NOT(ISERROR(SEARCH(("PATH"),(AA10))))</formula>
    </cfRule>
    <cfRule type="containsText" priority="1319" operator="containsText" dxfId="7" text="NEPHRO">
      <formula>NOT(ISERROR(SEARCH(("NEPHRO"),(AA10))))</formula>
    </cfRule>
    <cfRule type="containsText" priority="1320" operator="containsText" dxfId="7" text="PULM">
      <formula>NOT(ISERROR(SEARCH(("PULM"),(AA10))))</formula>
    </cfRule>
    <cfRule type="containsText" priority="1321" operator="containsText" dxfId="7" text="RADIOLOGY">
      <formula>NOT(ISERROR(SEARCH(("RADIOLOGY"),(AA10))))</formula>
    </cfRule>
    <cfRule type="containsText" priority="1322" operator="containsText" dxfId="7" text="HEM/ONC">
      <formula>NOT(ISERROR(SEARCH(("HEM/ONC"),(AA10))))</formula>
    </cfRule>
    <cfRule type="containsText" priority="1323" operator="containsText" dxfId="7" text="CARDIO">
      <formula>NOT(ISERROR(SEARCH(("CARDIO"),(AA10))))</formula>
    </cfRule>
    <cfRule type="containsText" priority="1324" operator="containsText" dxfId="7" text="ID">
      <formula>NOT(ISERROR(SEARCH(("ID"),(AA10))))</formula>
    </cfRule>
    <cfRule type="containsText" priority="1325" operator="containsText" dxfId="7" text="NEURO">
      <formula>NOT(ISERROR(SEARCH(("NEURO"),(AA10))))</formula>
    </cfRule>
    <cfRule type="containsText" priority="1326" operator="containsText" dxfId="6" text="NEURO">
      <formula>NOT(ISERROR(SEARCH(("NEURO"),(AA10))))</formula>
    </cfRule>
    <cfRule type="containsText" priority="1327" operator="containsText" dxfId="5" text="NEURO">
      <formula>NOT(ISERROR(SEARCH(("NEURO"),(AA10))))</formula>
    </cfRule>
    <cfRule type="containsText" priority="1328" operator="containsText" dxfId="0" text="ICU N">
      <formula>NOT(ISERROR(SEARCH(("ICU N"),(AA10))))</formula>
    </cfRule>
    <cfRule type="containsText" priority="1329" operator="containsText" dxfId="3" text="ICU">
      <formula>NOT(ISERROR(SEARCH(("ICU"),(AA10))))</formula>
    </cfRule>
    <cfRule type="containsText" priority="1330" operator="containsText" dxfId="0" text="SWING">
      <formula>NOT(ISERROR(SEARCH(("SWING"),(AA10))))</formula>
    </cfRule>
    <cfRule type="containsText" priority="1331" operator="containsText" dxfId="0" text="NF">
      <formula>NOT(ISERROR(SEARCH(("NF"),(AA10))))</formula>
    </cfRule>
    <cfRule type="containsText" priority="1332" operator="containsText" dxfId="0" text="ICU N">
      <formula>NOT(ISERROR(SEARCH(("ICU N"),(AA10))))</formula>
    </cfRule>
    <cfRule type="containsText" priority="1297" operator="containsText" dxfId="16" text="ED">
      <formula>NOT(ISERROR(SEARCH(("ED"),(AA10))))</formula>
    </cfRule>
    <cfRule type="containsText" priority="1298" operator="containsText" dxfId="15" text="GERIATRIC">
      <formula>NOT(ISERROR(SEARCH(("GERIATRIC"),(AA10))))</formula>
    </cfRule>
    <cfRule type="containsText" priority="1299" operator="containsText" dxfId="17" text="VACATION">
      <formula>NOT(ISERROR(SEARCH(("VACATION"),(AA10))))</formula>
    </cfRule>
    <cfRule type="containsText" priority="1300" operator="containsText" dxfId="7" text="PATH">
      <formula>NOT(ISERROR(SEARCH(("PATH"),(AA10))))</formula>
    </cfRule>
    <cfRule type="containsText" priority="1301" operator="containsText" dxfId="7" text="NEPHRO">
      <formula>NOT(ISERROR(SEARCH(("NEPHRO"),(AA10))))</formula>
    </cfRule>
    <cfRule type="containsText" priority="1302" operator="containsText" dxfId="7" text="PULM">
      <formula>NOT(ISERROR(SEARCH(("PULM"),(AA10))))</formula>
    </cfRule>
    <cfRule type="containsText" priority="1303" operator="containsText" dxfId="7" text="RADIOLOGY">
      <formula>NOT(ISERROR(SEARCH(("RADIOLOGY"),(AA10))))</formula>
    </cfRule>
    <cfRule type="containsText" priority="1304" operator="containsText" dxfId="7" text="HEM/ONC">
      <formula>NOT(ISERROR(SEARCH(("HEM/ONC"),(AA10))))</formula>
    </cfRule>
    <cfRule type="containsText" priority="1305" operator="containsText" dxfId="7" text="CARDIO">
      <formula>NOT(ISERROR(SEARCH(("CARDIO"),(AA10))))</formula>
    </cfRule>
    <cfRule type="containsText" priority="1306" operator="containsText" dxfId="7" text="ID">
      <formula>NOT(ISERROR(SEARCH(("ID"),(AA10))))</formula>
    </cfRule>
    <cfRule type="containsText" priority="1307" operator="containsText" dxfId="7" text="NEURO">
      <formula>NOT(ISERROR(SEARCH(("NEURO"),(AA10))))</formula>
    </cfRule>
    <cfRule type="containsText" priority="1308" operator="containsText" dxfId="6" text="NEURO">
      <formula>NOT(ISERROR(SEARCH(("NEURO"),(AA10))))</formula>
    </cfRule>
    <cfRule type="containsText" priority="1309" operator="containsText" dxfId="5" text="NEURO">
      <formula>NOT(ISERROR(SEARCH(("NEURO"),(AA10))))</formula>
    </cfRule>
    <cfRule type="containsText" priority="1310" operator="containsText" dxfId="0" text="ICU N">
      <formula>NOT(ISERROR(SEARCH(("ICU N"),(AA10))))</formula>
    </cfRule>
    <cfRule type="containsText" priority="1311" operator="containsText" dxfId="3" text="ICU">
      <formula>NOT(ISERROR(SEARCH(("ICU"),(AA10))))</formula>
    </cfRule>
    <cfRule type="containsText" priority="1312" operator="containsText" dxfId="0" text="SWING">
      <formula>NOT(ISERROR(SEARCH(("SWING"),(AA10))))</formula>
    </cfRule>
    <cfRule type="containsText" priority="1313" operator="containsText" dxfId="0" text="NF">
      <formula>NOT(ISERROR(SEARCH(("NF"),(AA10))))</formula>
    </cfRule>
    <cfRule type="containsText" priority="1314" operator="containsText" dxfId="0" text="ICU N">
      <formula>NOT(ISERROR(SEARCH(("ICU N"),(AA10))))</formula>
    </cfRule>
  </conditionalFormatting>
  <conditionalFormatting sqref="Z41">
    <cfRule type="containsText" priority="1295" operator="containsText" dxfId="17" text="VACATION">
      <formula>NOT(ISERROR(SEARCH(("VACATION"),(Z41))))</formula>
    </cfRule>
    <cfRule type="containsText" priority="1296" operator="containsText" dxfId="0" text="ICU N">
      <formula>NOT(ISERROR(SEARCH(("ICU N"),(Z41))))</formula>
    </cfRule>
    <cfRule type="containsText" priority="1278" operator="containsText" dxfId="17" text="VACATION">
      <formula>NOT(ISERROR(SEARCH(("VACATION"),(Z41))))</formula>
    </cfRule>
    <cfRule type="containsText" priority="1279" operator="containsText" dxfId="16" text="ED">
      <formula>NOT(ISERROR(SEARCH(("ED"),(Z41))))</formula>
    </cfRule>
    <cfRule type="containsText" priority="1280" operator="containsText" dxfId="15" text="GERIATRIC">
      <formula>NOT(ISERROR(SEARCH(("GERIATRIC"),(Z41))))</formula>
    </cfRule>
    <cfRule type="containsText" priority="1281" operator="containsText" dxfId="7" text="PATH">
      <formula>NOT(ISERROR(SEARCH(("PATH"),(Z41))))</formula>
    </cfRule>
    <cfRule type="containsText" priority="1282" operator="containsText" dxfId="7" text="NEPHRO">
      <formula>NOT(ISERROR(SEARCH(("NEPHRO"),(Z41))))</formula>
    </cfRule>
    <cfRule type="containsText" priority="1283" operator="containsText" dxfId="7" text="PULM">
      <formula>NOT(ISERROR(SEARCH(("PULM"),(Z41))))</formula>
    </cfRule>
    <cfRule type="containsText" priority="1284" operator="containsText" dxfId="7" text="RADIOLOGY">
      <formula>NOT(ISERROR(SEARCH(("RADIOLOGY"),(Z41))))</formula>
    </cfRule>
    <cfRule type="containsText" priority="1285" operator="containsText" dxfId="7" text="HEM/ONC">
      <formula>NOT(ISERROR(SEARCH(("HEM/ONC"),(Z41))))</formula>
    </cfRule>
    <cfRule type="containsText" priority="1286" operator="containsText" dxfId="7" text="CARDIO">
      <formula>NOT(ISERROR(SEARCH(("CARDIO"),(Z41))))</formula>
    </cfRule>
    <cfRule type="containsText" priority="1287" operator="containsText" dxfId="7" text="ID">
      <formula>NOT(ISERROR(SEARCH(("ID"),(Z41))))</formula>
    </cfRule>
    <cfRule type="containsText" priority="1288" operator="containsText" dxfId="7" text="NEURO">
      <formula>NOT(ISERROR(SEARCH(("NEURO"),(Z41))))</formula>
    </cfRule>
    <cfRule type="containsText" priority="1289" operator="containsText" dxfId="6" text="NEURO">
      <formula>NOT(ISERROR(SEARCH(("NEURO"),(Z41))))</formula>
    </cfRule>
    <cfRule type="containsText" priority="1290" operator="containsText" dxfId="5" text="NEURO">
      <formula>NOT(ISERROR(SEARCH(("NEURO"),(Z41))))</formula>
    </cfRule>
    <cfRule type="containsText" priority="1291" operator="containsText" dxfId="0" text="ICU N">
      <formula>NOT(ISERROR(SEARCH(("ICU N"),(Z41))))</formula>
    </cfRule>
    <cfRule type="containsText" priority="1292" operator="containsText" dxfId="3" text="ICU">
      <formula>NOT(ISERROR(SEARCH(("ICU"),(Z41))))</formula>
    </cfRule>
    <cfRule type="containsText" priority="1293" operator="containsText" dxfId="0" text="SWING">
      <formula>NOT(ISERROR(SEARCH(("SWING"),(Z41))))</formula>
    </cfRule>
    <cfRule type="containsText" priority="1294" operator="containsText" dxfId="0" text="NF">
      <formula>NOT(ISERROR(SEARCH(("NF"),(Z41))))</formula>
    </cfRule>
  </conditionalFormatting>
  <conditionalFormatting sqref="Z18">
    <cfRule type="containsText" priority="1261" operator="containsText" dxfId="17" text="VACATION">
      <formula>NOT(ISERROR(SEARCH(("VACATION"),(Z18))))</formula>
    </cfRule>
    <cfRule type="containsText" priority="1262" operator="containsText" dxfId="16" text="ED">
      <formula>NOT(ISERROR(SEARCH(("ED"),(Z18))))</formula>
    </cfRule>
    <cfRule type="containsText" priority="1263" operator="containsText" dxfId="15" text="GERIATRIC">
      <formula>NOT(ISERROR(SEARCH(("GERIATRIC"),(Z18))))</formula>
    </cfRule>
    <cfRule type="containsText" priority="1264" operator="containsText" dxfId="7" text="PATH">
      <formula>NOT(ISERROR(SEARCH(("PATH"),(Z18))))</formula>
    </cfRule>
    <cfRule type="containsText" priority="1265" operator="containsText" dxfId="7" text="NEPHRO">
      <formula>NOT(ISERROR(SEARCH(("NEPHRO"),(Z18))))</formula>
    </cfRule>
    <cfRule type="containsText" priority="1266" operator="containsText" dxfId="7" text="PULM">
      <formula>NOT(ISERROR(SEARCH(("PULM"),(Z18))))</formula>
    </cfRule>
    <cfRule type="containsText" priority="1267" operator="containsText" dxfId="7" text="RADIOLOGY">
      <formula>NOT(ISERROR(SEARCH(("RADIOLOGY"),(Z18))))</formula>
    </cfRule>
    <cfRule type="containsText" priority="1268" operator="containsText" dxfId="7" text="HEM/ONC">
      <formula>NOT(ISERROR(SEARCH(("HEM/ONC"),(Z18))))</formula>
    </cfRule>
    <cfRule type="containsText" priority="1269" operator="containsText" dxfId="7" text="CARDIO">
      <formula>NOT(ISERROR(SEARCH(("CARDIO"),(Z18))))</formula>
    </cfRule>
    <cfRule type="containsText" priority="1270" operator="containsText" dxfId="7" text="ID">
      <formula>NOT(ISERROR(SEARCH(("ID"),(Z18))))</formula>
    </cfRule>
    <cfRule type="containsText" priority="1271" operator="containsText" dxfId="7" text="NEURO">
      <formula>NOT(ISERROR(SEARCH(("NEURO"),(Z18))))</formula>
    </cfRule>
    <cfRule type="containsText" priority="1272" operator="containsText" dxfId="6" text="NEURO">
      <formula>NOT(ISERROR(SEARCH(("NEURO"),(Z18))))</formula>
    </cfRule>
    <cfRule type="containsText" priority="1273" operator="containsText" dxfId="5" text="NEURO">
      <formula>NOT(ISERROR(SEARCH(("NEURO"),(Z18))))</formula>
    </cfRule>
    <cfRule type="containsText" priority="1274" operator="containsText" dxfId="0" text="ICU N">
      <formula>NOT(ISERROR(SEARCH(("ICU N"),(Z18))))</formula>
    </cfRule>
    <cfRule type="containsText" priority="1275" operator="containsText" dxfId="3" text="ICU">
      <formula>NOT(ISERROR(SEARCH(("ICU"),(Z18))))</formula>
    </cfRule>
    <cfRule type="containsText" priority="1276" operator="containsText" dxfId="0" text="SWING">
      <formula>NOT(ISERROR(SEARCH(("SWING"),(Z18))))</formula>
    </cfRule>
    <cfRule type="containsText" priority="1277" operator="containsText" dxfId="0" text="NF">
      <formula>NOT(ISERROR(SEARCH(("NF"),(Z18))))</formula>
    </cfRule>
    <cfRule type="containsText" priority="1259" operator="containsText" dxfId="17" text="VACATION">
      <formula>NOT(ISERROR(SEARCH(("VACATION"),(Z18))))</formula>
    </cfRule>
    <cfRule type="containsText" priority="1260" operator="containsText" dxfId="0" text="ICU N">
      <formula>NOT(ISERROR(SEARCH(("ICU N"),(Z18))))</formula>
    </cfRule>
  </conditionalFormatting>
  <conditionalFormatting sqref="AK25">
    <cfRule type="containsText" priority="1258" operator="containsText" dxfId="17" text="VACATION">
      <formula>NOT(ISERROR(SEARCH(("VACATION"),(AK25))))</formula>
    </cfRule>
    <cfRule type="containsText" priority="1257" operator="containsText" dxfId="17" text="VACATION">
      <formula>NOT(ISERROR(SEARCH(("VACATION"),(AK25))))</formula>
    </cfRule>
    <cfRule type="containsText" priority="1256" operator="containsText" dxfId="17" text="VACATION">
      <formula>NOT(ISERROR(SEARCH(("VACATION"),(AK25))))</formula>
    </cfRule>
  </conditionalFormatting>
  <conditionalFormatting sqref="AB10">
    <cfRule type="containsText" priority="1254" operator="containsText" dxfId="17" text="VACATION">
      <formula>NOT(ISERROR(SEARCH(("VACATION"),(AB10))))</formula>
    </cfRule>
    <cfRule type="containsText" priority="1255" operator="containsText" dxfId="0" text="ICU N">
      <formula>NOT(ISERROR(SEARCH(("ICU N"),(AB10))))</formula>
    </cfRule>
    <cfRule type="containsText" priority="1252" operator="containsText" dxfId="17" text="VACATION">
      <formula>NOT(ISERROR(SEARCH(("VACATION"),(AB10))))</formula>
    </cfRule>
    <cfRule type="containsText" priority="1253" operator="containsText" dxfId="0" text="ICU N">
      <formula>NOT(ISERROR(SEARCH(("ICU N"),(AB10))))</formula>
    </cfRule>
  </conditionalFormatting>
  <conditionalFormatting sqref="AB28">
    <cfRule type="containsText" priority="1250" operator="containsText" dxfId="17" text="VACATION">
      <formula>NOT(ISERROR(SEARCH(("VACATION"),(AB28))))</formula>
    </cfRule>
    <cfRule type="containsText" priority="1251" operator="containsText" dxfId="0" text="ICU N">
      <formula>NOT(ISERROR(SEARCH(("ICU N"),(AB28))))</formula>
    </cfRule>
  </conditionalFormatting>
  <conditionalFormatting sqref="AA42">
    <cfRule type="containsText" priority="1248" operator="containsText" dxfId="17" text="VACATION">
      <formula>NOT(ISERROR(SEARCH(("VACATION"),(AA42))))</formula>
    </cfRule>
    <cfRule type="containsText" priority="1249" operator="containsText" dxfId="0" text="ICU N">
      <formula>NOT(ISERROR(SEARCH(("ICU N"),(AA42))))</formula>
    </cfRule>
  </conditionalFormatting>
  <conditionalFormatting sqref="AA46">
    <cfRule type="containsText" priority="1246" operator="containsText" dxfId="17" text="VACATION">
      <formula>NOT(ISERROR(SEARCH(("VACATION"),(AA46))))</formula>
    </cfRule>
    <cfRule type="containsText" priority="1247" operator="containsText" dxfId="0" text="ICU N">
      <formula>NOT(ISERROR(SEARCH(("ICU N"),(AA46))))</formula>
    </cfRule>
    <cfRule type="containsText" priority="1245" operator="containsText" dxfId="17" text="VACATION">
      <formula>NOT(ISERROR(SEARCH(("VACATION"),(AA46))))</formula>
    </cfRule>
    <cfRule type="containsText" priority="1230" operator="containsText" dxfId="7" text="PATH">
      <formula>NOT(ISERROR(SEARCH(("PATH"),(AA46))))</formula>
    </cfRule>
    <cfRule type="containsText" priority="1231" operator="containsText" dxfId="7" text="NEPHRO">
      <formula>NOT(ISERROR(SEARCH(("NEPHRO"),(AA46))))</formula>
    </cfRule>
    <cfRule type="containsText" priority="1232" operator="containsText" dxfId="7" text="PULM">
      <formula>NOT(ISERROR(SEARCH(("PULM"),(AA46))))</formula>
    </cfRule>
    <cfRule type="containsText" priority="1233" operator="containsText" dxfId="7" text="RADIOLOGY">
      <formula>NOT(ISERROR(SEARCH(("RADIOLOGY"),(AA46))))</formula>
    </cfRule>
    <cfRule type="containsText" priority="1234" operator="containsText" dxfId="7" text="HEM/ONC">
      <formula>NOT(ISERROR(SEARCH(("HEM/ONC"),(AA46))))</formula>
    </cfRule>
    <cfRule type="containsText" priority="1235" operator="containsText" dxfId="7" text="CARDIO">
      <formula>NOT(ISERROR(SEARCH(("CARDIO"),(AA46))))</formula>
    </cfRule>
    <cfRule type="containsText" priority="1236" operator="containsText" dxfId="7" text="ID">
      <formula>NOT(ISERROR(SEARCH(("ID"),(AA46))))</formula>
    </cfRule>
    <cfRule type="containsText" priority="1237" operator="containsText" dxfId="7" text="NEURO">
      <formula>NOT(ISERROR(SEARCH(("NEURO"),(AA46))))</formula>
    </cfRule>
    <cfRule type="containsText" priority="1238" operator="containsText" dxfId="6" text="NEURO">
      <formula>NOT(ISERROR(SEARCH(("NEURO"),(AA46))))</formula>
    </cfRule>
    <cfRule type="containsText" priority="1239" operator="containsText" dxfId="5" text="NEURO">
      <formula>NOT(ISERROR(SEARCH(("NEURO"),(AA46))))</formula>
    </cfRule>
    <cfRule type="containsText" priority="1240" operator="containsText" dxfId="0" text="ICU N">
      <formula>NOT(ISERROR(SEARCH(("ICU N"),(AA46))))</formula>
    </cfRule>
    <cfRule type="containsText" priority="1241" operator="containsText" dxfId="3" text="ICU">
      <formula>NOT(ISERROR(SEARCH(("ICU"),(AA46))))</formula>
    </cfRule>
    <cfRule type="containsText" priority="1242" operator="containsText" dxfId="0" text="SWING">
      <formula>NOT(ISERROR(SEARCH(("SWING"),(AA46))))</formula>
    </cfRule>
    <cfRule type="containsText" priority="1243" operator="containsText" dxfId="0" text="NF">
      <formula>NOT(ISERROR(SEARCH(("NF"),(AA46))))</formula>
    </cfRule>
    <cfRule type="containsText" priority="1244" operator="containsText" dxfId="0" text="ICU N">
      <formula>NOT(ISERROR(SEARCH(("ICU N"),(AA46))))</formula>
    </cfRule>
  </conditionalFormatting>
  <conditionalFormatting sqref="AB25">
    <cfRule type="containsText" priority="1212" operator="containsText" dxfId="16" text="ED">
      <formula>NOT(ISERROR(SEARCH(("ED"),(AB25))))</formula>
    </cfRule>
    <cfRule type="containsText" priority="1213" operator="containsText" dxfId="15" text="GERIATRIC">
      <formula>NOT(ISERROR(SEARCH(("GERIATRIC"),(AB25))))</formula>
    </cfRule>
    <cfRule type="containsText" priority="1214" operator="containsText" dxfId="17" text="VACATION">
      <formula>NOT(ISERROR(SEARCH(("VACATION"),(AB25))))</formula>
    </cfRule>
    <cfRule type="containsText" priority="1215" operator="containsText" dxfId="7" text="PATH">
      <formula>NOT(ISERROR(SEARCH(("PATH"),(AB25))))</formula>
    </cfRule>
    <cfRule type="containsText" priority="1216" operator="containsText" dxfId="7" text="NEPHRO">
      <formula>NOT(ISERROR(SEARCH(("NEPHRO"),(AB25))))</formula>
    </cfRule>
    <cfRule type="containsText" priority="1217" operator="containsText" dxfId="7" text="PULM">
      <formula>NOT(ISERROR(SEARCH(("PULM"),(AB25))))</formula>
    </cfRule>
    <cfRule type="containsText" priority="1218" operator="containsText" dxfId="7" text="RADIOLOGY">
      <formula>NOT(ISERROR(SEARCH(("RADIOLOGY"),(AB25))))</formula>
    </cfRule>
    <cfRule type="containsText" priority="1219" operator="containsText" dxfId="7" text="HEM/ONC">
      <formula>NOT(ISERROR(SEARCH(("HEM/ONC"),(AB25))))</formula>
    </cfRule>
    <cfRule type="containsText" priority="1220" operator="containsText" dxfId="7" text="CARDIO">
      <formula>NOT(ISERROR(SEARCH(("CARDIO"),(AB25))))</formula>
    </cfRule>
    <cfRule type="containsText" priority="1221" operator="containsText" dxfId="7" text="ID">
      <formula>NOT(ISERROR(SEARCH(("ID"),(AB25))))</formula>
    </cfRule>
    <cfRule type="containsText" priority="1222" operator="containsText" dxfId="7" text="NEURO">
      <formula>NOT(ISERROR(SEARCH(("NEURO"),(AB25))))</formula>
    </cfRule>
    <cfRule type="containsText" priority="1223" operator="containsText" dxfId="6" text="NEURO">
      <formula>NOT(ISERROR(SEARCH(("NEURO"),(AB25))))</formula>
    </cfRule>
    <cfRule type="containsText" priority="1224" operator="containsText" dxfId="5" text="NEURO">
      <formula>NOT(ISERROR(SEARCH(("NEURO"),(AB25))))</formula>
    </cfRule>
    <cfRule type="containsText" priority="1225" operator="containsText" dxfId="0" text="ICU N">
      <formula>NOT(ISERROR(SEARCH(("ICU N"),(AB25))))</formula>
    </cfRule>
    <cfRule type="containsText" priority="1226" operator="containsText" dxfId="3" text="ICU">
      <formula>NOT(ISERROR(SEARCH(("ICU"),(AB25))))</formula>
    </cfRule>
    <cfRule type="containsText" priority="1227" operator="containsText" dxfId="0" text="SWING">
      <formula>NOT(ISERROR(SEARCH(("SWING"),(AB25))))</formula>
    </cfRule>
    <cfRule type="containsText" priority="1228" operator="containsText" dxfId="0" text="NF">
      <formula>NOT(ISERROR(SEARCH(("NF"),(AB25))))</formula>
    </cfRule>
    <cfRule type="containsText" priority="1229" operator="containsText" dxfId="0" text="ICU N">
      <formula>NOT(ISERROR(SEARCH(("ICU N"),(AB25))))</formula>
    </cfRule>
    <cfRule type="containsText" priority="1194" operator="containsText" dxfId="16" text="ED">
      <formula>NOT(ISERROR(SEARCH(("ED"),(AB25))))</formula>
    </cfRule>
    <cfRule type="containsText" priority="1195" operator="containsText" dxfId="15" text="GERIATRIC">
      <formula>NOT(ISERROR(SEARCH(("GERIATRIC"),(AB25))))</formula>
    </cfRule>
    <cfRule type="containsText" priority="1196" operator="containsText" dxfId="17" text="VACATION">
      <formula>NOT(ISERROR(SEARCH(("VACATION"),(AB25))))</formula>
    </cfRule>
    <cfRule type="containsText" priority="1197" operator="containsText" dxfId="7" text="PATH">
      <formula>NOT(ISERROR(SEARCH(("PATH"),(AB25))))</formula>
    </cfRule>
    <cfRule type="containsText" priority="1198" operator="containsText" dxfId="7" text="NEPHRO">
      <formula>NOT(ISERROR(SEARCH(("NEPHRO"),(AB25))))</formula>
    </cfRule>
    <cfRule type="containsText" priority="1199" operator="containsText" dxfId="7" text="PULM">
      <formula>NOT(ISERROR(SEARCH(("PULM"),(AB25))))</formula>
    </cfRule>
    <cfRule type="containsText" priority="1200" operator="containsText" dxfId="7" text="RADIOLOGY">
      <formula>NOT(ISERROR(SEARCH(("RADIOLOGY"),(AB25))))</formula>
    </cfRule>
    <cfRule type="containsText" priority="1201" operator="containsText" dxfId="7" text="HEM/ONC">
      <formula>NOT(ISERROR(SEARCH(("HEM/ONC"),(AB25))))</formula>
    </cfRule>
    <cfRule type="containsText" priority="1202" operator="containsText" dxfId="7" text="CARDIO">
      <formula>NOT(ISERROR(SEARCH(("CARDIO"),(AB25))))</formula>
    </cfRule>
    <cfRule type="containsText" priority="1203" operator="containsText" dxfId="7" text="ID">
      <formula>NOT(ISERROR(SEARCH(("ID"),(AB25))))</formula>
    </cfRule>
    <cfRule type="containsText" priority="1204" operator="containsText" dxfId="7" text="NEURO">
      <formula>NOT(ISERROR(SEARCH(("NEURO"),(AB25))))</formula>
    </cfRule>
    <cfRule type="containsText" priority="1205" operator="containsText" dxfId="6" text="NEURO">
      <formula>NOT(ISERROR(SEARCH(("NEURO"),(AB25))))</formula>
    </cfRule>
    <cfRule type="containsText" priority="1206" operator="containsText" dxfId="5" text="NEURO">
      <formula>NOT(ISERROR(SEARCH(("NEURO"),(AB25))))</formula>
    </cfRule>
    <cfRule type="containsText" priority="1207" operator="containsText" dxfId="0" text="ICU N">
      <formula>NOT(ISERROR(SEARCH(("ICU N"),(AB25))))</formula>
    </cfRule>
    <cfRule type="containsText" priority="1208" operator="containsText" dxfId="3" text="ICU">
      <formula>NOT(ISERROR(SEARCH(("ICU"),(AB25))))</formula>
    </cfRule>
    <cfRule type="containsText" priority="1209" operator="containsText" dxfId="0" text="SWING">
      <formula>NOT(ISERROR(SEARCH(("SWING"),(AB25))))</formula>
    </cfRule>
    <cfRule type="containsText" priority="1210" operator="containsText" dxfId="0" text="NF">
      <formula>NOT(ISERROR(SEARCH(("NF"),(AB25))))</formula>
    </cfRule>
    <cfRule type="containsText" priority="1211" operator="containsText" dxfId="0" text="ICU N">
      <formula>NOT(ISERROR(SEARCH(("ICU N"),(AB25))))</formula>
    </cfRule>
  </conditionalFormatting>
  <conditionalFormatting sqref="AD24:AD25">
    <cfRule type="containsText" priority="1192" operator="containsText" dxfId="17" text="VACATION">
      <formula>NOT(ISERROR(SEARCH(("VACATION"),(AD24))))</formula>
    </cfRule>
    <cfRule type="containsText" priority="1193" operator="containsText" dxfId="0" text="ICU N">
      <formula>NOT(ISERROR(SEARCH(("ICU N"),(AD24))))</formula>
    </cfRule>
  </conditionalFormatting>
  <conditionalFormatting sqref="AD27">
    <cfRule type="containsText" priority="1190" operator="containsText" dxfId="17" text="VACATION">
      <formula>NOT(ISERROR(SEARCH(("VACATION"),(AD27))))</formula>
    </cfRule>
    <cfRule type="containsText" priority="1191" operator="containsText" dxfId="0" text="ICU N">
      <formula>NOT(ISERROR(SEARCH(("ICU N"),(AD27))))</formula>
    </cfRule>
  </conditionalFormatting>
  <conditionalFormatting sqref="AD24">
    <cfRule type="containsText" priority="1188" operator="containsText" dxfId="17" text="VACATION">
      <formula>NOT(ISERROR(SEARCH(("VACATION"),(AD24))))</formula>
    </cfRule>
    <cfRule type="containsText" priority="1189" operator="containsText" dxfId="0" text="ICU N">
      <formula>NOT(ISERROR(SEARCH(("ICU N"),(AD24))))</formula>
    </cfRule>
  </conditionalFormatting>
  <conditionalFormatting sqref="AD56">
    <cfRule type="containsText" priority="1185" operator="containsText" dxfId="16" text="ED">
      <formula>NOT(ISERROR(SEARCH(("ED"),(AD56))))</formula>
    </cfRule>
    <cfRule type="containsText" priority="1186" operator="containsText" dxfId="17" text="VACATION">
      <formula>NOT(ISERROR(SEARCH(("VACATION"),(AD56))))</formula>
    </cfRule>
    <cfRule type="containsText" priority="1187" operator="containsText" dxfId="0" text="ICU N">
      <formula>NOT(ISERROR(SEARCH(("ICU N"),(AD56))))</formula>
    </cfRule>
    <cfRule type="containsText" priority="1167" operator="containsText" dxfId="16" text="ED">
      <formula>NOT(ISERROR(SEARCH(("ED"),(AD56))))</formula>
    </cfRule>
    <cfRule type="containsText" priority="1168" operator="containsText" dxfId="15" text="GERIATRIC">
      <formula>NOT(ISERROR(SEARCH(("GERIATRIC"),(AD56))))</formula>
    </cfRule>
    <cfRule type="containsText" priority="1169" operator="containsText" dxfId="17" text="VACATION">
      <formula>NOT(ISERROR(SEARCH(("VACATION"),(AD56))))</formula>
    </cfRule>
    <cfRule type="containsText" priority="1170" operator="containsText" dxfId="7" text="PATH">
      <formula>NOT(ISERROR(SEARCH(("PATH"),(AD56))))</formula>
    </cfRule>
    <cfRule type="containsText" priority="1171" operator="containsText" dxfId="7" text="NEPHRO">
      <formula>NOT(ISERROR(SEARCH(("NEPHRO"),(AD56))))</formula>
    </cfRule>
    <cfRule type="containsText" priority="1172" operator="containsText" dxfId="7" text="PULM">
      <formula>NOT(ISERROR(SEARCH(("PULM"),(AD56))))</formula>
    </cfRule>
    <cfRule type="containsText" priority="1173" operator="containsText" dxfId="7" text="RADIOLOGY">
      <formula>NOT(ISERROR(SEARCH(("RADIOLOGY"),(AD56))))</formula>
    </cfRule>
    <cfRule type="containsText" priority="1174" operator="containsText" dxfId="7" text="HEM/ONC">
      <formula>NOT(ISERROR(SEARCH(("HEM/ONC"),(AD56))))</formula>
    </cfRule>
    <cfRule type="containsText" priority="1175" operator="containsText" dxfId="7" text="CARDIO">
      <formula>NOT(ISERROR(SEARCH(("CARDIO"),(AD56))))</formula>
    </cfRule>
    <cfRule type="containsText" priority="1176" operator="containsText" dxfId="7" text="ID">
      <formula>NOT(ISERROR(SEARCH(("ID"),(AD56))))</formula>
    </cfRule>
    <cfRule type="containsText" priority="1177" operator="containsText" dxfId="7" text="NEURO">
      <formula>NOT(ISERROR(SEARCH(("NEURO"),(AD56))))</formula>
    </cfRule>
    <cfRule type="containsText" priority="1178" operator="containsText" dxfId="6" text="NEURO">
      <formula>NOT(ISERROR(SEARCH(("NEURO"),(AD56))))</formula>
    </cfRule>
    <cfRule type="containsText" priority="1179" operator="containsText" dxfId="5" text="NEURO">
      <formula>NOT(ISERROR(SEARCH(("NEURO"),(AD56))))</formula>
    </cfRule>
    <cfRule type="containsText" priority="1180" operator="containsText" dxfId="0" text="ICU N">
      <formula>NOT(ISERROR(SEARCH(("ICU N"),(AD56))))</formula>
    </cfRule>
    <cfRule type="containsText" priority="1181" operator="containsText" dxfId="3" text="ICU">
      <formula>NOT(ISERROR(SEARCH(("ICU"),(AD56))))</formula>
    </cfRule>
    <cfRule type="containsText" priority="1182" operator="containsText" dxfId="0" text="SWING">
      <formula>NOT(ISERROR(SEARCH(("SWING"),(AD56))))</formula>
    </cfRule>
    <cfRule type="containsText" priority="1183" operator="containsText" dxfId="0" text="NF">
      <formula>NOT(ISERROR(SEARCH(("NF"),(AD56))))</formula>
    </cfRule>
    <cfRule type="containsText" priority="1184" operator="containsText" dxfId="0" text="ICU N">
      <formula>NOT(ISERROR(SEARCH(("ICU N"),(AD56))))</formula>
    </cfRule>
    <cfRule type="containsText" priority="1150" operator="containsText" dxfId="17" text="VACATION">
      <formula>NOT(ISERROR(SEARCH(("VACATION"),(AD56))))</formula>
    </cfRule>
    <cfRule type="containsText" priority="1151" operator="containsText" dxfId="16" text="ED">
      <formula>NOT(ISERROR(SEARCH(("ED"),(AD56))))</formula>
    </cfRule>
    <cfRule type="containsText" priority="1152" operator="containsText" dxfId="15" text="GERIATRIC">
      <formula>NOT(ISERROR(SEARCH(("GERIATRIC"),(AD56))))</formula>
    </cfRule>
    <cfRule type="containsText" priority="1153" operator="containsText" dxfId="7" text="PATH">
      <formula>NOT(ISERROR(SEARCH(("PATH"),(AD56))))</formula>
    </cfRule>
    <cfRule type="containsText" priority="1154" operator="containsText" dxfId="7" text="NEPHRO">
      <formula>NOT(ISERROR(SEARCH(("NEPHRO"),(AD56))))</formula>
    </cfRule>
    <cfRule type="containsText" priority="1155" operator="containsText" dxfId="7" text="PULM">
      <formula>NOT(ISERROR(SEARCH(("PULM"),(AD56))))</formula>
    </cfRule>
    <cfRule type="containsText" priority="1156" operator="containsText" dxfId="7" text="RADIOLOGY">
      <formula>NOT(ISERROR(SEARCH(("RADIOLOGY"),(AD56))))</formula>
    </cfRule>
    <cfRule type="containsText" priority="1157" operator="containsText" dxfId="7" text="HEM/ONC">
      <formula>NOT(ISERROR(SEARCH(("HEM/ONC"),(AD56))))</formula>
    </cfRule>
    <cfRule type="containsText" priority="1158" operator="containsText" dxfId="7" text="CARDIO">
      <formula>NOT(ISERROR(SEARCH(("CARDIO"),(AD56))))</formula>
    </cfRule>
    <cfRule type="containsText" priority="1159" operator="containsText" dxfId="7" text="ID">
      <formula>NOT(ISERROR(SEARCH(("ID"),(AD56))))</formula>
    </cfRule>
    <cfRule type="containsText" priority="1160" operator="containsText" dxfId="7" text="NEURO">
      <formula>NOT(ISERROR(SEARCH(("NEURO"),(AD56))))</formula>
    </cfRule>
    <cfRule type="containsText" priority="1161" operator="containsText" dxfId="6" text="NEURO">
      <formula>NOT(ISERROR(SEARCH(("NEURO"),(AD56))))</formula>
    </cfRule>
    <cfRule type="containsText" priority="1162" operator="containsText" dxfId="5" text="NEURO">
      <formula>NOT(ISERROR(SEARCH(("NEURO"),(AD56))))</formula>
    </cfRule>
    <cfRule type="containsText" priority="1163" operator="containsText" dxfId="0" text="ICU N">
      <formula>NOT(ISERROR(SEARCH(("ICU N"),(AD56))))</formula>
    </cfRule>
    <cfRule type="containsText" priority="1164" operator="containsText" dxfId="3" text="ICU">
      <formula>NOT(ISERROR(SEARCH(("ICU"),(AD56))))</formula>
    </cfRule>
    <cfRule type="containsText" priority="1165" operator="containsText" dxfId="0" text="SWING">
      <formula>NOT(ISERROR(SEARCH(("SWING"),(AD56))))</formula>
    </cfRule>
    <cfRule type="containsText" priority="1166" operator="containsText" dxfId="0" text="NF">
      <formula>NOT(ISERROR(SEARCH(("NF"),(AD56))))</formula>
    </cfRule>
    <cfRule type="containsText" priority="1135" operator="containsText" dxfId="7" text="PATH">
      <formula>NOT(ISERROR(SEARCH(("PATH"),(AD56))))</formula>
    </cfRule>
    <cfRule type="containsText" priority="1136" operator="containsText" dxfId="7" text="NEPHRO">
      <formula>NOT(ISERROR(SEARCH(("NEPHRO"),(AD56))))</formula>
    </cfRule>
    <cfRule type="containsText" priority="1137" operator="containsText" dxfId="7" text="PULM">
      <formula>NOT(ISERROR(SEARCH(("PULM"),(AD56))))</formula>
    </cfRule>
    <cfRule type="containsText" priority="1138" operator="containsText" dxfId="7" text="RADIOLOGY">
      <formula>NOT(ISERROR(SEARCH(("RADIOLOGY"),(AD56))))</formula>
    </cfRule>
    <cfRule type="containsText" priority="1139" operator="containsText" dxfId="7" text="HEM/ONC">
      <formula>NOT(ISERROR(SEARCH(("HEM/ONC"),(AD56))))</formula>
    </cfRule>
    <cfRule type="containsText" priority="1140" operator="containsText" dxfId="7" text="CARDIO">
      <formula>NOT(ISERROR(SEARCH(("CARDIO"),(AD56))))</formula>
    </cfRule>
    <cfRule type="containsText" priority="1141" operator="containsText" dxfId="7" text="ID">
      <formula>NOT(ISERROR(SEARCH(("ID"),(AD56))))</formula>
    </cfRule>
    <cfRule type="containsText" priority="1142" operator="containsText" dxfId="7" text="NEURO">
      <formula>NOT(ISERROR(SEARCH(("NEURO"),(AD56))))</formula>
    </cfRule>
    <cfRule type="containsText" priority="1143" operator="containsText" dxfId="6" text="NEURO">
      <formula>NOT(ISERROR(SEARCH(("NEURO"),(AD56))))</formula>
    </cfRule>
    <cfRule type="containsText" priority="1144" operator="containsText" dxfId="5" text="NEURO">
      <formula>NOT(ISERROR(SEARCH(("NEURO"),(AD56))))</formula>
    </cfRule>
    <cfRule type="containsText" priority="1145" operator="containsText" dxfId="0" text="ICU N">
      <formula>NOT(ISERROR(SEARCH(("ICU N"),(AD56))))</formula>
    </cfRule>
    <cfRule type="containsText" priority="1146" operator="containsText" dxfId="3" text="ICU">
      <formula>NOT(ISERROR(SEARCH(("ICU"),(AD56))))</formula>
    </cfRule>
    <cfRule type="containsText" priority="1147" operator="containsText" dxfId="0" text="SWING">
      <formula>NOT(ISERROR(SEARCH(("SWING"),(AD56))))</formula>
    </cfRule>
    <cfRule type="containsText" priority="1148" operator="containsText" dxfId="0" text="NF">
      <formula>NOT(ISERROR(SEARCH(("NF"),(AD56))))</formula>
    </cfRule>
    <cfRule type="containsText" priority="1149" operator="containsText" dxfId="0" text="ICU N">
      <formula>NOT(ISERROR(SEARCH(("ICU N"),(AD56))))</formula>
    </cfRule>
    <cfRule type="containsText" priority="1117" operator="containsText" dxfId="16" text="ED">
      <formula>NOT(ISERROR(SEARCH(("ED"),(AD56))))</formula>
    </cfRule>
    <cfRule type="containsText" priority="1118" operator="containsText" dxfId="15" text="GERIATRIC">
      <formula>NOT(ISERROR(SEARCH(("GERIATRIC"),(AD56))))</formula>
    </cfRule>
    <cfRule type="containsText" priority="1119" operator="containsText" dxfId="17" text="VACATION">
      <formula>NOT(ISERROR(SEARCH(("VACATION"),(AD56))))</formula>
    </cfRule>
    <cfRule type="containsText" priority="1120" operator="containsText" dxfId="7" text="PATH">
      <formula>NOT(ISERROR(SEARCH(("PATH"),(AD56))))</formula>
    </cfRule>
    <cfRule type="containsText" priority="1121" operator="containsText" dxfId="7" text="NEPHRO">
      <formula>NOT(ISERROR(SEARCH(("NEPHRO"),(AD56))))</formula>
    </cfRule>
    <cfRule type="containsText" priority="1122" operator="containsText" dxfId="7" text="PULM">
      <formula>NOT(ISERROR(SEARCH(("PULM"),(AD56))))</formula>
    </cfRule>
    <cfRule type="containsText" priority="1123" operator="containsText" dxfId="7" text="RADIOLOGY">
      <formula>NOT(ISERROR(SEARCH(("RADIOLOGY"),(AD56))))</formula>
    </cfRule>
    <cfRule type="containsText" priority="1124" operator="containsText" dxfId="7" text="HEM/ONC">
      <formula>NOT(ISERROR(SEARCH(("HEM/ONC"),(AD56))))</formula>
    </cfRule>
    <cfRule type="containsText" priority="1125" operator="containsText" dxfId="7" text="CARDIO">
      <formula>NOT(ISERROR(SEARCH(("CARDIO"),(AD56))))</formula>
    </cfRule>
    <cfRule type="containsText" priority="1126" operator="containsText" dxfId="7" text="ID">
      <formula>NOT(ISERROR(SEARCH(("ID"),(AD56))))</formula>
    </cfRule>
    <cfRule type="containsText" priority="1127" operator="containsText" dxfId="7" text="NEURO">
      <formula>NOT(ISERROR(SEARCH(("NEURO"),(AD56))))</formula>
    </cfRule>
    <cfRule type="containsText" priority="1128" operator="containsText" dxfId="6" text="NEURO">
      <formula>NOT(ISERROR(SEARCH(("NEURO"),(AD56))))</formula>
    </cfRule>
    <cfRule type="containsText" priority="1129" operator="containsText" dxfId="5" text="NEURO">
      <formula>NOT(ISERROR(SEARCH(("NEURO"),(AD56))))</formula>
    </cfRule>
    <cfRule type="containsText" priority="1130" operator="containsText" dxfId="0" text="ICU N">
      <formula>NOT(ISERROR(SEARCH(("ICU N"),(AD56))))</formula>
    </cfRule>
    <cfRule type="containsText" priority="1131" operator="containsText" dxfId="3" text="ICU">
      <formula>NOT(ISERROR(SEARCH(("ICU"),(AD56))))</formula>
    </cfRule>
    <cfRule type="containsText" priority="1132" operator="containsText" dxfId="0" text="SWING">
      <formula>NOT(ISERROR(SEARCH(("SWING"),(AD56))))</formula>
    </cfRule>
    <cfRule type="containsText" priority="1133" operator="containsText" dxfId="0" text="NF">
      <formula>NOT(ISERROR(SEARCH(("NF"),(AD56))))</formula>
    </cfRule>
    <cfRule type="containsText" priority="1134" operator="containsText" dxfId="0" text="ICU N">
      <formula>NOT(ISERROR(SEARCH(("ICU N"),(AD56))))</formula>
    </cfRule>
    <cfRule type="containsText" priority="1100" operator="containsText" dxfId="17" text="VACATION">
      <formula>NOT(ISERROR(SEARCH(("VACATION"),(AD56))))</formula>
    </cfRule>
    <cfRule type="containsText" priority="1101" operator="containsText" dxfId="16" text="ED">
      <formula>NOT(ISERROR(SEARCH(("ED"),(AD56))))</formula>
    </cfRule>
    <cfRule type="containsText" priority="1102" operator="containsText" dxfId="15" text="GERIATRIC">
      <formula>NOT(ISERROR(SEARCH(("GERIATRIC"),(AD56))))</formula>
    </cfRule>
    <cfRule type="containsText" priority="1103" operator="containsText" dxfId="7" text="PATH">
      <formula>NOT(ISERROR(SEARCH(("PATH"),(AD56))))</formula>
    </cfRule>
    <cfRule type="containsText" priority="1104" operator="containsText" dxfId="7" text="NEPHRO">
      <formula>NOT(ISERROR(SEARCH(("NEPHRO"),(AD56))))</formula>
    </cfRule>
    <cfRule type="containsText" priority="1105" operator="containsText" dxfId="7" text="PULM">
      <formula>NOT(ISERROR(SEARCH(("PULM"),(AD56))))</formula>
    </cfRule>
    <cfRule type="containsText" priority="1106" operator="containsText" dxfId="7" text="RADIOLOGY">
      <formula>NOT(ISERROR(SEARCH(("RADIOLOGY"),(AD56))))</formula>
    </cfRule>
    <cfRule type="containsText" priority="1107" operator="containsText" dxfId="7" text="HEM/ONC">
      <formula>NOT(ISERROR(SEARCH(("HEM/ONC"),(AD56))))</formula>
    </cfRule>
    <cfRule type="containsText" priority="1108" operator="containsText" dxfId="7" text="CARDIO">
      <formula>NOT(ISERROR(SEARCH(("CARDIO"),(AD56))))</formula>
    </cfRule>
    <cfRule type="containsText" priority="1109" operator="containsText" dxfId="7" text="ID">
      <formula>NOT(ISERROR(SEARCH(("ID"),(AD56))))</formula>
    </cfRule>
    <cfRule type="containsText" priority="1110" operator="containsText" dxfId="7" text="NEURO">
      <formula>NOT(ISERROR(SEARCH(("NEURO"),(AD56))))</formula>
    </cfRule>
    <cfRule type="containsText" priority="1111" operator="containsText" dxfId="6" text="NEURO">
      <formula>NOT(ISERROR(SEARCH(("NEURO"),(AD56))))</formula>
    </cfRule>
    <cfRule type="containsText" priority="1112" operator="containsText" dxfId="5" text="NEURO">
      <formula>NOT(ISERROR(SEARCH(("NEURO"),(AD56))))</formula>
    </cfRule>
    <cfRule type="containsText" priority="1113" operator="containsText" dxfId="0" text="ICU N">
      <formula>NOT(ISERROR(SEARCH(("ICU N"),(AD56))))</formula>
    </cfRule>
    <cfRule type="containsText" priority="1114" operator="containsText" dxfId="3" text="ICU">
      <formula>NOT(ISERROR(SEARCH(("ICU"),(AD56))))</formula>
    </cfRule>
    <cfRule type="containsText" priority="1115" operator="containsText" dxfId="0" text="SWING">
      <formula>NOT(ISERROR(SEARCH(("SWING"),(AD56))))</formula>
    </cfRule>
    <cfRule type="containsText" priority="1116" operator="containsText" dxfId="0" text="NF">
      <formula>NOT(ISERROR(SEARCH(("NF"),(AD56))))</formula>
    </cfRule>
    <cfRule type="containsText" priority="1085" operator="containsText" dxfId="7" text="PATH">
      <formula>NOT(ISERROR(SEARCH(("PATH"),(AD56))))</formula>
    </cfRule>
    <cfRule type="containsText" priority="1086" operator="containsText" dxfId="7" text="NEPHRO">
      <formula>NOT(ISERROR(SEARCH(("NEPHRO"),(AD56))))</formula>
    </cfRule>
    <cfRule type="containsText" priority="1087" operator="containsText" dxfId="7" text="PULM">
      <formula>NOT(ISERROR(SEARCH(("PULM"),(AD56))))</formula>
    </cfRule>
    <cfRule type="containsText" priority="1088" operator="containsText" dxfId="7" text="RADIOLOGY">
      <formula>NOT(ISERROR(SEARCH(("RADIOLOGY"),(AD56))))</formula>
    </cfRule>
    <cfRule type="containsText" priority="1089" operator="containsText" dxfId="7" text="HEM/ONC">
      <formula>NOT(ISERROR(SEARCH(("HEM/ONC"),(AD56))))</formula>
    </cfRule>
    <cfRule type="containsText" priority="1090" operator="containsText" dxfId="7" text="CARDIO">
      <formula>NOT(ISERROR(SEARCH(("CARDIO"),(AD56))))</formula>
    </cfRule>
    <cfRule type="containsText" priority="1091" operator="containsText" dxfId="7" text="ID">
      <formula>NOT(ISERROR(SEARCH(("ID"),(AD56))))</formula>
    </cfRule>
    <cfRule type="containsText" priority="1092" operator="containsText" dxfId="7" text="NEURO">
      <formula>NOT(ISERROR(SEARCH(("NEURO"),(AD56))))</formula>
    </cfRule>
    <cfRule type="containsText" priority="1093" operator="containsText" dxfId="6" text="NEURO">
      <formula>NOT(ISERROR(SEARCH(("NEURO"),(AD56))))</formula>
    </cfRule>
    <cfRule type="containsText" priority="1094" operator="containsText" dxfId="5" text="NEURO">
      <formula>NOT(ISERROR(SEARCH(("NEURO"),(AD56))))</formula>
    </cfRule>
    <cfRule type="containsText" priority="1095" operator="containsText" dxfId="0" text="ICU N">
      <formula>NOT(ISERROR(SEARCH(("ICU N"),(AD56))))</formula>
    </cfRule>
    <cfRule type="containsText" priority="1096" operator="containsText" dxfId="3" text="ICU">
      <formula>NOT(ISERROR(SEARCH(("ICU"),(AD56))))</formula>
    </cfRule>
    <cfRule type="containsText" priority="1097" operator="containsText" dxfId="0" text="SWING">
      <formula>NOT(ISERROR(SEARCH(("SWING"),(AD56))))</formula>
    </cfRule>
    <cfRule type="containsText" priority="1098" operator="containsText" dxfId="0" text="NF">
      <formula>NOT(ISERROR(SEARCH(("NF"),(AD56))))</formula>
    </cfRule>
    <cfRule type="containsText" priority="1099" operator="containsText" dxfId="0" text="ICU N">
      <formula>NOT(ISERROR(SEARCH(("ICU N"),(AD56))))</formula>
    </cfRule>
  </conditionalFormatting>
  <conditionalFormatting sqref="AC54">
    <cfRule type="containsText" priority="862" operator="containsText" dxfId="17" text="VACATION">
      <formula>NOT(ISERROR(SEARCH(("VACATION"),(AC54))))</formula>
    </cfRule>
    <cfRule type="containsText" priority="863" operator="containsText" dxfId="16" text="ED">
      <formula>NOT(ISERROR(SEARCH(("ED"),(AC54))))</formula>
    </cfRule>
    <cfRule type="containsText" priority="864" operator="containsText" dxfId="15" text="GERIATRIC">
      <formula>NOT(ISERROR(SEARCH(("GERIATRIC"),(AC54))))</formula>
    </cfRule>
    <cfRule type="containsText" priority="865" operator="containsText" dxfId="7" text="PATH">
      <formula>NOT(ISERROR(SEARCH(("PATH"),(AC54))))</formula>
    </cfRule>
    <cfRule type="containsText" priority="866" operator="containsText" dxfId="7" text="NEPHRO">
      <formula>NOT(ISERROR(SEARCH(("NEPHRO"),(AC54))))</formula>
    </cfRule>
    <cfRule type="containsText" priority="867" operator="containsText" dxfId="7" text="PULM">
      <formula>NOT(ISERROR(SEARCH(("PULM"),(AC54))))</formula>
    </cfRule>
    <cfRule type="containsText" priority="868" operator="containsText" dxfId="7" text="RADIOLOGY">
      <formula>NOT(ISERROR(SEARCH(("RADIOLOGY"),(AC54))))</formula>
    </cfRule>
    <cfRule type="containsText" priority="869" operator="containsText" dxfId="7" text="HEM/ONC">
      <formula>NOT(ISERROR(SEARCH(("HEM/ONC"),(AC54))))</formula>
    </cfRule>
    <cfRule type="containsText" priority="870" operator="containsText" dxfId="7" text="CARDIO">
      <formula>NOT(ISERROR(SEARCH(("CARDIO"),(AC54))))</formula>
    </cfRule>
    <cfRule type="containsText" priority="871" operator="containsText" dxfId="7" text="ID">
      <formula>NOT(ISERROR(SEARCH(("ID"),(AC54))))</formula>
    </cfRule>
    <cfRule type="containsText" priority="872" operator="containsText" dxfId="7" text="NEURO">
      <formula>NOT(ISERROR(SEARCH(("NEURO"),(AC54))))</formula>
    </cfRule>
    <cfRule type="containsText" priority="873" operator="containsText" dxfId="6" text="NEURO">
      <formula>NOT(ISERROR(SEARCH(("NEURO"),(AC54))))</formula>
    </cfRule>
    <cfRule type="containsText" priority="874" operator="containsText" dxfId="5" text="NEURO">
      <formula>NOT(ISERROR(SEARCH(("NEURO"),(AC54))))</formula>
    </cfRule>
    <cfRule type="containsText" priority="875" operator="containsText" dxfId="0" text="ICU N">
      <formula>NOT(ISERROR(SEARCH(("ICU N"),(AC54))))</formula>
    </cfRule>
    <cfRule type="containsText" priority="876" operator="containsText" dxfId="3" text="ICU">
      <formula>NOT(ISERROR(SEARCH(("ICU"),(AC54))))</formula>
    </cfRule>
    <cfRule type="containsText" priority="877" operator="containsText" dxfId="0" text="SWING">
      <formula>NOT(ISERROR(SEARCH(("SWING"),(AC54))))</formula>
    </cfRule>
    <cfRule type="containsText" priority="878" operator="containsText" dxfId="0" text="NF">
      <formula>NOT(ISERROR(SEARCH(("NF"),(AC54))))</formula>
    </cfRule>
  </conditionalFormatting>
  <conditionalFormatting sqref="AC56">
    <cfRule type="containsText" priority="845" operator="containsText" dxfId="17" text="VACATION">
      <formula>NOT(ISERROR(SEARCH(("VACATION"),(AC56))))</formula>
    </cfRule>
    <cfRule type="containsText" priority="846" operator="containsText" dxfId="16" text="ED">
      <formula>NOT(ISERROR(SEARCH(("ED"),(AC56))))</formula>
    </cfRule>
    <cfRule type="containsText" priority="847" operator="containsText" dxfId="15" text="GERIATRIC">
      <formula>NOT(ISERROR(SEARCH(("GERIATRIC"),(AC56))))</formula>
    </cfRule>
    <cfRule type="containsText" priority="848" operator="containsText" dxfId="7" text="PATH">
      <formula>NOT(ISERROR(SEARCH(("PATH"),(AC56))))</formula>
    </cfRule>
    <cfRule type="containsText" priority="849" operator="containsText" dxfId="7" text="NEPHRO">
      <formula>NOT(ISERROR(SEARCH(("NEPHRO"),(AC56))))</formula>
    </cfRule>
    <cfRule type="containsText" priority="850" operator="containsText" dxfId="7" text="PULM">
      <formula>NOT(ISERROR(SEARCH(("PULM"),(AC56))))</formula>
    </cfRule>
    <cfRule type="containsText" priority="851" operator="containsText" dxfId="7" text="RADIOLOGY">
      <formula>NOT(ISERROR(SEARCH(("RADIOLOGY"),(AC56))))</formula>
    </cfRule>
    <cfRule type="containsText" priority="852" operator="containsText" dxfId="7" text="HEM/ONC">
      <formula>NOT(ISERROR(SEARCH(("HEM/ONC"),(AC56))))</formula>
    </cfRule>
    <cfRule type="containsText" priority="853" operator="containsText" dxfId="7" text="CARDIO">
      <formula>NOT(ISERROR(SEARCH(("CARDIO"),(AC56))))</formula>
    </cfRule>
    <cfRule type="containsText" priority="854" operator="containsText" dxfId="7" text="ID">
      <formula>NOT(ISERROR(SEARCH(("ID"),(AC56))))</formula>
    </cfRule>
    <cfRule type="containsText" priority="855" operator="containsText" dxfId="7" text="NEURO">
      <formula>NOT(ISERROR(SEARCH(("NEURO"),(AC56))))</formula>
    </cfRule>
    <cfRule type="containsText" priority="856" operator="containsText" dxfId="6" text="NEURO">
      <formula>NOT(ISERROR(SEARCH(("NEURO"),(AC56))))</formula>
    </cfRule>
    <cfRule type="containsText" priority="857" operator="containsText" dxfId="5" text="NEURO">
      <formula>NOT(ISERROR(SEARCH(("NEURO"),(AC56))))</formula>
    </cfRule>
    <cfRule type="containsText" priority="858" operator="containsText" dxfId="0" text="ICU N">
      <formula>NOT(ISERROR(SEARCH(("ICU N"),(AC56))))</formula>
    </cfRule>
    <cfRule type="containsText" priority="859" operator="containsText" dxfId="3" text="ICU">
      <formula>NOT(ISERROR(SEARCH(("ICU"),(AC56))))</formula>
    </cfRule>
    <cfRule type="containsText" priority="860" operator="containsText" dxfId="0" text="SWING">
      <formula>NOT(ISERROR(SEARCH(("SWING"),(AC56))))</formula>
    </cfRule>
    <cfRule type="containsText" priority="861" operator="containsText" dxfId="0" text="NF">
      <formula>NOT(ISERROR(SEARCH(("NF"),(AC56))))</formula>
    </cfRule>
  </conditionalFormatting>
  <conditionalFormatting sqref="AF53">
    <cfRule type="containsText" priority="828" operator="containsText" dxfId="17" text="VACATION">
      <formula>NOT(ISERROR(SEARCH(("VACATION"),(AF53))))</formula>
    </cfRule>
    <cfRule type="containsText" priority="829" operator="containsText" dxfId="16" text="ED">
      <formula>NOT(ISERROR(SEARCH(("ED"),(AF53))))</formula>
    </cfRule>
    <cfRule type="containsText" priority="830" operator="containsText" dxfId="15" text="GERIATRIC">
      <formula>NOT(ISERROR(SEARCH(("GERIATRIC"),(AF53))))</formula>
    </cfRule>
    <cfRule type="containsText" priority="831" operator="containsText" dxfId="7" text="PATH">
      <formula>NOT(ISERROR(SEARCH(("PATH"),(AF53))))</formula>
    </cfRule>
    <cfRule type="containsText" priority="832" operator="containsText" dxfId="7" text="NEPHRO">
      <formula>NOT(ISERROR(SEARCH(("NEPHRO"),(AF53))))</formula>
    </cfRule>
    <cfRule type="containsText" priority="833" operator="containsText" dxfId="7" text="PULM">
      <formula>NOT(ISERROR(SEARCH(("PULM"),(AF53))))</formula>
    </cfRule>
    <cfRule type="containsText" priority="834" operator="containsText" dxfId="7" text="RADIOLOGY">
      <formula>NOT(ISERROR(SEARCH(("RADIOLOGY"),(AF53))))</formula>
    </cfRule>
    <cfRule type="containsText" priority="835" operator="containsText" dxfId="7" text="HEM/ONC">
      <formula>NOT(ISERROR(SEARCH(("HEM/ONC"),(AF53))))</formula>
    </cfRule>
    <cfRule type="containsText" priority="836" operator="containsText" dxfId="7" text="CARDIO">
      <formula>NOT(ISERROR(SEARCH(("CARDIO"),(AF53))))</formula>
    </cfRule>
    <cfRule type="containsText" priority="837" operator="containsText" dxfId="7" text="ID">
      <formula>NOT(ISERROR(SEARCH(("ID"),(AF53))))</formula>
    </cfRule>
    <cfRule type="containsText" priority="838" operator="containsText" dxfId="7" text="NEURO">
      <formula>NOT(ISERROR(SEARCH(("NEURO"),(AF53))))</formula>
    </cfRule>
    <cfRule type="containsText" priority="839" operator="containsText" dxfId="6" text="NEURO">
      <formula>NOT(ISERROR(SEARCH(("NEURO"),(AF53))))</formula>
    </cfRule>
    <cfRule type="containsText" priority="840" operator="containsText" dxfId="5" text="NEURO">
      <formula>NOT(ISERROR(SEARCH(("NEURO"),(AF53))))</formula>
    </cfRule>
    <cfRule type="containsText" priority="841" operator="containsText" dxfId="0" text="ICU N">
      <formula>NOT(ISERROR(SEARCH(("ICU N"),(AF53))))</formula>
    </cfRule>
    <cfRule type="containsText" priority="842" operator="containsText" dxfId="3" text="ICU">
      <formula>NOT(ISERROR(SEARCH(("ICU"),(AF53))))</formula>
    </cfRule>
    <cfRule type="containsText" priority="843" operator="containsText" dxfId="0" text="SWING">
      <formula>NOT(ISERROR(SEARCH(("SWING"),(AF53))))</formula>
    </cfRule>
    <cfRule type="containsText" priority="844" operator="containsText" dxfId="0" text="NF">
      <formula>NOT(ISERROR(SEARCH(("NF"),(AF53))))</formula>
    </cfRule>
  </conditionalFormatting>
  <conditionalFormatting sqref="AV15">
    <cfRule type="containsText" priority="808" operator="containsText" dxfId="17" text="VACATION">
      <formula>NOT(ISERROR(SEARCH(("VACATION"),(AV15))))</formula>
    </cfRule>
    <cfRule type="containsText" priority="809" operator="containsText" dxfId="16" text="ED">
      <formula>NOT(ISERROR(SEARCH(("ED"),(AV15))))</formula>
    </cfRule>
    <cfRule type="containsText" priority="810" operator="containsText" dxfId="15" text="GERIATRIC">
      <formula>NOT(ISERROR(SEARCH(("GERIATRIC"),(AV15))))</formula>
    </cfRule>
  </conditionalFormatting>
  <conditionalFormatting sqref="AW15">
    <cfRule type="containsText" priority="805" operator="containsText" dxfId="17" text="VACATION">
      <formula>NOT(ISERROR(SEARCH(("VACATION"),(AW15))))</formula>
    </cfRule>
    <cfRule type="containsText" priority="806" operator="containsText" dxfId="16" text="ED">
      <formula>NOT(ISERROR(SEARCH(("ED"),(AW15))))</formula>
    </cfRule>
    <cfRule type="containsText" priority="807" operator="containsText" dxfId="15" text="GERIATRIC">
      <formula>NOT(ISERROR(SEARCH(("GERIATRIC"),(AW15))))</formula>
    </cfRule>
  </conditionalFormatting>
  <conditionalFormatting sqref="AN27">
    <cfRule type="containsText" priority="804" operator="containsText" dxfId="0" text="ICU N">
      <formula>NOT(ISERROR(SEARCH(("ICU N"),(AN27))))</formula>
    </cfRule>
    <cfRule type="containsText" priority="803" operator="containsText" dxfId="0" text="ICU N">
      <formula>NOT(ISERROR(SEARCH(("ICU N"),(AN27))))</formula>
    </cfRule>
  </conditionalFormatting>
  <conditionalFormatting sqref="AH46">
    <cfRule type="containsText" priority="801" operator="containsText" dxfId="17" text="VACATION">
      <formula>NOT(ISERROR(SEARCH(("VACATION"),(AH46))))</formula>
    </cfRule>
    <cfRule type="containsText" priority="800" operator="containsText" dxfId="17" text="VACATION">
      <formula>NOT(ISERROR(SEARCH(("VACATION"),(AH46))))</formula>
    </cfRule>
    <cfRule type="containsText" priority="799" operator="containsText" dxfId="17" text="VACATION">
      <formula>NOT(ISERROR(SEARCH(("VACATION"),(AH46))))</formula>
    </cfRule>
  </conditionalFormatting>
  <conditionalFormatting sqref="AH10">
    <cfRule type="containsText" priority="781" operator="containsText" dxfId="16" text="ED">
      <formula>NOT(ISERROR(SEARCH(("ED"),(AH10))))</formula>
    </cfRule>
    <cfRule type="containsText" priority="782" operator="containsText" dxfId="15" text="GERIATRIC">
      <formula>NOT(ISERROR(SEARCH(("GERIATRIC"),(AH10))))</formula>
    </cfRule>
    <cfRule type="containsText" priority="783" operator="containsText" dxfId="17" text="VACATION">
      <formula>NOT(ISERROR(SEARCH(("VACATION"),(AH10))))</formula>
    </cfRule>
    <cfRule type="containsText" priority="784" operator="containsText" dxfId="7" text="PATH">
      <formula>NOT(ISERROR(SEARCH(("PATH"),(AH10))))</formula>
    </cfRule>
    <cfRule type="containsText" priority="785" operator="containsText" dxfId="7" text="NEPHRO">
      <formula>NOT(ISERROR(SEARCH(("NEPHRO"),(AH10))))</formula>
    </cfRule>
    <cfRule type="containsText" priority="786" operator="containsText" dxfId="7" text="PULM">
      <formula>NOT(ISERROR(SEARCH(("PULM"),(AH10))))</formula>
    </cfRule>
    <cfRule type="containsText" priority="787" operator="containsText" dxfId="7" text="RADIOLOGY">
      <formula>NOT(ISERROR(SEARCH(("RADIOLOGY"),(AH10))))</formula>
    </cfRule>
    <cfRule type="containsText" priority="788" operator="containsText" dxfId="7" text="HEM/ONC">
      <formula>NOT(ISERROR(SEARCH(("HEM/ONC"),(AH10))))</formula>
    </cfRule>
    <cfRule type="containsText" priority="789" operator="containsText" dxfId="7" text="CARDIO">
      <formula>NOT(ISERROR(SEARCH(("CARDIO"),(AH10))))</formula>
    </cfRule>
    <cfRule type="containsText" priority="790" operator="containsText" dxfId="7" text="ID">
      <formula>NOT(ISERROR(SEARCH(("ID"),(AH10))))</formula>
    </cfRule>
    <cfRule type="containsText" priority="791" operator="containsText" dxfId="7" text="NEURO">
      <formula>NOT(ISERROR(SEARCH(("NEURO"),(AH10))))</formula>
    </cfRule>
    <cfRule type="containsText" priority="792" operator="containsText" dxfId="6" text="NEURO">
      <formula>NOT(ISERROR(SEARCH(("NEURO"),(AH10))))</formula>
    </cfRule>
    <cfRule type="containsText" priority="793" operator="containsText" dxfId="5" text="NEURO">
      <formula>NOT(ISERROR(SEARCH(("NEURO"),(AH10))))</formula>
    </cfRule>
    <cfRule type="containsText" priority="794" operator="containsText" dxfId="0" text="ICU N">
      <formula>NOT(ISERROR(SEARCH(("ICU N"),(AH10))))</formula>
    </cfRule>
    <cfRule type="containsText" priority="795" operator="containsText" dxfId="3" text="ICU">
      <formula>NOT(ISERROR(SEARCH(("ICU"),(AH10))))</formula>
    </cfRule>
    <cfRule type="containsText" priority="796" operator="containsText" dxfId="0" text="SWING">
      <formula>NOT(ISERROR(SEARCH(("SWING"),(AH10))))</formula>
    </cfRule>
    <cfRule type="containsText" priority="797" operator="containsText" dxfId="0" text="NF">
      <formula>NOT(ISERROR(SEARCH(("NF"),(AH10))))</formula>
    </cfRule>
    <cfRule type="containsText" priority="798" operator="containsText" dxfId="0" text="ICU N">
      <formula>NOT(ISERROR(SEARCH(("ICU N"),(AH10))))</formula>
    </cfRule>
    <cfRule type="containsText" priority="763" operator="containsText" dxfId="16" text="ED">
      <formula>NOT(ISERROR(SEARCH(("ED"),(AH10))))</formula>
    </cfRule>
    <cfRule type="containsText" priority="764" operator="containsText" dxfId="15" text="GERIATRIC">
      <formula>NOT(ISERROR(SEARCH(("GERIATRIC"),(AH10))))</formula>
    </cfRule>
    <cfRule type="containsText" priority="765" operator="containsText" dxfId="17" text="VACATION">
      <formula>NOT(ISERROR(SEARCH(("VACATION"),(AH10))))</formula>
    </cfRule>
    <cfRule type="containsText" priority="766" operator="containsText" dxfId="7" text="PATH">
      <formula>NOT(ISERROR(SEARCH(("PATH"),(AH10))))</formula>
    </cfRule>
    <cfRule type="containsText" priority="767" operator="containsText" dxfId="7" text="NEPHRO">
      <formula>NOT(ISERROR(SEARCH(("NEPHRO"),(AH10))))</formula>
    </cfRule>
    <cfRule type="containsText" priority="768" operator="containsText" dxfId="7" text="PULM">
      <formula>NOT(ISERROR(SEARCH(("PULM"),(AH10))))</formula>
    </cfRule>
    <cfRule type="containsText" priority="769" operator="containsText" dxfId="7" text="RADIOLOGY">
      <formula>NOT(ISERROR(SEARCH(("RADIOLOGY"),(AH10))))</formula>
    </cfRule>
    <cfRule type="containsText" priority="770" operator="containsText" dxfId="7" text="HEM/ONC">
      <formula>NOT(ISERROR(SEARCH(("HEM/ONC"),(AH10))))</formula>
    </cfRule>
    <cfRule type="containsText" priority="771" operator="containsText" dxfId="7" text="CARDIO">
      <formula>NOT(ISERROR(SEARCH(("CARDIO"),(AH10))))</formula>
    </cfRule>
    <cfRule type="containsText" priority="772" operator="containsText" dxfId="7" text="ID">
      <formula>NOT(ISERROR(SEARCH(("ID"),(AH10))))</formula>
    </cfRule>
    <cfRule type="containsText" priority="773" operator="containsText" dxfId="7" text="NEURO">
      <formula>NOT(ISERROR(SEARCH(("NEURO"),(AH10))))</formula>
    </cfRule>
    <cfRule type="containsText" priority="774" operator="containsText" dxfId="6" text="NEURO">
      <formula>NOT(ISERROR(SEARCH(("NEURO"),(AH10))))</formula>
    </cfRule>
    <cfRule type="containsText" priority="775" operator="containsText" dxfId="5" text="NEURO">
      <formula>NOT(ISERROR(SEARCH(("NEURO"),(AH10))))</formula>
    </cfRule>
    <cfRule type="containsText" priority="776" operator="containsText" dxfId="0" text="ICU N">
      <formula>NOT(ISERROR(SEARCH(("ICU N"),(AH10))))</formula>
    </cfRule>
    <cfRule type="containsText" priority="777" operator="containsText" dxfId="3" text="ICU">
      <formula>NOT(ISERROR(SEARCH(("ICU"),(AH10))))</formula>
    </cfRule>
    <cfRule type="containsText" priority="778" operator="containsText" dxfId="0" text="SWING">
      <formula>NOT(ISERROR(SEARCH(("SWING"),(AH10))))</formula>
    </cfRule>
    <cfRule type="containsText" priority="779" operator="containsText" dxfId="0" text="NF">
      <formula>NOT(ISERROR(SEARCH(("NF"),(AH10))))</formula>
    </cfRule>
    <cfRule type="containsText" priority="780" operator="containsText" dxfId="0" text="ICU N">
      <formula>NOT(ISERROR(SEARCH(("ICU N"),(AH10))))</formula>
    </cfRule>
  </conditionalFormatting>
  <conditionalFormatting sqref="AM10">
    <cfRule type="containsText" priority="747" operator="containsText" dxfId="16" text="ED">
      <formula>NOT(ISERROR(SEARCH(("ED"),(AM10))))</formula>
    </cfRule>
    <cfRule type="containsText" priority="748" operator="containsText" dxfId="15" text="GERIATRIC">
      <formula>NOT(ISERROR(SEARCH(("GERIATRIC"),(AM10))))</formula>
    </cfRule>
    <cfRule type="containsText" priority="749" operator="containsText" dxfId="7" text="PATH">
      <formula>NOT(ISERROR(SEARCH(("PATH"),(AM10))))</formula>
    </cfRule>
    <cfRule type="containsText" priority="750" operator="containsText" dxfId="7" text="NEPHRO">
      <formula>NOT(ISERROR(SEARCH(("NEPHRO"),(AM10))))</formula>
    </cfRule>
    <cfRule type="containsText" priority="751" operator="containsText" dxfId="7" text="PULM">
      <formula>NOT(ISERROR(SEARCH(("PULM"),(AM10))))</formula>
    </cfRule>
    <cfRule type="containsText" priority="752" operator="containsText" dxfId="7" text="RADIOLOGY">
      <formula>NOT(ISERROR(SEARCH(("RADIOLOGY"),(AM10))))</formula>
    </cfRule>
    <cfRule type="containsText" priority="753" operator="containsText" dxfId="7" text="HEM/ONC">
      <formula>NOT(ISERROR(SEARCH(("HEM/ONC"),(AM10))))</formula>
    </cfRule>
    <cfRule type="containsText" priority="754" operator="containsText" dxfId="7" text="CARDIO">
      <formula>NOT(ISERROR(SEARCH(("CARDIO"),(AM10))))</formula>
    </cfRule>
    <cfRule type="containsText" priority="755" operator="containsText" dxfId="7" text="ID">
      <formula>NOT(ISERROR(SEARCH(("ID"),(AM10))))</formula>
    </cfRule>
    <cfRule type="containsText" priority="756" operator="containsText" dxfId="7" text="NEURO">
      <formula>NOT(ISERROR(SEARCH(("NEURO"),(AM10))))</formula>
    </cfRule>
    <cfRule type="containsText" priority="757" operator="containsText" dxfId="6" text="NEURO">
      <formula>NOT(ISERROR(SEARCH(("NEURO"),(AM10))))</formula>
    </cfRule>
    <cfRule type="containsText" priority="758" operator="containsText" dxfId="5" text="NEURO">
      <formula>NOT(ISERROR(SEARCH(("NEURO"),(AM10))))</formula>
    </cfRule>
    <cfRule type="containsText" priority="759" operator="containsText" dxfId="0" text="ICU N">
      <formula>NOT(ISERROR(SEARCH(("ICU N"),(AM10))))</formula>
    </cfRule>
    <cfRule type="containsText" priority="760" operator="containsText" dxfId="3" text="ICU">
      <formula>NOT(ISERROR(SEARCH(("ICU"),(AM10))))</formula>
    </cfRule>
    <cfRule type="containsText" priority="761" operator="containsText" dxfId="0" text="SWING">
      <formula>NOT(ISERROR(SEARCH(("SWING"),(AM10))))</formula>
    </cfRule>
    <cfRule type="containsText" priority="762" operator="containsText" dxfId="0" text="NF">
      <formula>NOT(ISERROR(SEARCH(("NF"),(AM10))))</formula>
    </cfRule>
    <cfRule type="containsText" priority="731" operator="containsText" dxfId="16" text="ED">
      <formula>NOT(ISERROR(SEARCH(("ED"),(AM10))))</formula>
    </cfRule>
    <cfRule type="containsText" priority="732" operator="containsText" dxfId="15" text="GERIATRIC">
      <formula>NOT(ISERROR(SEARCH(("GERIATRIC"),(AM10))))</formula>
    </cfRule>
    <cfRule type="containsText" priority="733" operator="containsText" dxfId="7" text="PATH">
      <formula>NOT(ISERROR(SEARCH(("PATH"),(AM10))))</formula>
    </cfRule>
    <cfRule type="containsText" priority="734" operator="containsText" dxfId="7" text="NEPHRO">
      <formula>NOT(ISERROR(SEARCH(("NEPHRO"),(AM10))))</formula>
    </cfRule>
    <cfRule type="containsText" priority="735" operator="containsText" dxfId="7" text="PULM">
      <formula>NOT(ISERROR(SEARCH(("PULM"),(AM10))))</formula>
    </cfRule>
    <cfRule type="containsText" priority="736" operator="containsText" dxfId="7" text="RADIOLOGY">
      <formula>NOT(ISERROR(SEARCH(("RADIOLOGY"),(AM10))))</formula>
    </cfRule>
    <cfRule type="containsText" priority="737" operator="containsText" dxfId="7" text="HEM/ONC">
      <formula>NOT(ISERROR(SEARCH(("HEM/ONC"),(AM10))))</formula>
    </cfRule>
    <cfRule type="containsText" priority="738" operator="containsText" dxfId="7" text="CARDIO">
      <formula>NOT(ISERROR(SEARCH(("CARDIO"),(AM10))))</formula>
    </cfRule>
    <cfRule type="containsText" priority="739" operator="containsText" dxfId="7" text="ID">
      <formula>NOT(ISERROR(SEARCH(("ID"),(AM10))))</formula>
    </cfRule>
    <cfRule type="containsText" priority="740" operator="containsText" dxfId="7" text="NEURO">
      <formula>NOT(ISERROR(SEARCH(("NEURO"),(AM10))))</formula>
    </cfRule>
    <cfRule type="containsText" priority="741" operator="containsText" dxfId="6" text="NEURO">
      <formula>NOT(ISERROR(SEARCH(("NEURO"),(AM10))))</formula>
    </cfRule>
    <cfRule type="containsText" priority="742" operator="containsText" dxfId="5" text="NEURO">
      <formula>NOT(ISERROR(SEARCH(("NEURO"),(AM10))))</formula>
    </cfRule>
    <cfRule type="containsText" priority="743" operator="containsText" dxfId="0" text="ICU N">
      <formula>NOT(ISERROR(SEARCH(("ICU N"),(AM10))))</formula>
    </cfRule>
    <cfRule type="containsText" priority="744" operator="containsText" dxfId="3" text="ICU">
      <formula>NOT(ISERROR(SEARCH(("ICU"),(AM10))))</formula>
    </cfRule>
    <cfRule type="containsText" priority="745" operator="containsText" dxfId="0" text="SWING">
      <formula>NOT(ISERROR(SEARCH(("SWING"),(AM10))))</formula>
    </cfRule>
    <cfRule type="containsText" priority="746" operator="containsText" dxfId="0" text="NF">
      <formula>NOT(ISERROR(SEARCH(("NF"),(AM10))))</formula>
    </cfRule>
  </conditionalFormatting>
  <conditionalFormatting sqref="AK11:AL11">
    <cfRule type="containsText" priority="716" operator="containsText" dxfId="7" text="PATH">
      <formula>NOT(ISERROR(SEARCH(("PATH"),(AK11))))</formula>
    </cfRule>
    <cfRule type="containsText" priority="717" operator="containsText" dxfId="7" text="NEPHRO">
      <formula>NOT(ISERROR(SEARCH(("NEPHRO"),(AK11))))</formula>
    </cfRule>
    <cfRule type="containsText" priority="718" operator="containsText" dxfId="7" text="PULM">
      <formula>NOT(ISERROR(SEARCH(("PULM"),(AK11))))</formula>
    </cfRule>
    <cfRule type="containsText" priority="719" operator="containsText" dxfId="7" text="RADIOLOGY">
      <formula>NOT(ISERROR(SEARCH(("RADIOLOGY"),(AK11))))</formula>
    </cfRule>
    <cfRule type="containsText" priority="720" operator="containsText" dxfId="7" text="HEM/ONC">
      <formula>NOT(ISERROR(SEARCH(("HEM/ONC"),(AK11))))</formula>
    </cfRule>
    <cfRule type="containsText" priority="721" operator="containsText" dxfId="7" text="CARDIO">
      <formula>NOT(ISERROR(SEARCH(("CARDIO"),(AK11))))</formula>
    </cfRule>
    <cfRule type="containsText" priority="722" operator="containsText" dxfId="7" text="ID">
      <formula>NOT(ISERROR(SEARCH(("ID"),(AK11))))</formula>
    </cfRule>
    <cfRule type="containsText" priority="723" operator="containsText" dxfId="7" text="NEURO">
      <formula>NOT(ISERROR(SEARCH(("NEURO"),(AK11))))</formula>
    </cfRule>
    <cfRule type="containsText" priority="724" operator="containsText" dxfId="6" text="NEURO">
      <formula>NOT(ISERROR(SEARCH(("NEURO"),(AK11))))</formula>
    </cfRule>
    <cfRule type="containsText" priority="725" operator="containsText" dxfId="5" text="NEURO">
      <formula>NOT(ISERROR(SEARCH(("NEURO"),(AK11))))</formula>
    </cfRule>
    <cfRule type="containsText" priority="726" operator="containsText" dxfId="0" text="ICU N">
      <formula>NOT(ISERROR(SEARCH(("ICU N"),(AK11))))</formula>
    </cfRule>
    <cfRule type="containsText" priority="727" operator="containsText" dxfId="3" text="ICU">
      <formula>NOT(ISERROR(SEARCH(("ICU"),(AK11))))</formula>
    </cfRule>
    <cfRule type="containsText" priority="728" operator="containsText" dxfId="0" text="SWING">
      <formula>NOT(ISERROR(SEARCH(("SWING"),(AK11))))</formula>
    </cfRule>
    <cfRule type="containsText" priority="729" operator="containsText" dxfId="0" text="NF">
      <formula>NOT(ISERROR(SEARCH(("NF"),(AK11))))</formula>
    </cfRule>
    <cfRule type="containsText" priority="730" operator="containsText" dxfId="0" text="ICU N">
      <formula>NOT(ISERROR(SEARCH(("ICU N"),(AK11))))</formula>
    </cfRule>
    <cfRule type="containsText" priority="702" operator="containsText" dxfId="7" text="PATH">
      <formula>NOT(ISERROR(SEARCH(("PATH"),(AK11))))</formula>
    </cfRule>
    <cfRule type="containsText" priority="703" operator="containsText" dxfId="7" text="NEPHRO">
      <formula>NOT(ISERROR(SEARCH(("NEPHRO"),(AK11))))</formula>
    </cfRule>
    <cfRule type="containsText" priority="704" operator="containsText" dxfId="7" text="PULM">
      <formula>NOT(ISERROR(SEARCH(("PULM"),(AK11))))</formula>
    </cfRule>
    <cfRule type="containsText" priority="705" operator="containsText" dxfId="7" text="RADIOLOGY">
      <formula>NOT(ISERROR(SEARCH(("RADIOLOGY"),(AK11))))</formula>
    </cfRule>
    <cfRule type="containsText" priority="706" operator="containsText" dxfId="7" text="HEM/ONC">
      <formula>NOT(ISERROR(SEARCH(("HEM/ONC"),(AK11))))</formula>
    </cfRule>
    <cfRule type="containsText" priority="707" operator="containsText" dxfId="7" text="CARDIO">
      <formula>NOT(ISERROR(SEARCH(("CARDIO"),(AK11))))</formula>
    </cfRule>
    <cfRule type="containsText" priority="708" operator="containsText" dxfId="7" text="ID">
      <formula>NOT(ISERROR(SEARCH(("ID"),(AK11))))</formula>
    </cfRule>
    <cfRule type="containsText" priority="709" operator="containsText" dxfId="7" text="NEURO">
      <formula>NOT(ISERROR(SEARCH(("NEURO"),(AK11))))</formula>
    </cfRule>
    <cfRule type="containsText" priority="710" operator="containsText" dxfId="6" text="NEURO">
      <formula>NOT(ISERROR(SEARCH(("NEURO"),(AK11))))</formula>
    </cfRule>
    <cfRule type="containsText" priority="711" operator="containsText" dxfId="5" text="NEURO">
      <formula>NOT(ISERROR(SEARCH(("NEURO"),(AK11))))</formula>
    </cfRule>
    <cfRule type="containsText" priority="712" operator="containsText" dxfId="0" text="ICU N">
      <formula>NOT(ISERROR(SEARCH(("ICU N"),(AK11))))</formula>
    </cfRule>
    <cfRule type="containsText" priority="713" operator="containsText" dxfId="3" text="ICU">
      <formula>NOT(ISERROR(SEARCH(("ICU"),(AK11))))</formula>
    </cfRule>
    <cfRule type="containsText" priority="714" operator="containsText" dxfId="0" text="SWING">
      <formula>NOT(ISERROR(SEARCH(("SWING"),(AK11))))</formula>
    </cfRule>
    <cfRule type="containsText" priority="715" operator="containsText" dxfId="0" text="NF">
      <formula>NOT(ISERROR(SEARCH(("NF"),(AK11))))</formula>
    </cfRule>
  </conditionalFormatting>
  <conditionalFormatting sqref="AG24">
    <cfRule type="containsText" priority="684" operator="containsText" dxfId="16" text="ED">
      <formula>NOT(ISERROR(SEARCH(("ED"),(AG24))))</formula>
    </cfRule>
    <cfRule type="containsText" priority="685" operator="containsText" dxfId="15" text="GERIATRIC">
      <formula>NOT(ISERROR(SEARCH(("GERIATRIC"),(AG24))))</formula>
    </cfRule>
    <cfRule type="containsText" priority="686" operator="containsText" dxfId="17" text="VACATION">
      <formula>NOT(ISERROR(SEARCH(("VACATION"),(AG24))))</formula>
    </cfRule>
    <cfRule type="containsText" priority="687" operator="containsText" dxfId="7" text="PATH">
      <formula>NOT(ISERROR(SEARCH(("PATH"),(AG24))))</formula>
    </cfRule>
    <cfRule type="containsText" priority="688" operator="containsText" dxfId="7" text="NEPHRO">
      <formula>NOT(ISERROR(SEARCH(("NEPHRO"),(AG24))))</formula>
    </cfRule>
    <cfRule type="containsText" priority="689" operator="containsText" dxfId="7" text="PULM">
      <formula>NOT(ISERROR(SEARCH(("PULM"),(AG24))))</formula>
    </cfRule>
    <cfRule type="containsText" priority="690" operator="containsText" dxfId="7" text="RADIOLOGY">
      <formula>NOT(ISERROR(SEARCH(("RADIOLOGY"),(AG24))))</formula>
    </cfRule>
    <cfRule type="containsText" priority="691" operator="containsText" dxfId="7" text="HEM/ONC">
      <formula>NOT(ISERROR(SEARCH(("HEM/ONC"),(AG24))))</formula>
    </cfRule>
    <cfRule type="containsText" priority="692" operator="containsText" dxfId="7" text="CARDIO">
      <formula>NOT(ISERROR(SEARCH(("CARDIO"),(AG24))))</formula>
    </cfRule>
    <cfRule type="containsText" priority="693" operator="containsText" dxfId="7" text="ID">
      <formula>NOT(ISERROR(SEARCH(("ID"),(AG24))))</formula>
    </cfRule>
    <cfRule type="containsText" priority="694" operator="containsText" dxfId="7" text="NEURO">
      <formula>NOT(ISERROR(SEARCH(("NEURO"),(AG24))))</formula>
    </cfRule>
    <cfRule type="containsText" priority="695" operator="containsText" dxfId="6" text="NEURO">
      <formula>NOT(ISERROR(SEARCH(("NEURO"),(AG24))))</formula>
    </cfRule>
    <cfRule type="containsText" priority="696" operator="containsText" dxfId="5" text="NEURO">
      <formula>NOT(ISERROR(SEARCH(("NEURO"),(AG24))))</formula>
    </cfRule>
    <cfRule type="containsText" priority="697" operator="containsText" dxfId="0" text="ICU N">
      <formula>NOT(ISERROR(SEARCH(("ICU N"),(AG24))))</formula>
    </cfRule>
    <cfRule type="containsText" priority="698" operator="containsText" dxfId="3" text="ICU">
      <formula>NOT(ISERROR(SEARCH(("ICU"),(AG24))))</formula>
    </cfRule>
    <cfRule type="containsText" priority="699" operator="containsText" dxfId="0" text="SWING">
      <formula>NOT(ISERROR(SEARCH(("SWING"),(AG24))))</formula>
    </cfRule>
    <cfRule type="containsText" priority="700" operator="containsText" dxfId="0" text="NF">
      <formula>NOT(ISERROR(SEARCH(("NF"),(AG24))))</formula>
    </cfRule>
    <cfRule type="containsText" priority="701" operator="containsText" dxfId="0" text="ICU N">
      <formula>NOT(ISERROR(SEARCH(("ICU N"),(AG24))))</formula>
    </cfRule>
    <cfRule type="containsText" priority="666" operator="containsText" dxfId="16" text="ED">
      <formula>NOT(ISERROR(SEARCH(("ED"),(AG24))))</formula>
    </cfRule>
    <cfRule type="containsText" priority="667" operator="containsText" dxfId="15" text="GERIATRIC">
      <formula>NOT(ISERROR(SEARCH(("GERIATRIC"),(AG24))))</formula>
    </cfRule>
    <cfRule type="containsText" priority="668" operator="containsText" dxfId="17" text="VACATION">
      <formula>NOT(ISERROR(SEARCH(("VACATION"),(AG24))))</formula>
    </cfRule>
    <cfRule type="containsText" priority="669" operator="containsText" dxfId="7" text="PATH">
      <formula>NOT(ISERROR(SEARCH(("PATH"),(AG24))))</formula>
    </cfRule>
    <cfRule type="containsText" priority="670" operator="containsText" dxfId="7" text="NEPHRO">
      <formula>NOT(ISERROR(SEARCH(("NEPHRO"),(AG24))))</formula>
    </cfRule>
    <cfRule type="containsText" priority="671" operator="containsText" dxfId="7" text="PULM">
      <formula>NOT(ISERROR(SEARCH(("PULM"),(AG24))))</formula>
    </cfRule>
    <cfRule type="containsText" priority="672" operator="containsText" dxfId="7" text="RADIOLOGY">
      <formula>NOT(ISERROR(SEARCH(("RADIOLOGY"),(AG24))))</formula>
    </cfRule>
    <cfRule type="containsText" priority="673" operator="containsText" dxfId="7" text="HEM/ONC">
      <formula>NOT(ISERROR(SEARCH(("HEM/ONC"),(AG24))))</formula>
    </cfRule>
    <cfRule type="containsText" priority="674" operator="containsText" dxfId="7" text="CARDIO">
      <formula>NOT(ISERROR(SEARCH(("CARDIO"),(AG24))))</formula>
    </cfRule>
    <cfRule type="containsText" priority="675" operator="containsText" dxfId="7" text="ID">
      <formula>NOT(ISERROR(SEARCH(("ID"),(AG24))))</formula>
    </cfRule>
    <cfRule type="containsText" priority="676" operator="containsText" dxfId="7" text="NEURO">
      <formula>NOT(ISERROR(SEARCH(("NEURO"),(AG24))))</formula>
    </cfRule>
    <cfRule type="containsText" priority="677" operator="containsText" dxfId="6" text="NEURO">
      <formula>NOT(ISERROR(SEARCH(("NEURO"),(AG24))))</formula>
    </cfRule>
    <cfRule type="containsText" priority="678" operator="containsText" dxfId="5" text="NEURO">
      <formula>NOT(ISERROR(SEARCH(("NEURO"),(AG24))))</formula>
    </cfRule>
    <cfRule type="containsText" priority="679" operator="containsText" dxfId="0" text="ICU N">
      <formula>NOT(ISERROR(SEARCH(("ICU N"),(AG24))))</formula>
    </cfRule>
    <cfRule type="containsText" priority="680" operator="containsText" dxfId="3" text="ICU">
      <formula>NOT(ISERROR(SEARCH(("ICU"),(AG24))))</formula>
    </cfRule>
    <cfRule type="containsText" priority="681" operator="containsText" dxfId="0" text="SWING">
      <formula>NOT(ISERROR(SEARCH(("SWING"),(AG24))))</formula>
    </cfRule>
    <cfRule type="containsText" priority="682" operator="containsText" dxfId="0" text="NF">
      <formula>NOT(ISERROR(SEARCH(("NF"),(AG24))))</formula>
    </cfRule>
    <cfRule type="containsText" priority="683" operator="containsText" dxfId="0" text="ICU N">
      <formula>NOT(ISERROR(SEARCH(("ICU N"),(AG24))))</formula>
    </cfRule>
  </conditionalFormatting>
  <conditionalFormatting sqref="AH25">
    <cfRule type="containsText" priority="649" operator="containsText" dxfId="17" text="VACATION">
      <formula>NOT(ISERROR(SEARCH(("VACATION"),(AH25))))</formula>
    </cfRule>
    <cfRule type="containsText" priority="650" operator="containsText" dxfId="16" text="ED">
      <formula>NOT(ISERROR(SEARCH(("ED"),(AH25))))</formula>
    </cfRule>
    <cfRule type="containsText" priority="651" operator="containsText" dxfId="15" text="GERIATRIC">
      <formula>NOT(ISERROR(SEARCH(("GERIATRIC"),(AH25))))</formula>
    </cfRule>
    <cfRule type="containsText" priority="652" operator="containsText" dxfId="7" text="PATH">
      <formula>NOT(ISERROR(SEARCH(("PATH"),(AH25))))</formula>
    </cfRule>
    <cfRule type="containsText" priority="653" operator="containsText" dxfId="7" text="NEPHRO">
      <formula>NOT(ISERROR(SEARCH(("NEPHRO"),(AH25))))</formula>
    </cfRule>
    <cfRule type="containsText" priority="654" operator="containsText" dxfId="7" text="PULM">
      <formula>NOT(ISERROR(SEARCH(("PULM"),(AH25))))</formula>
    </cfRule>
    <cfRule type="containsText" priority="655" operator="containsText" dxfId="7" text="RADIOLOGY">
      <formula>NOT(ISERROR(SEARCH(("RADIOLOGY"),(AH25))))</formula>
    </cfRule>
    <cfRule type="containsText" priority="656" operator="containsText" dxfId="7" text="HEM/ONC">
      <formula>NOT(ISERROR(SEARCH(("HEM/ONC"),(AH25))))</formula>
    </cfRule>
    <cfRule type="containsText" priority="657" operator="containsText" dxfId="7" text="CARDIO">
      <formula>NOT(ISERROR(SEARCH(("CARDIO"),(AH25))))</formula>
    </cfRule>
    <cfRule type="containsText" priority="658" operator="containsText" dxfId="7" text="ID">
      <formula>NOT(ISERROR(SEARCH(("ID"),(AH25))))</formula>
    </cfRule>
    <cfRule type="containsText" priority="659" operator="containsText" dxfId="7" text="NEURO">
      <formula>NOT(ISERROR(SEARCH(("NEURO"),(AH25))))</formula>
    </cfRule>
    <cfRule type="containsText" priority="660" operator="containsText" dxfId="6" text="NEURO">
      <formula>NOT(ISERROR(SEARCH(("NEURO"),(AH25))))</formula>
    </cfRule>
    <cfRule type="containsText" priority="661" operator="containsText" dxfId="5" text="NEURO">
      <formula>NOT(ISERROR(SEARCH(("NEURO"),(AH25))))</formula>
    </cfRule>
    <cfRule type="containsText" priority="662" operator="containsText" dxfId="0" text="ICU N">
      <formula>NOT(ISERROR(SEARCH(("ICU N"),(AH25))))</formula>
    </cfRule>
    <cfRule type="containsText" priority="663" operator="containsText" dxfId="3" text="ICU">
      <formula>NOT(ISERROR(SEARCH(("ICU"),(AH25))))</formula>
    </cfRule>
    <cfRule type="containsText" priority="664" operator="containsText" dxfId="0" text="SWING">
      <formula>NOT(ISERROR(SEARCH(("SWING"),(AH25))))</formula>
    </cfRule>
    <cfRule type="containsText" priority="665" operator="containsText" dxfId="0" text="NF">
      <formula>NOT(ISERROR(SEARCH(("NF"),(AH25))))</formula>
    </cfRule>
  </conditionalFormatting>
  <conditionalFormatting sqref="AL18">
    <cfRule type="containsText" priority="632" operator="containsText" dxfId="17" text="VACATION">
      <formula>NOT(ISERROR(SEARCH(("VACATION"),(AL18))))</formula>
    </cfRule>
    <cfRule type="containsText" priority="633" operator="containsText" dxfId="16" text="ED">
      <formula>NOT(ISERROR(SEARCH(("ED"),(AL18))))</formula>
    </cfRule>
    <cfRule type="containsText" priority="634" operator="containsText" dxfId="15" text="GERIATRIC">
      <formula>NOT(ISERROR(SEARCH(("GERIATRIC"),(AL18))))</formula>
    </cfRule>
    <cfRule type="containsText" priority="635" operator="containsText" dxfId="7" text="PATH">
      <formula>NOT(ISERROR(SEARCH(("PATH"),(AL18))))</formula>
    </cfRule>
    <cfRule type="containsText" priority="636" operator="containsText" dxfId="7" text="NEPHRO">
      <formula>NOT(ISERROR(SEARCH(("NEPHRO"),(AL18))))</formula>
    </cfRule>
    <cfRule type="containsText" priority="637" operator="containsText" dxfId="7" text="PULM">
      <formula>NOT(ISERROR(SEARCH(("PULM"),(AL18))))</formula>
    </cfRule>
    <cfRule type="containsText" priority="638" operator="containsText" dxfId="7" text="RADIOLOGY">
      <formula>NOT(ISERROR(SEARCH(("RADIOLOGY"),(AL18))))</formula>
    </cfRule>
    <cfRule type="containsText" priority="639" operator="containsText" dxfId="7" text="HEM/ONC">
      <formula>NOT(ISERROR(SEARCH(("HEM/ONC"),(AL18))))</formula>
    </cfRule>
    <cfRule type="containsText" priority="640" operator="containsText" dxfId="7" text="CARDIO">
      <formula>NOT(ISERROR(SEARCH(("CARDIO"),(AL18))))</formula>
    </cfRule>
    <cfRule type="containsText" priority="641" operator="containsText" dxfId="7" text="ID">
      <formula>NOT(ISERROR(SEARCH(("ID"),(AL18))))</formula>
    </cfRule>
    <cfRule type="containsText" priority="642" operator="containsText" dxfId="7" text="NEURO">
      <formula>NOT(ISERROR(SEARCH(("NEURO"),(AL18))))</formula>
    </cfRule>
    <cfRule type="containsText" priority="643" operator="containsText" dxfId="6" text="NEURO">
      <formula>NOT(ISERROR(SEARCH(("NEURO"),(AL18))))</formula>
    </cfRule>
    <cfRule type="containsText" priority="644" operator="containsText" dxfId="5" text="NEURO">
      <formula>NOT(ISERROR(SEARCH(("NEURO"),(AL18))))</formula>
    </cfRule>
    <cfRule type="containsText" priority="645" operator="containsText" dxfId="0" text="ICU N">
      <formula>NOT(ISERROR(SEARCH(("ICU N"),(AL18))))</formula>
    </cfRule>
    <cfRule type="containsText" priority="646" operator="containsText" dxfId="3" text="ICU">
      <formula>NOT(ISERROR(SEARCH(("ICU"),(AL18))))</formula>
    </cfRule>
    <cfRule type="containsText" priority="647" operator="containsText" dxfId="0" text="SWING">
      <formula>NOT(ISERROR(SEARCH(("SWING"),(AL18))))</formula>
    </cfRule>
    <cfRule type="containsText" priority="648" operator="containsText" dxfId="0" text="NF">
      <formula>NOT(ISERROR(SEARCH(("NF"),(AL18))))</formula>
    </cfRule>
  </conditionalFormatting>
  <conditionalFormatting sqref="AM18">
    <cfRule type="containsText" priority="615" operator="containsText" dxfId="17" text="VACATION">
      <formula>NOT(ISERROR(SEARCH(("VACATION"),(AM18))))</formula>
    </cfRule>
    <cfRule type="containsText" priority="616" operator="containsText" dxfId="16" text="ED">
      <formula>NOT(ISERROR(SEARCH(("ED"),(AM18))))</formula>
    </cfRule>
    <cfRule type="containsText" priority="617" operator="containsText" dxfId="15" text="GERIATRIC">
      <formula>NOT(ISERROR(SEARCH(("GERIATRIC"),(AM18))))</formula>
    </cfRule>
    <cfRule type="containsText" priority="618" operator="containsText" dxfId="7" text="PATH">
      <formula>NOT(ISERROR(SEARCH(("PATH"),(AM18))))</formula>
    </cfRule>
    <cfRule type="containsText" priority="619" operator="containsText" dxfId="7" text="NEPHRO">
      <formula>NOT(ISERROR(SEARCH(("NEPHRO"),(AM18))))</formula>
    </cfRule>
    <cfRule type="containsText" priority="620" operator="containsText" dxfId="7" text="PULM">
      <formula>NOT(ISERROR(SEARCH(("PULM"),(AM18))))</formula>
    </cfRule>
    <cfRule type="containsText" priority="621" operator="containsText" dxfId="7" text="RADIOLOGY">
      <formula>NOT(ISERROR(SEARCH(("RADIOLOGY"),(AM18))))</formula>
    </cfRule>
    <cfRule type="containsText" priority="622" operator="containsText" dxfId="7" text="HEM/ONC">
      <formula>NOT(ISERROR(SEARCH(("HEM/ONC"),(AM18))))</formula>
    </cfRule>
    <cfRule type="containsText" priority="623" operator="containsText" dxfId="7" text="CARDIO">
      <formula>NOT(ISERROR(SEARCH(("CARDIO"),(AM18))))</formula>
    </cfRule>
    <cfRule type="containsText" priority="624" operator="containsText" dxfId="7" text="ID">
      <formula>NOT(ISERROR(SEARCH(("ID"),(AM18))))</formula>
    </cfRule>
    <cfRule type="containsText" priority="625" operator="containsText" dxfId="7" text="NEURO">
      <formula>NOT(ISERROR(SEARCH(("NEURO"),(AM18))))</formula>
    </cfRule>
    <cfRule type="containsText" priority="626" operator="containsText" dxfId="6" text="NEURO">
      <formula>NOT(ISERROR(SEARCH(("NEURO"),(AM18))))</formula>
    </cfRule>
    <cfRule type="containsText" priority="627" operator="containsText" dxfId="5" text="NEURO">
      <formula>NOT(ISERROR(SEARCH(("NEURO"),(AM18))))</formula>
    </cfRule>
    <cfRule type="containsText" priority="628" operator="containsText" dxfId="0" text="ICU N">
      <formula>NOT(ISERROR(SEARCH(("ICU N"),(AM18))))</formula>
    </cfRule>
    <cfRule type="containsText" priority="629" operator="containsText" dxfId="3" text="ICU">
      <formula>NOT(ISERROR(SEARCH(("ICU"),(AM18))))</formula>
    </cfRule>
    <cfRule type="containsText" priority="630" operator="containsText" dxfId="0" text="SWING">
      <formula>NOT(ISERROR(SEARCH(("SWING"),(AM18))))</formula>
    </cfRule>
    <cfRule type="containsText" priority="631" operator="containsText" dxfId="0" text="NF">
      <formula>NOT(ISERROR(SEARCH(("NF"),(AM18))))</formula>
    </cfRule>
  </conditionalFormatting>
  <conditionalFormatting sqref="AS9">
    <cfRule type="containsText" priority="598" operator="containsText" dxfId="17" text="VACATION">
      <formula>NOT(ISERROR(SEARCH(("VACATION"),(AS9))))</formula>
    </cfRule>
    <cfRule type="containsText" priority="599" operator="containsText" dxfId="16" text="ED">
      <formula>NOT(ISERROR(SEARCH(("ED"),(AS9))))</formula>
    </cfRule>
    <cfRule type="containsText" priority="600" operator="containsText" dxfId="15" text="GERIATRIC">
      <formula>NOT(ISERROR(SEARCH(("GERIATRIC"),(AS9))))</formula>
    </cfRule>
    <cfRule type="containsText" priority="601" operator="containsText" dxfId="7" text="PATH">
      <formula>NOT(ISERROR(SEARCH(("PATH"),(AS9))))</formula>
    </cfRule>
    <cfRule type="containsText" priority="602" operator="containsText" dxfId="7" text="NEPHRO">
      <formula>NOT(ISERROR(SEARCH(("NEPHRO"),(AS9))))</formula>
    </cfRule>
    <cfRule type="containsText" priority="603" operator="containsText" dxfId="7" text="PULM">
      <formula>NOT(ISERROR(SEARCH(("PULM"),(AS9))))</formula>
    </cfRule>
    <cfRule type="containsText" priority="604" operator="containsText" dxfId="7" text="RADIOLOGY">
      <formula>NOT(ISERROR(SEARCH(("RADIOLOGY"),(AS9))))</formula>
    </cfRule>
    <cfRule type="containsText" priority="605" operator="containsText" dxfId="7" text="HEM/ONC">
      <formula>NOT(ISERROR(SEARCH(("HEM/ONC"),(AS9))))</formula>
    </cfRule>
    <cfRule type="containsText" priority="606" operator="containsText" dxfId="7" text="CARDIO">
      <formula>NOT(ISERROR(SEARCH(("CARDIO"),(AS9))))</formula>
    </cfRule>
    <cfRule type="containsText" priority="607" operator="containsText" dxfId="7" text="ID">
      <formula>NOT(ISERROR(SEARCH(("ID"),(AS9))))</formula>
    </cfRule>
    <cfRule type="containsText" priority="608" operator="containsText" dxfId="7" text="NEURO">
      <formula>NOT(ISERROR(SEARCH(("NEURO"),(AS9))))</formula>
    </cfRule>
    <cfRule type="containsText" priority="609" operator="containsText" dxfId="6" text="NEURO">
      <formula>NOT(ISERROR(SEARCH(("NEURO"),(AS9))))</formula>
    </cfRule>
    <cfRule type="containsText" priority="610" operator="containsText" dxfId="5" text="NEURO">
      <formula>NOT(ISERROR(SEARCH(("NEURO"),(AS9))))</formula>
    </cfRule>
    <cfRule type="containsText" priority="611" operator="containsText" dxfId="0" text="ICU N">
      <formula>NOT(ISERROR(SEARCH(("ICU N"),(AS9))))</formula>
    </cfRule>
    <cfRule type="containsText" priority="612" operator="containsText" dxfId="3" text="ICU">
      <formula>NOT(ISERROR(SEARCH(("ICU"),(AS9))))</formula>
    </cfRule>
    <cfRule type="containsText" priority="613" operator="containsText" dxfId="0" text="SWING">
      <formula>NOT(ISERROR(SEARCH(("SWING"),(AS9))))</formula>
    </cfRule>
    <cfRule type="containsText" priority="614" operator="containsText" dxfId="0" text="NF">
      <formula>NOT(ISERROR(SEARCH(("NF"),(AS9))))</formula>
    </cfRule>
  </conditionalFormatting>
  <conditionalFormatting sqref="AV45">
    <cfRule type="containsText" priority="581" operator="containsText" dxfId="17" text="VACATION">
      <formula>NOT(ISERROR(SEARCH(("VACATION"),(AV45))))</formula>
    </cfRule>
    <cfRule type="containsText" priority="582" operator="containsText" dxfId="16" text="ED">
      <formula>NOT(ISERROR(SEARCH(("ED"),(AV45))))</formula>
    </cfRule>
    <cfRule type="containsText" priority="583" operator="containsText" dxfId="15" text="GERIATRIC">
      <formula>NOT(ISERROR(SEARCH(("GERIATRIC"),(AV45))))</formula>
    </cfRule>
    <cfRule type="containsText" priority="584" operator="containsText" dxfId="7" text="PATH">
      <formula>NOT(ISERROR(SEARCH(("PATH"),(AV45))))</formula>
    </cfRule>
    <cfRule type="containsText" priority="585" operator="containsText" dxfId="7" text="NEPHRO">
      <formula>NOT(ISERROR(SEARCH(("NEPHRO"),(AV45))))</formula>
    </cfRule>
    <cfRule type="containsText" priority="586" operator="containsText" dxfId="7" text="PULM">
      <formula>NOT(ISERROR(SEARCH(("PULM"),(AV45))))</formula>
    </cfRule>
    <cfRule type="containsText" priority="587" operator="containsText" dxfId="7" text="RADIOLOGY">
      <formula>NOT(ISERROR(SEARCH(("RADIOLOGY"),(AV45))))</formula>
    </cfRule>
    <cfRule type="containsText" priority="588" operator="containsText" dxfId="7" text="HEM/ONC">
      <formula>NOT(ISERROR(SEARCH(("HEM/ONC"),(AV45))))</formula>
    </cfRule>
    <cfRule type="containsText" priority="589" operator="containsText" dxfId="7" text="CARDIO">
      <formula>NOT(ISERROR(SEARCH(("CARDIO"),(AV45))))</formula>
    </cfRule>
    <cfRule type="containsText" priority="590" operator="containsText" dxfId="7" text="ID">
      <formula>NOT(ISERROR(SEARCH(("ID"),(AV45))))</formula>
    </cfRule>
    <cfRule type="containsText" priority="591" operator="containsText" dxfId="7" text="NEURO">
      <formula>NOT(ISERROR(SEARCH(("NEURO"),(AV45))))</formula>
    </cfRule>
    <cfRule type="containsText" priority="592" operator="containsText" dxfId="6" text="NEURO">
      <formula>NOT(ISERROR(SEARCH(("NEURO"),(AV45))))</formula>
    </cfRule>
    <cfRule type="containsText" priority="593" operator="containsText" dxfId="5" text="NEURO">
      <formula>NOT(ISERROR(SEARCH(("NEURO"),(AV45))))</formula>
    </cfRule>
    <cfRule type="containsText" priority="594" operator="containsText" dxfId="0" text="ICU N">
      <formula>NOT(ISERROR(SEARCH(("ICU N"),(AV45))))</formula>
    </cfRule>
    <cfRule type="containsText" priority="595" operator="containsText" dxfId="3" text="ICU">
      <formula>NOT(ISERROR(SEARCH(("ICU"),(AV45))))</formula>
    </cfRule>
    <cfRule type="containsText" priority="596" operator="containsText" dxfId="0" text="SWING">
      <formula>NOT(ISERROR(SEARCH(("SWING"),(AV45))))</formula>
    </cfRule>
    <cfRule type="containsText" priority="597" operator="containsText" dxfId="0" text="NF">
      <formula>NOT(ISERROR(SEARCH(("NF"),(AV45))))</formula>
    </cfRule>
  </conditionalFormatting>
  <conditionalFormatting sqref="AU45">
    <cfRule type="containsText" priority="564" operator="containsText" dxfId="17" text="VACATION">
      <formula>NOT(ISERROR(SEARCH(("VACATION"),(AU45))))</formula>
    </cfRule>
    <cfRule type="containsText" priority="565" operator="containsText" dxfId="16" text="ED">
      <formula>NOT(ISERROR(SEARCH(("ED"),(AU45))))</formula>
    </cfRule>
    <cfRule type="containsText" priority="566" operator="containsText" dxfId="15" text="GERIATRIC">
      <formula>NOT(ISERROR(SEARCH(("GERIATRIC"),(AU45))))</formula>
    </cfRule>
    <cfRule type="containsText" priority="567" operator="containsText" dxfId="7" text="PATH">
      <formula>NOT(ISERROR(SEARCH(("PATH"),(AU45))))</formula>
    </cfRule>
    <cfRule type="containsText" priority="568" operator="containsText" dxfId="7" text="NEPHRO">
      <formula>NOT(ISERROR(SEARCH(("NEPHRO"),(AU45))))</formula>
    </cfRule>
    <cfRule type="containsText" priority="569" operator="containsText" dxfId="7" text="PULM">
      <formula>NOT(ISERROR(SEARCH(("PULM"),(AU45))))</formula>
    </cfRule>
    <cfRule type="containsText" priority="570" operator="containsText" dxfId="7" text="RADIOLOGY">
      <formula>NOT(ISERROR(SEARCH(("RADIOLOGY"),(AU45))))</formula>
    </cfRule>
    <cfRule type="containsText" priority="571" operator="containsText" dxfId="7" text="HEM/ONC">
      <formula>NOT(ISERROR(SEARCH(("HEM/ONC"),(AU45))))</formula>
    </cfRule>
    <cfRule type="containsText" priority="572" operator="containsText" dxfId="7" text="CARDIO">
      <formula>NOT(ISERROR(SEARCH(("CARDIO"),(AU45))))</formula>
    </cfRule>
    <cfRule type="containsText" priority="573" operator="containsText" dxfId="7" text="ID">
      <formula>NOT(ISERROR(SEARCH(("ID"),(AU45))))</formula>
    </cfRule>
    <cfRule type="containsText" priority="574" operator="containsText" dxfId="7" text="NEURO">
      <formula>NOT(ISERROR(SEARCH(("NEURO"),(AU45))))</formula>
    </cfRule>
    <cfRule type="containsText" priority="575" operator="containsText" dxfId="6" text="NEURO">
      <formula>NOT(ISERROR(SEARCH(("NEURO"),(AU45))))</formula>
    </cfRule>
    <cfRule type="containsText" priority="576" operator="containsText" dxfId="5" text="NEURO">
      <formula>NOT(ISERROR(SEARCH(("NEURO"),(AU45))))</formula>
    </cfRule>
    <cfRule type="containsText" priority="577" operator="containsText" dxfId="0" text="ICU N">
      <formula>NOT(ISERROR(SEARCH(("ICU N"),(AU45))))</formula>
    </cfRule>
    <cfRule type="containsText" priority="578" operator="containsText" dxfId="3" text="ICU">
      <formula>NOT(ISERROR(SEARCH(("ICU"),(AU45))))</formula>
    </cfRule>
    <cfRule type="containsText" priority="579" operator="containsText" dxfId="0" text="SWING">
      <formula>NOT(ISERROR(SEARCH(("SWING"),(AU45))))</formula>
    </cfRule>
    <cfRule type="containsText" priority="580" operator="containsText" dxfId="0" text="NF">
      <formula>NOT(ISERROR(SEARCH(("NF"),(AU45))))</formula>
    </cfRule>
  </conditionalFormatting>
  <conditionalFormatting sqref="AU9">
    <cfRule type="containsText" priority="547" operator="containsText" dxfId="17" text="VACATION">
      <formula>NOT(ISERROR(SEARCH(("VACATION"),(AU9))))</formula>
    </cfRule>
    <cfRule type="containsText" priority="548" operator="containsText" dxfId="16" text="ED">
      <formula>NOT(ISERROR(SEARCH(("ED"),(AU9))))</formula>
    </cfRule>
    <cfRule type="containsText" priority="549" operator="containsText" dxfId="15" text="GERIATRIC">
      <formula>NOT(ISERROR(SEARCH(("GERIATRIC"),(AU9))))</formula>
    </cfRule>
    <cfRule type="containsText" priority="550" operator="containsText" dxfId="7" text="PATH">
      <formula>NOT(ISERROR(SEARCH(("PATH"),(AU9))))</formula>
    </cfRule>
    <cfRule type="containsText" priority="551" operator="containsText" dxfId="7" text="NEPHRO">
      <formula>NOT(ISERROR(SEARCH(("NEPHRO"),(AU9))))</formula>
    </cfRule>
    <cfRule type="containsText" priority="552" operator="containsText" dxfId="7" text="PULM">
      <formula>NOT(ISERROR(SEARCH(("PULM"),(AU9))))</formula>
    </cfRule>
    <cfRule type="containsText" priority="553" operator="containsText" dxfId="7" text="RADIOLOGY">
      <formula>NOT(ISERROR(SEARCH(("RADIOLOGY"),(AU9))))</formula>
    </cfRule>
    <cfRule type="containsText" priority="554" operator="containsText" dxfId="7" text="HEM/ONC">
      <formula>NOT(ISERROR(SEARCH(("HEM/ONC"),(AU9))))</formula>
    </cfRule>
    <cfRule type="containsText" priority="555" operator="containsText" dxfId="7" text="CARDIO">
      <formula>NOT(ISERROR(SEARCH(("CARDIO"),(AU9))))</formula>
    </cfRule>
    <cfRule type="containsText" priority="556" operator="containsText" dxfId="7" text="ID">
      <formula>NOT(ISERROR(SEARCH(("ID"),(AU9))))</formula>
    </cfRule>
    <cfRule type="containsText" priority="557" operator="containsText" dxfId="7" text="NEURO">
      <formula>NOT(ISERROR(SEARCH(("NEURO"),(AU9))))</formula>
    </cfRule>
    <cfRule type="containsText" priority="558" operator="containsText" dxfId="6" text="NEURO">
      <formula>NOT(ISERROR(SEARCH(("NEURO"),(AU9))))</formula>
    </cfRule>
    <cfRule type="containsText" priority="559" operator="containsText" dxfId="5" text="NEURO">
      <formula>NOT(ISERROR(SEARCH(("NEURO"),(AU9))))</formula>
    </cfRule>
    <cfRule type="containsText" priority="560" operator="containsText" dxfId="0" text="ICU N">
      <formula>NOT(ISERROR(SEARCH(("ICU N"),(AU9))))</formula>
    </cfRule>
    <cfRule type="containsText" priority="561" operator="containsText" dxfId="3" text="ICU">
      <formula>NOT(ISERROR(SEARCH(("ICU"),(AU9))))</formula>
    </cfRule>
    <cfRule type="containsText" priority="562" operator="containsText" dxfId="0" text="SWING">
      <formula>NOT(ISERROR(SEARCH(("SWING"),(AU9))))</formula>
    </cfRule>
    <cfRule type="containsText" priority="563" operator="containsText" dxfId="0" text="NF">
      <formula>NOT(ISERROR(SEARCH(("NF"),(AU9))))</formula>
    </cfRule>
  </conditionalFormatting>
  <conditionalFormatting sqref="AW9">
    <cfRule type="containsText" priority="530" operator="containsText" dxfId="17" text="VACATION">
      <formula>NOT(ISERROR(SEARCH(("VACATION"),(AW9))))</formula>
    </cfRule>
    <cfRule type="containsText" priority="531" operator="containsText" dxfId="16" text="ED">
      <formula>NOT(ISERROR(SEARCH(("ED"),(AW9))))</formula>
    </cfRule>
    <cfRule type="containsText" priority="532" operator="containsText" dxfId="15" text="GERIATRIC">
      <formula>NOT(ISERROR(SEARCH(("GERIATRIC"),(AW9))))</formula>
    </cfRule>
    <cfRule type="containsText" priority="533" operator="containsText" dxfId="7" text="PATH">
      <formula>NOT(ISERROR(SEARCH(("PATH"),(AW9))))</formula>
    </cfRule>
    <cfRule type="containsText" priority="534" operator="containsText" dxfId="7" text="NEPHRO">
      <formula>NOT(ISERROR(SEARCH(("NEPHRO"),(AW9))))</formula>
    </cfRule>
    <cfRule type="containsText" priority="535" operator="containsText" dxfId="7" text="PULM">
      <formula>NOT(ISERROR(SEARCH(("PULM"),(AW9))))</formula>
    </cfRule>
    <cfRule type="containsText" priority="536" operator="containsText" dxfId="7" text="RADIOLOGY">
      <formula>NOT(ISERROR(SEARCH(("RADIOLOGY"),(AW9))))</formula>
    </cfRule>
    <cfRule type="containsText" priority="537" operator="containsText" dxfId="7" text="HEM/ONC">
      <formula>NOT(ISERROR(SEARCH(("HEM/ONC"),(AW9))))</formula>
    </cfRule>
    <cfRule type="containsText" priority="538" operator="containsText" dxfId="7" text="CARDIO">
      <formula>NOT(ISERROR(SEARCH(("CARDIO"),(AW9))))</formula>
    </cfRule>
    <cfRule type="containsText" priority="539" operator="containsText" dxfId="7" text="ID">
      <formula>NOT(ISERROR(SEARCH(("ID"),(AW9))))</formula>
    </cfRule>
    <cfRule type="containsText" priority="540" operator="containsText" dxfId="7" text="NEURO">
      <formula>NOT(ISERROR(SEARCH(("NEURO"),(AW9))))</formula>
    </cfRule>
    <cfRule type="containsText" priority="541" operator="containsText" dxfId="6" text="NEURO">
      <formula>NOT(ISERROR(SEARCH(("NEURO"),(AW9))))</formula>
    </cfRule>
    <cfRule type="containsText" priority="542" operator="containsText" dxfId="5" text="NEURO">
      <formula>NOT(ISERROR(SEARCH(("NEURO"),(AW9))))</formula>
    </cfRule>
    <cfRule type="containsText" priority="543" operator="containsText" dxfId="0" text="ICU N">
      <formula>NOT(ISERROR(SEARCH(("ICU N"),(AW9))))</formula>
    </cfRule>
    <cfRule type="containsText" priority="544" operator="containsText" dxfId="3" text="ICU">
      <formula>NOT(ISERROR(SEARCH(("ICU"),(AW9))))</formula>
    </cfRule>
    <cfRule type="containsText" priority="545" operator="containsText" dxfId="0" text="SWING">
      <formula>NOT(ISERROR(SEARCH(("SWING"),(AW9))))</formula>
    </cfRule>
    <cfRule type="containsText" priority="546" operator="containsText" dxfId="0" text="NF">
      <formula>NOT(ISERROR(SEARCH(("NF"),(AW9))))</formula>
    </cfRule>
  </conditionalFormatting>
  <conditionalFormatting sqref="AS38">
    <cfRule type="containsText" priority="514" operator="containsText" dxfId="0" text="ICU N">
      <formula>NOT(ISERROR(SEARCH(("ICU N"),(AS38))))</formula>
    </cfRule>
    <cfRule type="containsText" priority="515" operator="containsText" dxfId="7" text="PATH">
      <formula>NOT(ISERROR(SEARCH(("PATH"),(AS38))))</formula>
    </cfRule>
    <cfRule type="containsText" priority="516" operator="containsText" dxfId="7" text="NEPHRO">
      <formula>NOT(ISERROR(SEARCH(("NEPHRO"),(AS38))))</formula>
    </cfRule>
    <cfRule type="containsText" priority="517" operator="containsText" dxfId="7" text="PULM">
      <formula>NOT(ISERROR(SEARCH(("PULM"),(AS38))))</formula>
    </cfRule>
    <cfRule type="containsText" priority="518" operator="containsText" dxfId="7" text="RADIOLOGY">
      <formula>NOT(ISERROR(SEARCH(("RADIOLOGY"),(AS38))))</formula>
    </cfRule>
    <cfRule type="containsText" priority="519" operator="containsText" dxfId="7" text="HEM/ONC">
      <formula>NOT(ISERROR(SEARCH(("HEM/ONC"),(AS38))))</formula>
    </cfRule>
    <cfRule type="containsText" priority="520" operator="containsText" dxfId="7" text="CARDIO">
      <formula>NOT(ISERROR(SEARCH(("CARDIO"),(AS38))))</formula>
    </cfRule>
    <cfRule type="containsText" priority="521" operator="containsText" dxfId="7" text="ID">
      <formula>NOT(ISERROR(SEARCH(("ID"),(AS38))))</formula>
    </cfRule>
    <cfRule type="containsText" priority="522" operator="containsText" dxfId="7" text="NEURO">
      <formula>NOT(ISERROR(SEARCH(("NEURO"),(AS38))))</formula>
    </cfRule>
    <cfRule type="containsText" priority="523" operator="containsText" dxfId="6" text="NEURO">
      <formula>NOT(ISERROR(SEARCH(("NEURO"),(AS38))))</formula>
    </cfRule>
    <cfRule type="containsText" priority="524" operator="containsText" dxfId="5" text="NEURO">
      <formula>NOT(ISERROR(SEARCH(("NEURO"),(AS38))))</formula>
    </cfRule>
    <cfRule type="containsText" priority="525" operator="containsText" dxfId="0" text="ICU N">
      <formula>NOT(ISERROR(SEARCH(("ICU N"),(AS38))))</formula>
    </cfRule>
    <cfRule type="containsText" priority="526" operator="containsText" dxfId="3" text="ICU">
      <formula>NOT(ISERROR(SEARCH(("ICU"),(AS38))))</formula>
    </cfRule>
    <cfRule type="containsText" priority="527" operator="containsText" dxfId="0" text="SWING">
      <formula>NOT(ISERROR(SEARCH(("SWING"),(AS38))))</formula>
    </cfRule>
    <cfRule type="containsText" priority="528" operator="containsText" dxfId="0" text="NF">
      <formula>NOT(ISERROR(SEARCH(("NF"),(AS38))))</formula>
    </cfRule>
    <cfRule type="containsText" priority="529" operator="containsText" dxfId="0" text="ICU N">
      <formula>NOT(ISERROR(SEARCH(("ICU N"),(AS38))))</formula>
    </cfRule>
    <cfRule type="containsText" priority="499" operator="containsText" dxfId="7" text="PATH">
      <formula>NOT(ISERROR(SEARCH(("PATH"),(AS38))))</formula>
    </cfRule>
    <cfRule type="containsText" priority="500" operator="containsText" dxfId="7" text="NEPHRO">
      <formula>NOT(ISERROR(SEARCH(("NEPHRO"),(AS38))))</formula>
    </cfRule>
    <cfRule type="containsText" priority="501" operator="containsText" dxfId="7" text="PULM">
      <formula>NOT(ISERROR(SEARCH(("PULM"),(AS38))))</formula>
    </cfRule>
    <cfRule type="containsText" priority="502" operator="containsText" dxfId="7" text="RADIOLOGY">
      <formula>NOT(ISERROR(SEARCH(("RADIOLOGY"),(AS38))))</formula>
    </cfRule>
    <cfRule type="containsText" priority="503" operator="containsText" dxfId="7" text="HEM/ONC">
      <formula>NOT(ISERROR(SEARCH(("HEM/ONC"),(AS38))))</formula>
    </cfRule>
    <cfRule type="containsText" priority="504" operator="containsText" dxfId="7" text="CARDIO">
      <formula>NOT(ISERROR(SEARCH(("CARDIO"),(AS38))))</formula>
    </cfRule>
    <cfRule type="containsText" priority="505" operator="containsText" dxfId="7" text="ID">
      <formula>NOT(ISERROR(SEARCH(("ID"),(AS38))))</formula>
    </cfRule>
    <cfRule type="containsText" priority="506" operator="containsText" dxfId="7" text="NEURO">
      <formula>NOT(ISERROR(SEARCH(("NEURO"),(AS38))))</formula>
    </cfRule>
    <cfRule type="containsText" priority="507" operator="containsText" dxfId="6" text="NEURO">
      <formula>NOT(ISERROR(SEARCH(("NEURO"),(AS38))))</formula>
    </cfRule>
    <cfRule type="containsText" priority="508" operator="containsText" dxfId="5" text="NEURO">
      <formula>NOT(ISERROR(SEARCH(("NEURO"),(AS38))))</formula>
    </cfRule>
    <cfRule type="containsText" priority="509" operator="containsText" dxfId="0" text="ICU N">
      <formula>NOT(ISERROR(SEARCH(("ICU N"),(AS38))))</formula>
    </cfRule>
    <cfRule type="containsText" priority="510" operator="containsText" dxfId="3" text="ICU">
      <formula>NOT(ISERROR(SEARCH(("ICU"),(AS38))))</formula>
    </cfRule>
    <cfRule type="containsText" priority="511" operator="containsText" dxfId="0" text="SWING">
      <formula>NOT(ISERROR(SEARCH(("SWING"),(AS38))))</formula>
    </cfRule>
    <cfRule type="containsText" priority="512" operator="containsText" dxfId="0" text="NF">
      <formula>NOT(ISERROR(SEARCH(("NF"),(AS38))))</formula>
    </cfRule>
    <cfRule type="containsText" priority="513" operator="containsText" dxfId="0" text="ICU N">
      <formula>NOT(ISERROR(SEARCH(("ICU N"),(AS38))))</formula>
    </cfRule>
  </conditionalFormatting>
  <conditionalFormatting sqref="AT38">
    <cfRule type="containsText" priority="483" operator="containsText" dxfId="0" text="ICU N">
      <formula>NOT(ISERROR(SEARCH(("ICU N"),(AT38))))</formula>
    </cfRule>
    <cfRule type="containsText" priority="484" operator="containsText" dxfId="7" text="PATH">
      <formula>NOT(ISERROR(SEARCH(("PATH"),(AT38))))</formula>
    </cfRule>
    <cfRule type="containsText" priority="485" operator="containsText" dxfId="7" text="NEPHRO">
      <formula>NOT(ISERROR(SEARCH(("NEPHRO"),(AT38))))</formula>
    </cfRule>
    <cfRule type="containsText" priority="486" operator="containsText" dxfId="7" text="PULM">
      <formula>NOT(ISERROR(SEARCH(("PULM"),(AT38))))</formula>
    </cfRule>
    <cfRule type="containsText" priority="487" operator="containsText" dxfId="7" text="RADIOLOGY">
      <formula>NOT(ISERROR(SEARCH(("RADIOLOGY"),(AT38))))</formula>
    </cfRule>
    <cfRule type="containsText" priority="488" operator="containsText" dxfId="7" text="HEM/ONC">
      <formula>NOT(ISERROR(SEARCH(("HEM/ONC"),(AT38))))</formula>
    </cfRule>
    <cfRule type="containsText" priority="489" operator="containsText" dxfId="7" text="CARDIO">
      <formula>NOT(ISERROR(SEARCH(("CARDIO"),(AT38))))</formula>
    </cfRule>
    <cfRule type="containsText" priority="490" operator="containsText" dxfId="7" text="ID">
      <formula>NOT(ISERROR(SEARCH(("ID"),(AT38))))</formula>
    </cfRule>
    <cfRule type="containsText" priority="491" operator="containsText" dxfId="7" text="NEURO">
      <formula>NOT(ISERROR(SEARCH(("NEURO"),(AT38))))</formula>
    </cfRule>
    <cfRule type="containsText" priority="492" operator="containsText" dxfId="6" text="NEURO">
      <formula>NOT(ISERROR(SEARCH(("NEURO"),(AT38))))</formula>
    </cfRule>
    <cfRule type="containsText" priority="493" operator="containsText" dxfId="5" text="NEURO">
      <formula>NOT(ISERROR(SEARCH(("NEURO"),(AT38))))</formula>
    </cfRule>
    <cfRule type="containsText" priority="494" operator="containsText" dxfId="0" text="ICU N">
      <formula>NOT(ISERROR(SEARCH(("ICU N"),(AT38))))</formula>
    </cfRule>
    <cfRule type="containsText" priority="495" operator="containsText" dxfId="3" text="ICU">
      <formula>NOT(ISERROR(SEARCH(("ICU"),(AT38))))</formula>
    </cfRule>
    <cfRule type="containsText" priority="496" operator="containsText" dxfId="0" text="SWING">
      <formula>NOT(ISERROR(SEARCH(("SWING"),(AT38))))</formula>
    </cfRule>
    <cfRule type="containsText" priority="497" operator="containsText" dxfId="0" text="NF">
      <formula>NOT(ISERROR(SEARCH(("NF"),(AT38))))</formula>
    </cfRule>
    <cfRule type="containsText" priority="498" operator="containsText" dxfId="0" text="ICU N">
      <formula>NOT(ISERROR(SEARCH(("ICU N"),(AT38))))</formula>
    </cfRule>
    <cfRule type="containsText" priority="468" operator="containsText" dxfId="7" text="PATH">
      <formula>NOT(ISERROR(SEARCH(("PATH"),(AT38))))</formula>
    </cfRule>
    <cfRule type="containsText" priority="469" operator="containsText" dxfId="7" text="NEPHRO">
      <formula>NOT(ISERROR(SEARCH(("NEPHRO"),(AT38))))</formula>
    </cfRule>
    <cfRule type="containsText" priority="470" operator="containsText" dxfId="7" text="PULM">
      <formula>NOT(ISERROR(SEARCH(("PULM"),(AT38))))</formula>
    </cfRule>
    <cfRule type="containsText" priority="471" operator="containsText" dxfId="7" text="RADIOLOGY">
      <formula>NOT(ISERROR(SEARCH(("RADIOLOGY"),(AT38))))</formula>
    </cfRule>
    <cfRule type="containsText" priority="472" operator="containsText" dxfId="7" text="HEM/ONC">
      <formula>NOT(ISERROR(SEARCH(("HEM/ONC"),(AT38))))</formula>
    </cfRule>
    <cfRule type="containsText" priority="473" operator="containsText" dxfId="7" text="CARDIO">
      <formula>NOT(ISERROR(SEARCH(("CARDIO"),(AT38))))</formula>
    </cfRule>
    <cfRule type="containsText" priority="474" operator="containsText" dxfId="7" text="ID">
      <formula>NOT(ISERROR(SEARCH(("ID"),(AT38))))</formula>
    </cfRule>
    <cfRule type="containsText" priority="475" operator="containsText" dxfId="7" text="NEURO">
      <formula>NOT(ISERROR(SEARCH(("NEURO"),(AT38))))</formula>
    </cfRule>
    <cfRule type="containsText" priority="476" operator="containsText" dxfId="6" text="NEURO">
      <formula>NOT(ISERROR(SEARCH(("NEURO"),(AT38))))</formula>
    </cfRule>
    <cfRule type="containsText" priority="477" operator="containsText" dxfId="5" text="NEURO">
      <formula>NOT(ISERROR(SEARCH(("NEURO"),(AT38))))</formula>
    </cfRule>
    <cfRule type="containsText" priority="478" operator="containsText" dxfId="0" text="ICU N">
      <formula>NOT(ISERROR(SEARCH(("ICU N"),(AT38))))</formula>
    </cfRule>
    <cfRule type="containsText" priority="479" operator="containsText" dxfId="3" text="ICU">
      <formula>NOT(ISERROR(SEARCH(("ICU"),(AT38))))</formula>
    </cfRule>
    <cfRule type="containsText" priority="480" operator="containsText" dxfId="0" text="SWING">
      <formula>NOT(ISERROR(SEARCH(("SWING"),(AT38))))</formula>
    </cfRule>
    <cfRule type="containsText" priority="481" operator="containsText" dxfId="0" text="NF">
      <formula>NOT(ISERROR(SEARCH(("NF"),(AT38))))</formula>
    </cfRule>
    <cfRule type="containsText" priority="482" operator="containsText" dxfId="0" text="ICU N">
      <formula>NOT(ISERROR(SEARCH(("ICU N"),(AT38))))</formula>
    </cfRule>
  </conditionalFormatting>
  <conditionalFormatting sqref="AU38">
    <cfRule type="containsText" priority="450" operator="containsText" dxfId="17" text="VACATION">
      <formula>NOT(ISERROR(SEARCH(("VACATION"),(AU38))))</formula>
    </cfRule>
    <cfRule type="containsText" priority="451" operator="containsText" dxfId="16" text="ED">
      <formula>NOT(ISERROR(SEARCH(("ED"),(AU38))))</formula>
    </cfRule>
    <cfRule type="containsText" priority="452" operator="containsText" dxfId="15" text="GERIATRIC">
      <formula>NOT(ISERROR(SEARCH(("GERIATRIC"),(AU38))))</formula>
    </cfRule>
    <cfRule type="containsText" priority="453" operator="containsText" dxfId="7" text="PATH">
      <formula>NOT(ISERROR(SEARCH(("PATH"),(AU38))))</formula>
    </cfRule>
    <cfRule type="containsText" priority="454" operator="containsText" dxfId="7" text="NEPHRO">
      <formula>NOT(ISERROR(SEARCH(("NEPHRO"),(AU38))))</formula>
    </cfRule>
    <cfRule type="containsText" priority="455" operator="containsText" dxfId="7" text="PULM">
      <formula>NOT(ISERROR(SEARCH(("PULM"),(AU38))))</formula>
    </cfRule>
    <cfRule type="containsText" priority="456" operator="containsText" dxfId="7" text="RADIOLOGY">
      <formula>NOT(ISERROR(SEARCH(("RADIOLOGY"),(AU38))))</formula>
    </cfRule>
    <cfRule type="containsText" priority="457" operator="containsText" dxfId="7" text="HEM/ONC">
      <formula>NOT(ISERROR(SEARCH(("HEM/ONC"),(AU38))))</formula>
    </cfRule>
    <cfRule type="containsText" priority="458" operator="containsText" dxfId="7" text="CARDIO">
      <formula>NOT(ISERROR(SEARCH(("CARDIO"),(AU38))))</formula>
    </cfRule>
    <cfRule type="containsText" priority="459" operator="containsText" dxfId="7" text="ID">
      <formula>NOT(ISERROR(SEARCH(("ID"),(AU38))))</formula>
    </cfRule>
    <cfRule type="containsText" priority="460" operator="containsText" dxfId="7" text="NEURO">
      <formula>NOT(ISERROR(SEARCH(("NEURO"),(AU38))))</formula>
    </cfRule>
    <cfRule type="containsText" priority="461" operator="containsText" dxfId="6" text="NEURO">
      <formula>NOT(ISERROR(SEARCH(("NEURO"),(AU38))))</formula>
    </cfRule>
    <cfRule type="containsText" priority="462" operator="containsText" dxfId="5" text="NEURO">
      <formula>NOT(ISERROR(SEARCH(("NEURO"),(AU38))))</formula>
    </cfRule>
    <cfRule type="containsText" priority="463" operator="containsText" dxfId="0" text="ICU N">
      <formula>NOT(ISERROR(SEARCH(("ICU N"),(AU38))))</formula>
    </cfRule>
    <cfRule type="containsText" priority="464" operator="containsText" dxfId="3" text="ICU">
      <formula>NOT(ISERROR(SEARCH(("ICU"),(AU38))))</formula>
    </cfRule>
    <cfRule type="containsText" priority="465" operator="containsText" dxfId="0" text="SWING">
      <formula>NOT(ISERROR(SEARCH(("SWING"),(AU38))))</formula>
    </cfRule>
    <cfRule type="containsText" priority="466" operator="containsText" dxfId="0" text="NF">
      <formula>NOT(ISERROR(SEARCH(("NF"),(AU38))))</formula>
    </cfRule>
    <cfRule type="containsText" priority="467" operator="containsText" dxfId="0" text="ICU N">
      <formula>NOT(ISERROR(SEARCH(("ICU N"),(AU38))))</formula>
    </cfRule>
    <cfRule type="containsText" priority="435" operator="containsText" dxfId="7" text="PATH">
      <formula>NOT(ISERROR(SEARCH(("PATH"),(AU38))))</formula>
    </cfRule>
    <cfRule type="containsText" priority="436" operator="containsText" dxfId="7" text="NEPHRO">
      <formula>NOT(ISERROR(SEARCH(("NEPHRO"),(AU38))))</formula>
    </cfRule>
    <cfRule type="containsText" priority="437" operator="containsText" dxfId="7" text="PULM">
      <formula>NOT(ISERROR(SEARCH(("PULM"),(AU38))))</formula>
    </cfRule>
    <cfRule type="containsText" priority="438" operator="containsText" dxfId="7" text="RADIOLOGY">
      <formula>NOT(ISERROR(SEARCH(("RADIOLOGY"),(AU38))))</formula>
    </cfRule>
    <cfRule type="containsText" priority="439" operator="containsText" dxfId="7" text="HEM/ONC">
      <formula>NOT(ISERROR(SEARCH(("HEM/ONC"),(AU38))))</formula>
    </cfRule>
    <cfRule type="containsText" priority="440" operator="containsText" dxfId="7" text="CARDIO">
      <formula>NOT(ISERROR(SEARCH(("CARDIO"),(AU38))))</formula>
    </cfRule>
    <cfRule type="containsText" priority="441" operator="containsText" dxfId="7" text="ID">
      <formula>NOT(ISERROR(SEARCH(("ID"),(AU38))))</formula>
    </cfRule>
    <cfRule type="containsText" priority="442" operator="containsText" dxfId="7" text="NEURO">
      <formula>NOT(ISERROR(SEARCH(("NEURO"),(AU38))))</formula>
    </cfRule>
    <cfRule type="containsText" priority="443" operator="containsText" dxfId="6" text="NEURO">
      <formula>NOT(ISERROR(SEARCH(("NEURO"),(AU38))))</formula>
    </cfRule>
    <cfRule type="containsText" priority="444" operator="containsText" dxfId="5" text="NEURO">
      <formula>NOT(ISERROR(SEARCH(("NEURO"),(AU38))))</formula>
    </cfRule>
    <cfRule type="containsText" priority="445" operator="containsText" dxfId="0" text="ICU N">
      <formula>NOT(ISERROR(SEARCH(("ICU N"),(AU38))))</formula>
    </cfRule>
    <cfRule type="containsText" priority="446" operator="containsText" dxfId="3" text="ICU">
      <formula>NOT(ISERROR(SEARCH(("ICU"),(AU38))))</formula>
    </cfRule>
    <cfRule type="containsText" priority="447" operator="containsText" dxfId="0" text="SWING">
      <formula>NOT(ISERROR(SEARCH(("SWING"),(AU38))))</formula>
    </cfRule>
    <cfRule type="containsText" priority="448" operator="containsText" dxfId="0" text="NF">
      <formula>NOT(ISERROR(SEARCH(("NF"),(AU38))))</formula>
    </cfRule>
    <cfRule type="containsText" priority="449" operator="containsText" dxfId="0" text="ICU N">
      <formula>NOT(ISERROR(SEARCH(("ICU N"),(AU38))))</formula>
    </cfRule>
  </conditionalFormatting>
  <conditionalFormatting sqref="AM11">
    <cfRule type="containsText" priority="385" operator="containsText" dxfId="17" text="VACATION">
      <formula>NOT(ISERROR(SEARCH(("VACATION"),(AM11))))</formula>
    </cfRule>
    <cfRule type="containsText" priority="386" operator="containsText" dxfId="16" text="ED">
      <formula>NOT(ISERROR(SEARCH(("ED"),(AM11))))</formula>
    </cfRule>
    <cfRule type="containsText" priority="387" operator="containsText" dxfId="15" text="GERIATRIC">
      <formula>NOT(ISERROR(SEARCH(("GERIATRIC"),(AM11))))</formula>
    </cfRule>
    <cfRule type="containsText" priority="388" operator="containsText" dxfId="7" text="PATH">
      <formula>NOT(ISERROR(SEARCH(("PATH"),(AM11))))</formula>
    </cfRule>
    <cfRule type="containsText" priority="389" operator="containsText" dxfId="7" text="NEPHRO">
      <formula>NOT(ISERROR(SEARCH(("NEPHRO"),(AM11))))</formula>
    </cfRule>
    <cfRule type="containsText" priority="390" operator="containsText" dxfId="7" text="PULM">
      <formula>NOT(ISERROR(SEARCH(("PULM"),(AM11))))</formula>
    </cfRule>
    <cfRule type="containsText" priority="391" operator="containsText" dxfId="7" text="RADIOLOGY">
      <formula>NOT(ISERROR(SEARCH(("RADIOLOGY"),(AM11))))</formula>
    </cfRule>
    <cfRule type="containsText" priority="392" operator="containsText" dxfId="7" text="HEM/ONC">
      <formula>NOT(ISERROR(SEARCH(("HEM/ONC"),(AM11))))</formula>
    </cfRule>
    <cfRule type="containsText" priority="393" operator="containsText" dxfId="7" text="CARDIO">
      <formula>NOT(ISERROR(SEARCH(("CARDIO"),(AM11))))</formula>
    </cfRule>
    <cfRule type="containsText" priority="394" operator="containsText" dxfId="7" text="ID">
      <formula>NOT(ISERROR(SEARCH(("ID"),(AM11))))</formula>
    </cfRule>
    <cfRule type="containsText" priority="395" operator="containsText" dxfId="7" text="NEURO">
      <formula>NOT(ISERROR(SEARCH(("NEURO"),(AM11))))</formula>
    </cfRule>
    <cfRule type="containsText" priority="396" operator="containsText" dxfId="6" text="NEURO">
      <formula>NOT(ISERROR(SEARCH(("NEURO"),(AM11))))</formula>
    </cfRule>
    <cfRule type="containsText" priority="397" operator="containsText" dxfId="5" text="NEURO">
      <formula>NOT(ISERROR(SEARCH(("NEURO"),(AM11))))</formula>
    </cfRule>
    <cfRule type="containsText" priority="398" operator="containsText" dxfId="0" text="ICU N">
      <formula>NOT(ISERROR(SEARCH(("ICU N"),(AM11))))</formula>
    </cfRule>
    <cfRule type="containsText" priority="399" operator="containsText" dxfId="3" text="ICU">
      <formula>NOT(ISERROR(SEARCH(("ICU"),(AM11))))</formula>
    </cfRule>
    <cfRule type="containsText" priority="400" operator="containsText" dxfId="0" text="SWING">
      <formula>NOT(ISERROR(SEARCH(("SWING"),(AM11))))</formula>
    </cfRule>
    <cfRule type="containsText" priority="401" operator="containsText" dxfId="0" text="NF">
      <formula>NOT(ISERROR(SEARCH(("NF"),(AM11))))</formula>
    </cfRule>
  </conditionalFormatting>
  <conditionalFormatting sqref="AL24">
    <cfRule type="containsText" priority="384" operator="containsText" dxfId="17" text="VACATION">
      <formula>NOT(ISERROR(SEARCH(("VACATION"),(AL24))))</formula>
    </cfRule>
  </conditionalFormatting>
  <conditionalFormatting sqref="AT37">
    <cfRule type="containsText" priority="380" operator="containsText" dxfId="17" text="VACATION">
      <formula>NOT(ISERROR(SEARCH(("VACATION"),(AT37))))</formula>
    </cfRule>
    <cfRule type="containsText" priority="381" operator="containsText" dxfId="16" text="ED">
      <formula>NOT(ISERROR(SEARCH(("ED"),(AT37))))</formula>
    </cfRule>
    <cfRule type="containsText" priority="382" operator="containsText" dxfId="15" text="GERIATRIC">
      <formula>NOT(ISERROR(SEARCH(("GERIATRIC"),(AT37))))</formula>
    </cfRule>
    <cfRule type="containsText" priority="383" operator="containsText" dxfId="0" text="ICU N">
      <formula>NOT(ISERROR(SEARCH(("ICU N"),(AT37))))</formula>
    </cfRule>
  </conditionalFormatting>
  <conditionalFormatting sqref="AT45">
    <cfRule type="containsText" priority="376" operator="containsText" dxfId="17" text="VACATION">
      <formula>NOT(ISERROR(SEARCH(("VACATION"),(AT45))))</formula>
    </cfRule>
    <cfRule type="containsText" priority="377" operator="containsText" dxfId="16" text="ED">
      <formula>NOT(ISERROR(SEARCH(("ED"),(AT45))))</formula>
    </cfRule>
    <cfRule type="containsText" priority="378" operator="containsText" dxfId="15" text="GERIATRIC">
      <formula>NOT(ISERROR(SEARCH(("GERIATRIC"),(AT45))))</formula>
    </cfRule>
    <cfRule type="containsText" priority="379" operator="containsText" dxfId="0" text="ICU N">
      <formula>NOT(ISERROR(SEARCH(("ICU N"),(AT45))))</formula>
    </cfRule>
    <cfRule type="containsText" priority="361" operator="containsText" dxfId="7" text="PATH">
      <formula>NOT(ISERROR(SEARCH(("PATH"),(AT45))))</formula>
    </cfRule>
    <cfRule type="containsText" priority="362" operator="containsText" dxfId="7" text="NEPHRO">
      <formula>NOT(ISERROR(SEARCH(("NEPHRO"),(AT45))))</formula>
    </cfRule>
    <cfRule type="containsText" priority="363" operator="containsText" dxfId="7" text="PULM">
      <formula>NOT(ISERROR(SEARCH(("PULM"),(AT45))))</formula>
    </cfRule>
    <cfRule type="containsText" priority="364" operator="containsText" dxfId="7" text="RADIOLOGY">
      <formula>NOT(ISERROR(SEARCH(("RADIOLOGY"),(AT45))))</formula>
    </cfRule>
    <cfRule type="containsText" priority="365" operator="containsText" dxfId="7" text="HEM/ONC">
      <formula>NOT(ISERROR(SEARCH(("HEM/ONC"),(AT45))))</formula>
    </cfRule>
    <cfRule type="containsText" priority="366" operator="containsText" dxfId="7" text="CARDIO">
      <formula>NOT(ISERROR(SEARCH(("CARDIO"),(AT45))))</formula>
    </cfRule>
    <cfRule type="containsText" priority="367" operator="containsText" dxfId="7" text="ID">
      <formula>NOT(ISERROR(SEARCH(("ID"),(AT45))))</formula>
    </cfRule>
    <cfRule type="containsText" priority="368" operator="containsText" dxfId="7" text="NEURO">
      <formula>NOT(ISERROR(SEARCH(("NEURO"),(AT45))))</formula>
    </cfRule>
    <cfRule type="containsText" priority="369" operator="containsText" dxfId="6" text="NEURO">
      <formula>NOT(ISERROR(SEARCH(("NEURO"),(AT45))))</formula>
    </cfRule>
    <cfRule type="containsText" priority="370" operator="containsText" dxfId="5" text="NEURO">
      <formula>NOT(ISERROR(SEARCH(("NEURO"),(AT45))))</formula>
    </cfRule>
    <cfRule type="containsText" priority="371" operator="containsText" dxfId="0" text="ICU N">
      <formula>NOT(ISERROR(SEARCH(("ICU N"),(AT45))))</formula>
    </cfRule>
    <cfRule type="containsText" priority="372" operator="containsText" dxfId="3" text="ICU">
      <formula>NOT(ISERROR(SEARCH(("ICU"),(AT45))))</formula>
    </cfRule>
    <cfRule type="containsText" priority="373" operator="containsText" dxfId="0" text="SWING">
      <formula>NOT(ISERROR(SEARCH(("SWING"),(AT45))))</formula>
    </cfRule>
    <cfRule type="containsText" priority="374" operator="containsText" dxfId="0" text="NF">
      <formula>NOT(ISERROR(SEARCH(("NF"),(AT45))))</formula>
    </cfRule>
    <cfRule type="containsText" priority="375" operator="containsText" dxfId="0" text="ICU N">
      <formula>NOT(ISERROR(SEARCH(("ICU N"),(AT45))))</formula>
    </cfRule>
  </conditionalFormatting>
  <conditionalFormatting sqref="AP8">
    <cfRule type="containsText" priority="357" operator="containsText" dxfId="17" text="VACATION">
      <formula>NOT(ISERROR(SEARCH(("VACATION"),(AP8))))</formula>
    </cfRule>
    <cfRule type="containsText" priority="358" operator="containsText" dxfId="16" text="ED">
      <formula>NOT(ISERROR(SEARCH(("ED"),(AP8))))</formula>
    </cfRule>
    <cfRule type="containsText" priority="359" operator="containsText" dxfId="15" text="GERIATRIC">
      <formula>NOT(ISERROR(SEARCH(("GERIATRIC"),(AP8))))</formula>
    </cfRule>
    <cfRule type="containsText" priority="360" operator="containsText" dxfId="0" text="ICU N">
      <formula>NOT(ISERROR(SEARCH(("ICU N"),(AP8))))</formula>
    </cfRule>
    <cfRule type="containsText" priority="342" operator="containsText" dxfId="7" text="PATH">
      <formula>NOT(ISERROR(SEARCH(("PATH"),(AP8))))</formula>
    </cfRule>
    <cfRule type="containsText" priority="343" operator="containsText" dxfId="7" text="NEPHRO">
      <formula>NOT(ISERROR(SEARCH(("NEPHRO"),(AP8))))</formula>
    </cfRule>
    <cfRule type="containsText" priority="344" operator="containsText" dxfId="7" text="PULM">
      <formula>NOT(ISERROR(SEARCH(("PULM"),(AP8))))</formula>
    </cfRule>
    <cfRule type="containsText" priority="345" operator="containsText" dxfId="7" text="RADIOLOGY">
      <formula>NOT(ISERROR(SEARCH(("RADIOLOGY"),(AP8))))</formula>
    </cfRule>
    <cfRule type="containsText" priority="346" operator="containsText" dxfId="7" text="HEM/ONC">
      <formula>NOT(ISERROR(SEARCH(("HEM/ONC"),(AP8))))</formula>
    </cfRule>
    <cfRule type="containsText" priority="347" operator="containsText" dxfId="7" text="CARDIO">
      <formula>NOT(ISERROR(SEARCH(("CARDIO"),(AP8))))</formula>
    </cfRule>
    <cfRule type="containsText" priority="348" operator="containsText" dxfId="7" text="ID">
      <formula>NOT(ISERROR(SEARCH(("ID"),(AP8))))</formula>
    </cfRule>
    <cfRule type="containsText" priority="349" operator="containsText" dxfId="7" text="NEURO">
      <formula>NOT(ISERROR(SEARCH(("NEURO"),(AP8))))</formula>
    </cfRule>
    <cfRule type="containsText" priority="350" operator="containsText" dxfId="6" text="NEURO">
      <formula>NOT(ISERROR(SEARCH(("NEURO"),(AP8))))</formula>
    </cfRule>
    <cfRule type="containsText" priority="351" operator="containsText" dxfId="5" text="NEURO">
      <formula>NOT(ISERROR(SEARCH(("NEURO"),(AP8))))</formula>
    </cfRule>
    <cfRule type="containsText" priority="352" operator="containsText" dxfId="0" text="ICU N">
      <formula>NOT(ISERROR(SEARCH(("ICU N"),(AP8))))</formula>
    </cfRule>
    <cfRule type="containsText" priority="353" operator="containsText" dxfId="3" text="ICU">
      <formula>NOT(ISERROR(SEARCH(("ICU"),(AP8))))</formula>
    </cfRule>
    <cfRule type="containsText" priority="354" operator="containsText" dxfId="0" text="SWING">
      <formula>NOT(ISERROR(SEARCH(("SWING"),(AP8))))</formula>
    </cfRule>
    <cfRule type="containsText" priority="355" operator="containsText" dxfId="0" text="NF">
      <formula>NOT(ISERROR(SEARCH(("NF"),(AP8))))</formula>
    </cfRule>
    <cfRule type="containsText" priority="356" operator="containsText" dxfId="0" text="ICU N">
      <formula>NOT(ISERROR(SEARCH(("ICU N"),(AP8))))</formula>
    </cfRule>
  </conditionalFormatting>
  <conditionalFormatting sqref="BC38">
    <cfRule type="containsText" priority="338" operator="containsText" dxfId="17" text="VACATION">
      <formula>NOT(ISERROR(SEARCH(("VACATION"),(BC38))))</formula>
    </cfRule>
    <cfRule type="containsText" priority="339" operator="containsText" dxfId="16" text="ED">
      <formula>NOT(ISERROR(SEARCH(("ED"),(BC38))))</formula>
    </cfRule>
    <cfRule type="containsText" priority="340" operator="containsText" dxfId="15" text="GERIATRIC">
      <formula>NOT(ISERROR(SEARCH(("GERIATRIC"),(BC38))))</formula>
    </cfRule>
    <cfRule type="containsText" priority="341" operator="containsText" dxfId="0" text="ICU N">
      <formula>NOT(ISERROR(SEARCH(("ICU N"),(BC38))))</formula>
    </cfRule>
    <cfRule type="containsText" priority="323" operator="containsText" dxfId="7" text="PATH">
      <formula>NOT(ISERROR(SEARCH(("PATH"),(BC38))))</formula>
    </cfRule>
    <cfRule type="containsText" priority="324" operator="containsText" dxfId="7" text="NEPHRO">
      <formula>NOT(ISERROR(SEARCH(("NEPHRO"),(BC38))))</formula>
    </cfRule>
    <cfRule type="containsText" priority="325" operator="containsText" dxfId="7" text="PULM">
      <formula>NOT(ISERROR(SEARCH(("PULM"),(BC38))))</formula>
    </cfRule>
    <cfRule type="containsText" priority="326" operator="containsText" dxfId="7" text="RADIOLOGY">
      <formula>NOT(ISERROR(SEARCH(("RADIOLOGY"),(BC38))))</formula>
    </cfRule>
    <cfRule type="containsText" priority="327" operator="containsText" dxfId="7" text="HEM/ONC">
      <formula>NOT(ISERROR(SEARCH(("HEM/ONC"),(BC38))))</formula>
    </cfRule>
    <cfRule type="containsText" priority="328" operator="containsText" dxfId="7" text="CARDIO">
      <formula>NOT(ISERROR(SEARCH(("CARDIO"),(BC38))))</formula>
    </cfRule>
    <cfRule type="containsText" priority="329" operator="containsText" dxfId="7" text="ID">
      <formula>NOT(ISERROR(SEARCH(("ID"),(BC38))))</formula>
    </cfRule>
    <cfRule type="containsText" priority="330" operator="containsText" dxfId="7" text="NEURO">
      <formula>NOT(ISERROR(SEARCH(("NEURO"),(BC38))))</formula>
    </cfRule>
    <cfRule type="containsText" priority="331" operator="containsText" dxfId="6" text="NEURO">
      <formula>NOT(ISERROR(SEARCH(("NEURO"),(BC38))))</formula>
    </cfRule>
    <cfRule type="containsText" priority="332" operator="containsText" dxfId="5" text="NEURO">
      <formula>NOT(ISERROR(SEARCH(("NEURO"),(BC38))))</formula>
    </cfRule>
    <cfRule type="containsText" priority="333" operator="containsText" dxfId="0" text="ICU N">
      <formula>NOT(ISERROR(SEARCH(("ICU N"),(BC38))))</formula>
    </cfRule>
    <cfRule type="containsText" priority="334" operator="containsText" dxfId="3" text="ICU">
      <formula>NOT(ISERROR(SEARCH(("ICU"),(BC38))))</formula>
    </cfRule>
    <cfRule type="containsText" priority="335" operator="containsText" dxfId="0" text="SWING">
      <formula>NOT(ISERROR(SEARCH(("SWING"),(BC38))))</formula>
    </cfRule>
    <cfRule type="containsText" priority="336" operator="containsText" dxfId="0" text="NF">
      <formula>NOT(ISERROR(SEARCH(("NF"),(BC38))))</formula>
    </cfRule>
    <cfRule type="containsText" priority="337" operator="containsText" dxfId="0" text="ICU N">
      <formula>NOT(ISERROR(SEARCH(("ICU N"),(BC38))))</formula>
    </cfRule>
  </conditionalFormatting>
  <conditionalFormatting sqref="BB26">
    <cfRule type="containsText" priority="281" operator="containsText" dxfId="17" text="VACATION">
      <formula>NOT(ISERROR(SEARCH(("VACATION"),(BB26))))</formula>
    </cfRule>
    <cfRule type="containsText" priority="282" operator="containsText" dxfId="16" text="ED">
      <formula>NOT(ISERROR(SEARCH(("ED"),(BB26))))</formula>
    </cfRule>
    <cfRule type="containsText" priority="283" operator="containsText" dxfId="15" text="GERIATRIC">
      <formula>NOT(ISERROR(SEARCH(("GERIATRIC"),(BB26))))</formula>
    </cfRule>
    <cfRule type="containsText" priority="284" operator="containsText" dxfId="0" text="ICU N">
      <formula>NOT(ISERROR(SEARCH(("ICU N"),(BB26))))</formula>
    </cfRule>
    <cfRule type="containsText" priority="266" operator="containsText" dxfId="7" text="PATH">
      <formula>NOT(ISERROR(SEARCH(("PATH"),(BB26))))</formula>
    </cfRule>
    <cfRule type="containsText" priority="267" operator="containsText" dxfId="7" text="NEPHRO">
      <formula>NOT(ISERROR(SEARCH(("NEPHRO"),(BB26))))</formula>
    </cfRule>
    <cfRule type="containsText" priority="268" operator="containsText" dxfId="7" text="PULM">
      <formula>NOT(ISERROR(SEARCH(("PULM"),(BB26))))</formula>
    </cfRule>
    <cfRule type="containsText" priority="269" operator="containsText" dxfId="7" text="RADIOLOGY">
      <formula>NOT(ISERROR(SEARCH(("RADIOLOGY"),(BB26))))</formula>
    </cfRule>
    <cfRule type="containsText" priority="270" operator="containsText" dxfId="7" text="HEM/ONC">
      <formula>NOT(ISERROR(SEARCH(("HEM/ONC"),(BB26))))</formula>
    </cfRule>
    <cfRule type="containsText" priority="271" operator="containsText" dxfId="7" text="CARDIO">
      <formula>NOT(ISERROR(SEARCH(("CARDIO"),(BB26))))</formula>
    </cfRule>
    <cfRule type="containsText" priority="272" operator="containsText" dxfId="7" text="ID">
      <formula>NOT(ISERROR(SEARCH(("ID"),(BB26))))</formula>
    </cfRule>
    <cfRule type="containsText" priority="273" operator="containsText" dxfId="7" text="NEURO">
      <formula>NOT(ISERROR(SEARCH(("NEURO"),(BB26))))</formula>
    </cfRule>
    <cfRule type="containsText" priority="274" operator="containsText" dxfId="6" text="NEURO">
      <formula>NOT(ISERROR(SEARCH(("NEURO"),(BB26))))</formula>
    </cfRule>
    <cfRule type="containsText" priority="275" operator="containsText" dxfId="5" text="NEURO">
      <formula>NOT(ISERROR(SEARCH(("NEURO"),(BB26))))</formula>
    </cfRule>
    <cfRule type="containsText" priority="276" operator="containsText" dxfId="0" text="ICU N">
      <formula>NOT(ISERROR(SEARCH(("ICU N"),(BB26))))</formula>
    </cfRule>
    <cfRule type="containsText" priority="277" operator="containsText" dxfId="3" text="ICU">
      <formula>NOT(ISERROR(SEARCH(("ICU"),(BB26))))</formula>
    </cfRule>
    <cfRule type="containsText" priority="278" operator="containsText" dxfId="0" text="SWING">
      <formula>NOT(ISERROR(SEARCH(("SWING"),(BB26))))</formula>
    </cfRule>
    <cfRule type="containsText" priority="279" operator="containsText" dxfId="0" text="NF">
      <formula>NOT(ISERROR(SEARCH(("NF"),(BB26))))</formula>
    </cfRule>
    <cfRule type="containsText" priority="280" operator="containsText" dxfId="0" text="ICU N">
      <formula>NOT(ISERROR(SEARCH(("ICU N"),(BB26))))</formula>
    </cfRule>
  </conditionalFormatting>
  <conditionalFormatting sqref="AX26">
    <cfRule type="containsText" priority="262" operator="containsText" dxfId="17" text="VACATION">
      <formula>NOT(ISERROR(SEARCH(("VACATION"),(AX26))))</formula>
    </cfRule>
    <cfRule type="containsText" priority="263" operator="containsText" dxfId="16" text="ED">
      <formula>NOT(ISERROR(SEARCH(("ED"),(AX26))))</formula>
    </cfRule>
    <cfRule type="containsText" priority="264" operator="containsText" dxfId="15" text="GERIATRIC">
      <formula>NOT(ISERROR(SEARCH(("GERIATRIC"),(AX26))))</formula>
    </cfRule>
    <cfRule type="containsText" priority="265" operator="containsText" dxfId="0" text="ICU N">
      <formula>NOT(ISERROR(SEARCH(("ICU N"),(AX26))))</formula>
    </cfRule>
    <cfRule type="containsText" priority="247" operator="containsText" dxfId="7" text="PATH">
      <formula>NOT(ISERROR(SEARCH(("PATH"),(AX26))))</formula>
    </cfRule>
    <cfRule type="containsText" priority="248" operator="containsText" dxfId="7" text="NEPHRO">
      <formula>NOT(ISERROR(SEARCH(("NEPHRO"),(AX26))))</formula>
    </cfRule>
    <cfRule type="containsText" priority="249" operator="containsText" dxfId="7" text="PULM">
      <formula>NOT(ISERROR(SEARCH(("PULM"),(AX26))))</formula>
    </cfRule>
    <cfRule type="containsText" priority="250" operator="containsText" dxfId="7" text="RADIOLOGY">
      <formula>NOT(ISERROR(SEARCH(("RADIOLOGY"),(AX26))))</formula>
    </cfRule>
    <cfRule type="containsText" priority="251" operator="containsText" dxfId="7" text="HEM/ONC">
      <formula>NOT(ISERROR(SEARCH(("HEM/ONC"),(AX26))))</formula>
    </cfRule>
    <cfRule type="containsText" priority="252" operator="containsText" dxfId="7" text="CARDIO">
      <formula>NOT(ISERROR(SEARCH(("CARDIO"),(AX26))))</formula>
    </cfRule>
    <cfRule type="containsText" priority="253" operator="containsText" dxfId="7" text="ID">
      <formula>NOT(ISERROR(SEARCH(("ID"),(AX26))))</formula>
    </cfRule>
    <cfRule type="containsText" priority="254" operator="containsText" dxfId="7" text="NEURO">
      <formula>NOT(ISERROR(SEARCH(("NEURO"),(AX26))))</formula>
    </cfRule>
    <cfRule type="containsText" priority="255" operator="containsText" dxfId="6" text="NEURO">
      <formula>NOT(ISERROR(SEARCH(("NEURO"),(AX26))))</formula>
    </cfRule>
    <cfRule type="containsText" priority="256" operator="containsText" dxfId="5" text="NEURO">
      <formula>NOT(ISERROR(SEARCH(("NEURO"),(AX26))))</formula>
    </cfRule>
    <cfRule type="containsText" priority="257" operator="containsText" dxfId="0" text="ICU N">
      <formula>NOT(ISERROR(SEARCH(("ICU N"),(AX26))))</formula>
    </cfRule>
    <cfRule type="containsText" priority="258" operator="containsText" dxfId="3" text="ICU">
      <formula>NOT(ISERROR(SEARCH(("ICU"),(AX26))))</formula>
    </cfRule>
    <cfRule type="containsText" priority="259" operator="containsText" dxfId="0" text="SWING">
      <formula>NOT(ISERROR(SEARCH(("SWING"),(AX26))))</formula>
    </cfRule>
    <cfRule type="containsText" priority="260" operator="containsText" dxfId="0" text="NF">
      <formula>NOT(ISERROR(SEARCH(("NF"),(AX26))))</formula>
    </cfRule>
    <cfRule type="containsText" priority="261" operator="containsText" dxfId="0" text="ICU N">
      <formula>NOT(ISERROR(SEARCH(("ICU N"),(AX26))))</formula>
    </cfRule>
  </conditionalFormatting>
  <conditionalFormatting sqref="BB28">
    <cfRule type="containsText" priority="243" operator="containsText" dxfId="17" text="VACATION">
      <formula>NOT(ISERROR(SEARCH(("VACATION"),(BB28))))</formula>
    </cfRule>
    <cfRule type="containsText" priority="244" operator="containsText" dxfId="16" text="ED">
      <formula>NOT(ISERROR(SEARCH(("ED"),(BB28))))</formula>
    </cfRule>
    <cfRule type="containsText" priority="245" operator="containsText" dxfId="15" text="GERIATRIC">
      <formula>NOT(ISERROR(SEARCH(("GERIATRIC"),(BB28))))</formula>
    </cfRule>
    <cfRule type="containsText" priority="246" operator="containsText" dxfId="0" text="ICU N">
      <formula>NOT(ISERROR(SEARCH(("ICU N"),(BB28))))</formula>
    </cfRule>
    <cfRule type="containsText" priority="228" operator="containsText" dxfId="7" text="PATH">
      <formula>NOT(ISERROR(SEARCH(("PATH"),(BB28))))</formula>
    </cfRule>
    <cfRule type="containsText" priority="229" operator="containsText" dxfId="7" text="NEPHRO">
      <formula>NOT(ISERROR(SEARCH(("NEPHRO"),(BB28))))</formula>
    </cfRule>
    <cfRule type="containsText" priority="230" operator="containsText" dxfId="7" text="PULM">
      <formula>NOT(ISERROR(SEARCH(("PULM"),(BB28))))</formula>
    </cfRule>
    <cfRule type="containsText" priority="231" operator="containsText" dxfId="7" text="RADIOLOGY">
      <formula>NOT(ISERROR(SEARCH(("RADIOLOGY"),(BB28))))</formula>
    </cfRule>
    <cfRule type="containsText" priority="232" operator="containsText" dxfId="7" text="HEM/ONC">
      <formula>NOT(ISERROR(SEARCH(("HEM/ONC"),(BB28))))</formula>
    </cfRule>
    <cfRule type="containsText" priority="233" operator="containsText" dxfId="7" text="CARDIO">
      <formula>NOT(ISERROR(SEARCH(("CARDIO"),(BB28))))</formula>
    </cfRule>
    <cfRule type="containsText" priority="234" operator="containsText" dxfId="7" text="ID">
      <formula>NOT(ISERROR(SEARCH(("ID"),(BB28))))</formula>
    </cfRule>
    <cfRule type="containsText" priority="235" operator="containsText" dxfId="7" text="NEURO">
      <formula>NOT(ISERROR(SEARCH(("NEURO"),(BB28))))</formula>
    </cfRule>
    <cfRule type="containsText" priority="236" operator="containsText" dxfId="6" text="NEURO">
      <formula>NOT(ISERROR(SEARCH(("NEURO"),(BB28))))</formula>
    </cfRule>
    <cfRule type="containsText" priority="237" operator="containsText" dxfId="5" text="NEURO">
      <formula>NOT(ISERROR(SEARCH(("NEURO"),(BB28))))</formula>
    </cfRule>
    <cfRule type="containsText" priority="238" operator="containsText" dxfId="0" text="ICU N">
      <formula>NOT(ISERROR(SEARCH(("ICU N"),(BB28))))</formula>
    </cfRule>
    <cfRule type="containsText" priority="239" operator="containsText" dxfId="3" text="ICU">
      <formula>NOT(ISERROR(SEARCH(("ICU"),(BB28))))</formula>
    </cfRule>
    <cfRule type="containsText" priority="240" operator="containsText" dxfId="0" text="SWING">
      <formula>NOT(ISERROR(SEARCH(("SWING"),(BB28))))</formula>
    </cfRule>
    <cfRule type="containsText" priority="241" operator="containsText" dxfId="0" text="NF">
      <formula>NOT(ISERROR(SEARCH(("NF"),(BB28))))</formula>
    </cfRule>
    <cfRule type="containsText" priority="242" operator="containsText" dxfId="0" text="ICU N">
      <formula>NOT(ISERROR(SEARCH(("ICU N"),(BB28))))</formula>
    </cfRule>
  </conditionalFormatting>
  <conditionalFormatting sqref="AZ28">
    <cfRule type="containsText" priority="224" operator="containsText" dxfId="17" text="VACATION">
      <formula>NOT(ISERROR(SEARCH(("VACATION"),(AZ28))))</formula>
    </cfRule>
    <cfRule type="containsText" priority="225" operator="containsText" dxfId="16" text="ED">
      <formula>NOT(ISERROR(SEARCH(("ED"),(AZ28))))</formula>
    </cfRule>
    <cfRule type="containsText" priority="226" operator="containsText" dxfId="15" text="GERIATRIC">
      <formula>NOT(ISERROR(SEARCH(("GERIATRIC"),(AZ28))))</formula>
    </cfRule>
    <cfRule type="containsText" priority="227" operator="containsText" dxfId="0" text="ICU N">
      <formula>NOT(ISERROR(SEARCH(("ICU N"),(AZ28))))</formula>
    </cfRule>
    <cfRule type="containsText" priority="209" operator="containsText" dxfId="7" text="PATH">
      <formula>NOT(ISERROR(SEARCH(("PATH"),(AZ28))))</formula>
    </cfRule>
    <cfRule type="containsText" priority="210" operator="containsText" dxfId="7" text="NEPHRO">
      <formula>NOT(ISERROR(SEARCH(("NEPHRO"),(AZ28))))</formula>
    </cfRule>
    <cfRule type="containsText" priority="211" operator="containsText" dxfId="7" text="PULM">
      <formula>NOT(ISERROR(SEARCH(("PULM"),(AZ28))))</formula>
    </cfRule>
    <cfRule type="containsText" priority="212" operator="containsText" dxfId="7" text="RADIOLOGY">
      <formula>NOT(ISERROR(SEARCH(("RADIOLOGY"),(AZ28))))</formula>
    </cfRule>
    <cfRule type="containsText" priority="213" operator="containsText" dxfId="7" text="HEM/ONC">
      <formula>NOT(ISERROR(SEARCH(("HEM/ONC"),(AZ28))))</formula>
    </cfRule>
    <cfRule type="containsText" priority="214" operator="containsText" dxfId="7" text="CARDIO">
      <formula>NOT(ISERROR(SEARCH(("CARDIO"),(AZ28))))</formula>
    </cfRule>
    <cfRule type="containsText" priority="215" operator="containsText" dxfId="7" text="ID">
      <formula>NOT(ISERROR(SEARCH(("ID"),(AZ28))))</formula>
    </cfRule>
    <cfRule type="containsText" priority="216" operator="containsText" dxfId="7" text="NEURO">
      <formula>NOT(ISERROR(SEARCH(("NEURO"),(AZ28))))</formula>
    </cfRule>
    <cfRule type="containsText" priority="217" operator="containsText" dxfId="6" text="NEURO">
      <formula>NOT(ISERROR(SEARCH(("NEURO"),(AZ28))))</formula>
    </cfRule>
    <cfRule type="containsText" priority="218" operator="containsText" dxfId="5" text="NEURO">
      <formula>NOT(ISERROR(SEARCH(("NEURO"),(AZ28))))</formula>
    </cfRule>
    <cfRule type="containsText" priority="219" operator="containsText" dxfId="0" text="ICU N">
      <formula>NOT(ISERROR(SEARCH(("ICU N"),(AZ28))))</formula>
    </cfRule>
    <cfRule type="containsText" priority="220" operator="containsText" dxfId="3" text="ICU">
      <formula>NOT(ISERROR(SEARCH(("ICU"),(AZ28))))</formula>
    </cfRule>
    <cfRule type="containsText" priority="221" operator="containsText" dxfId="0" text="SWING">
      <formula>NOT(ISERROR(SEARCH(("SWING"),(AZ28))))</formula>
    </cfRule>
    <cfRule type="containsText" priority="222" operator="containsText" dxfId="0" text="NF">
      <formula>NOT(ISERROR(SEARCH(("NF"),(AZ28))))</formula>
    </cfRule>
    <cfRule type="containsText" priority="223" operator="containsText" dxfId="0" text="ICU N">
      <formula>NOT(ISERROR(SEARCH(("ICU N"),(AZ28))))</formula>
    </cfRule>
  </conditionalFormatting>
  <conditionalFormatting sqref="AX37">
    <cfRule type="containsText" priority="192" operator="containsText" dxfId="17" text="VACATION">
      <formula>NOT(ISERROR(SEARCH(("VACATION"),(AX37))))</formula>
    </cfRule>
    <cfRule type="containsText" priority="193" operator="containsText" dxfId="16" text="ED">
      <formula>NOT(ISERROR(SEARCH(("ED"),(AX37))))</formula>
    </cfRule>
    <cfRule type="containsText" priority="194" operator="containsText" dxfId="15" text="GERIATRIC">
      <formula>NOT(ISERROR(SEARCH(("GERIATRIC"),(AX37))))</formula>
    </cfRule>
    <cfRule type="containsText" priority="195" operator="containsText" dxfId="7" text="PATH">
      <formula>NOT(ISERROR(SEARCH(("PATH"),(AX37))))</formula>
    </cfRule>
    <cfRule type="containsText" priority="196" operator="containsText" dxfId="7" text="NEPHRO">
      <formula>NOT(ISERROR(SEARCH(("NEPHRO"),(AX37))))</formula>
    </cfRule>
    <cfRule type="containsText" priority="197" operator="containsText" dxfId="7" text="PULM">
      <formula>NOT(ISERROR(SEARCH(("PULM"),(AX37))))</formula>
    </cfRule>
    <cfRule type="containsText" priority="198" operator="containsText" dxfId="7" text="RADIOLOGY">
      <formula>NOT(ISERROR(SEARCH(("RADIOLOGY"),(AX37))))</formula>
    </cfRule>
    <cfRule type="containsText" priority="199" operator="containsText" dxfId="7" text="HEM/ONC">
      <formula>NOT(ISERROR(SEARCH(("HEM/ONC"),(AX37))))</formula>
    </cfRule>
    <cfRule type="containsText" priority="200" operator="containsText" dxfId="7" text="CARDIO">
      <formula>NOT(ISERROR(SEARCH(("CARDIO"),(AX37))))</formula>
    </cfRule>
    <cfRule type="containsText" priority="201" operator="containsText" dxfId="7" text="ID">
      <formula>NOT(ISERROR(SEARCH(("ID"),(AX37))))</formula>
    </cfRule>
    <cfRule type="containsText" priority="202" operator="containsText" dxfId="7" text="NEURO">
      <formula>NOT(ISERROR(SEARCH(("NEURO"),(AX37))))</formula>
    </cfRule>
    <cfRule type="containsText" priority="203" operator="containsText" dxfId="6" text="NEURO">
      <formula>NOT(ISERROR(SEARCH(("NEURO"),(AX37))))</formula>
    </cfRule>
    <cfRule type="containsText" priority="204" operator="containsText" dxfId="5" text="NEURO">
      <formula>NOT(ISERROR(SEARCH(("NEURO"),(AX37))))</formula>
    </cfRule>
    <cfRule type="containsText" priority="205" operator="containsText" dxfId="0" text="ICU N">
      <formula>NOT(ISERROR(SEARCH(("ICU N"),(AX37))))</formula>
    </cfRule>
    <cfRule type="containsText" priority="206" operator="containsText" dxfId="3" text="ICU">
      <formula>NOT(ISERROR(SEARCH(("ICU"),(AX37))))</formula>
    </cfRule>
    <cfRule type="containsText" priority="207" operator="containsText" dxfId="0" text="SWING">
      <formula>NOT(ISERROR(SEARCH(("SWING"),(AX37))))</formula>
    </cfRule>
    <cfRule type="containsText" priority="208" operator="containsText" dxfId="0" text="NF">
      <formula>NOT(ISERROR(SEARCH(("NF"),(AX37))))</formula>
    </cfRule>
  </conditionalFormatting>
  <conditionalFormatting sqref="BB18">
    <cfRule type="containsText" priority="177" operator="containsText" dxfId="7" text="PATH">
      <formula>NOT(ISERROR(SEARCH(("PATH"),(BB18))))</formula>
    </cfRule>
    <cfRule type="containsText" priority="178" operator="containsText" dxfId="7" text="NEPHRO">
      <formula>NOT(ISERROR(SEARCH(("NEPHRO"),(BB18))))</formula>
    </cfRule>
    <cfRule type="containsText" priority="179" operator="containsText" dxfId="7" text="PULM">
      <formula>NOT(ISERROR(SEARCH(("PULM"),(BB18))))</formula>
    </cfRule>
    <cfRule type="containsText" priority="180" operator="containsText" dxfId="7" text="RADIOLOGY">
      <formula>NOT(ISERROR(SEARCH(("RADIOLOGY"),(BB18))))</formula>
    </cfRule>
    <cfRule type="containsText" priority="181" operator="containsText" dxfId="7" text="HEM/ONC">
      <formula>NOT(ISERROR(SEARCH(("HEM/ONC"),(BB18))))</formula>
    </cfRule>
    <cfRule type="containsText" priority="182" operator="containsText" dxfId="7" text="CARDIO">
      <formula>NOT(ISERROR(SEARCH(("CARDIO"),(BB18))))</formula>
    </cfRule>
    <cfRule type="containsText" priority="183" operator="containsText" dxfId="7" text="ID">
      <formula>NOT(ISERROR(SEARCH(("ID"),(BB18))))</formula>
    </cfRule>
    <cfRule type="containsText" priority="184" operator="containsText" dxfId="7" text="NEURO">
      <formula>NOT(ISERROR(SEARCH(("NEURO"),(BB18))))</formula>
    </cfRule>
    <cfRule type="containsText" priority="185" operator="containsText" dxfId="6" text="NEURO">
      <formula>NOT(ISERROR(SEARCH(("NEURO"),(BB18))))</formula>
    </cfRule>
    <cfRule type="containsText" priority="186" operator="containsText" dxfId="5" text="NEURO">
      <formula>NOT(ISERROR(SEARCH(("NEURO"),(BB18))))</formula>
    </cfRule>
    <cfRule type="containsText" priority="187" operator="containsText" dxfId="0" text="ICU N">
      <formula>NOT(ISERROR(SEARCH(("ICU N"),(BB18))))</formula>
    </cfRule>
    <cfRule type="containsText" priority="188" operator="containsText" dxfId="3" text="ICU">
      <formula>NOT(ISERROR(SEARCH(("ICU"),(BB18))))</formula>
    </cfRule>
    <cfRule type="containsText" priority="189" operator="containsText" dxfId="0" text="SWING">
      <formula>NOT(ISERROR(SEARCH(("SWING"),(BB18))))</formula>
    </cfRule>
    <cfRule type="containsText" priority="190" operator="containsText" dxfId="0" text="NF">
      <formula>NOT(ISERROR(SEARCH(("NF"),(BB18))))</formula>
    </cfRule>
    <cfRule type="containsText" priority="191" operator="containsText" dxfId="0" text="ICU N">
      <formula>NOT(ISERROR(SEARCH(("ICU N"),(BB18))))</formula>
    </cfRule>
    <cfRule type="containsText" priority="163" operator="containsText" dxfId="7" text="PATH">
      <formula>NOT(ISERROR(SEARCH(("PATH"),(BB18))))</formula>
    </cfRule>
    <cfRule type="containsText" priority="164" operator="containsText" dxfId="7" text="NEPHRO">
      <formula>NOT(ISERROR(SEARCH(("NEPHRO"),(BB18))))</formula>
    </cfRule>
    <cfRule type="containsText" priority="165" operator="containsText" dxfId="7" text="PULM">
      <formula>NOT(ISERROR(SEARCH(("PULM"),(BB18))))</formula>
    </cfRule>
    <cfRule type="containsText" priority="166" operator="containsText" dxfId="7" text="RADIOLOGY">
      <formula>NOT(ISERROR(SEARCH(("RADIOLOGY"),(BB18))))</formula>
    </cfRule>
    <cfRule type="containsText" priority="167" operator="containsText" dxfId="7" text="HEM/ONC">
      <formula>NOT(ISERROR(SEARCH(("HEM/ONC"),(BB18))))</formula>
    </cfRule>
    <cfRule type="containsText" priority="168" operator="containsText" dxfId="7" text="CARDIO">
      <formula>NOT(ISERROR(SEARCH(("CARDIO"),(BB18))))</formula>
    </cfRule>
    <cfRule type="containsText" priority="169" operator="containsText" dxfId="7" text="ID">
      <formula>NOT(ISERROR(SEARCH(("ID"),(BB18))))</formula>
    </cfRule>
    <cfRule type="containsText" priority="170" operator="containsText" dxfId="7" text="NEURO">
      <formula>NOT(ISERROR(SEARCH(("NEURO"),(BB18))))</formula>
    </cfRule>
    <cfRule type="containsText" priority="171" operator="containsText" dxfId="6" text="NEURO">
      <formula>NOT(ISERROR(SEARCH(("NEURO"),(BB18))))</formula>
    </cfRule>
    <cfRule type="containsText" priority="172" operator="containsText" dxfId="5" text="NEURO">
      <formula>NOT(ISERROR(SEARCH(("NEURO"),(BB18))))</formula>
    </cfRule>
    <cfRule type="containsText" priority="173" operator="containsText" dxfId="0" text="ICU N">
      <formula>NOT(ISERROR(SEARCH(("ICU N"),(BB18))))</formula>
    </cfRule>
    <cfRule type="containsText" priority="174" operator="containsText" dxfId="3" text="ICU">
      <formula>NOT(ISERROR(SEARCH(("ICU"),(BB18))))</formula>
    </cfRule>
    <cfRule type="containsText" priority="175" operator="containsText" dxfId="0" text="SWING">
      <formula>NOT(ISERROR(SEARCH(("SWING"),(BB18))))</formula>
    </cfRule>
    <cfRule type="containsText" priority="176" operator="containsText" dxfId="0" text="NF">
      <formula>NOT(ISERROR(SEARCH(("NF"),(BB18))))</formula>
    </cfRule>
  </conditionalFormatting>
  <conditionalFormatting sqref="AN45">
    <cfRule type="containsText" priority="148" operator="containsText" dxfId="7" text="PATH">
      <formula>NOT(ISERROR(SEARCH(("PATH"),(AN45))))</formula>
    </cfRule>
    <cfRule type="containsText" priority="149" operator="containsText" dxfId="7" text="NEPHRO">
      <formula>NOT(ISERROR(SEARCH(("NEPHRO"),(AN45))))</formula>
    </cfRule>
    <cfRule type="containsText" priority="150" operator="containsText" dxfId="7" text="PULM">
      <formula>NOT(ISERROR(SEARCH(("PULM"),(AN45))))</formula>
    </cfRule>
    <cfRule type="containsText" priority="151" operator="containsText" dxfId="7" text="RADIOLOGY">
      <formula>NOT(ISERROR(SEARCH(("RADIOLOGY"),(AN45))))</formula>
    </cfRule>
    <cfRule type="containsText" priority="152" operator="containsText" dxfId="7" text="HEM/ONC">
      <formula>NOT(ISERROR(SEARCH(("HEM/ONC"),(AN45))))</formula>
    </cfRule>
    <cfRule type="containsText" priority="153" operator="containsText" dxfId="7" text="CARDIO">
      <formula>NOT(ISERROR(SEARCH(("CARDIO"),(AN45))))</formula>
    </cfRule>
    <cfRule type="containsText" priority="154" operator="containsText" dxfId="7" text="ID">
      <formula>NOT(ISERROR(SEARCH(("ID"),(AN45))))</formula>
    </cfRule>
    <cfRule type="containsText" priority="155" operator="containsText" dxfId="7" text="NEURO">
      <formula>NOT(ISERROR(SEARCH(("NEURO"),(AN45))))</formula>
    </cfRule>
    <cfRule type="containsText" priority="156" operator="containsText" dxfId="6" text="NEURO">
      <formula>NOT(ISERROR(SEARCH(("NEURO"),(AN45))))</formula>
    </cfRule>
    <cfRule type="containsText" priority="157" operator="containsText" dxfId="5" text="NEURO">
      <formula>NOT(ISERROR(SEARCH(("NEURO"),(AN45))))</formula>
    </cfRule>
    <cfRule type="containsText" priority="158" operator="containsText" dxfId="0" text="ICU N">
      <formula>NOT(ISERROR(SEARCH(("ICU N"),(AN45))))</formula>
    </cfRule>
    <cfRule type="containsText" priority="159" operator="containsText" dxfId="3" text="ICU">
      <formula>NOT(ISERROR(SEARCH(("ICU"),(AN45))))</formula>
    </cfRule>
    <cfRule type="containsText" priority="160" operator="containsText" dxfId="0" text="SWING">
      <formula>NOT(ISERROR(SEARCH(("SWING"),(AN45))))</formula>
    </cfRule>
    <cfRule type="containsText" priority="161" operator="containsText" dxfId="0" text="NF">
      <formula>NOT(ISERROR(SEARCH(("NF"),(AN45))))</formula>
    </cfRule>
    <cfRule type="containsText" priority="162" operator="containsText" dxfId="0" text="ICU N">
      <formula>NOT(ISERROR(SEARCH(("ICU N"),(AN45))))</formula>
    </cfRule>
    <cfRule type="containsText" priority="134" operator="containsText" dxfId="7" text="PATH">
      <formula>NOT(ISERROR(SEARCH(("PATH"),(AN45))))</formula>
    </cfRule>
    <cfRule type="containsText" priority="135" operator="containsText" dxfId="7" text="NEPHRO">
      <formula>NOT(ISERROR(SEARCH(("NEPHRO"),(AN45))))</formula>
    </cfRule>
    <cfRule type="containsText" priority="136" operator="containsText" dxfId="7" text="PULM">
      <formula>NOT(ISERROR(SEARCH(("PULM"),(AN45))))</formula>
    </cfRule>
    <cfRule type="containsText" priority="137" operator="containsText" dxfId="7" text="RADIOLOGY">
      <formula>NOT(ISERROR(SEARCH(("RADIOLOGY"),(AN45))))</formula>
    </cfRule>
    <cfRule type="containsText" priority="138" operator="containsText" dxfId="7" text="HEM/ONC">
      <formula>NOT(ISERROR(SEARCH(("HEM/ONC"),(AN45))))</formula>
    </cfRule>
    <cfRule type="containsText" priority="139" operator="containsText" dxfId="7" text="CARDIO">
      <formula>NOT(ISERROR(SEARCH(("CARDIO"),(AN45))))</formula>
    </cfRule>
    <cfRule type="containsText" priority="140" operator="containsText" dxfId="7" text="ID">
      <formula>NOT(ISERROR(SEARCH(("ID"),(AN45))))</formula>
    </cfRule>
    <cfRule type="containsText" priority="141" operator="containsText" dxfId="7" text="NEURO">
      <formula>NOT(ISERROR(SEARCH(("NEURO"),(AN45))))</formula>
    </cfRule>
    <cfRule type="containsText" priority="142" operator="containsText" dxfId="6" text="NEURO">
      <formula>NOT(ISERROR(SEARCH(("NEURO"),(AN45))))</formula>
    </cfRule>
    <cfRule type="containsText" priority="143" operator="containsText" dxfId="5" text="NEURO">
      <formula>NOT(ISERROR(SEARCH(("NEURO"),(AN45))))</formula>
    </cfRule>
    <cfRule type="containsText" priority="144" operator="containsText" dxfId="0" text="ICU N">
      <formula>NOT(ISERROR(SEARCH(("ICU N"),(AN45))))</formula>
    </cfRule>
    <cfRule type="containsText" priority="145" operator="containsText" dxfId="3" text="ICU">
      <formula>NOT(ISERROR(SEARCH(("ICU"),(AN45))))</formula>
    </cfRule>
    <cfRule type="containsText" priority="146" operator="containsText" dxfId="0" text="SWING">
      <formula>NOT(ISERROR(SEARCH(("SWING"),(AN45))))</formula>
    </cfRule>
    <cfRule type="containsText" priority="147" operator="containsText" dxfId="0" text="NF">
      <formula>NOT(ISERROR(SEARCH(("NF"),(AN45))))</formula>
    </cfRule>
  </conditionalFormatting>
  <conditionalFormatting sqref="AO45">
    <cfRule type="containsText" priority="119" operator="containsText" dxfId="7" text="PATH">
      <formula>NOT(ISERROR(SEARCH(("PATH"),(AO45))))</formula>
    </cfRule>
    <cfRule type="containsText" priority="120" operator="containsText" dxfId="7" text="NEPHRO">
      <formula>NOT(ISERROR(SEARCH(("NEPHRO"),(AO45))))</formula>
    </cfRule>
    <cfRule type="containsText" priority="121" operator="containsText" dxfId="7" text="PULM">
      <formula>NOT(ISERROR(SEARCH(("PULM"),(AO45))))</formula>
    </cfRule>
    <cfRule type="containsText" priority="122" operator="containsText" dxfId="7" text="RADIOLOGY">
      <formula>NOT(ISERROR(SEARCH(("RADIOLOGY"),(AO45))))</formula>
    </cfRule>
    <cfRule type="containsText" priority="123" operator="containsText" dxfId="7" text="HEM/ONC">
      <formula>NOT(ISERROR(SEARCH(("HEM/ONC"),(AO45))))</formula>
    </cfRule>
    <cfRule type="containsText" priority="124" operator="containsText" dxfId="7" text="CARDIO">
      <formula>NOT(ISERROR(SEARCH(("CARDIO"),(AO45))))</formula>
    </cfRule>
    <cfRule type="containsText" priority="125" operator="containsText" dxfId="7" text="ID">
      <formula>NOT(ISERROR(SEARCH(("ID"),(AO45))))</formula>
    </cfRule>
    <cfRule type="containsText" priority="126" operator="containsText" dxfId="7" text="NEURO">
      <formula>NOT(ISERROR(SEARCH(("NEURO"),(AO45))))</formula>
    </cfRule>
    <cfRule type="containsText" priority="127" operator="containsText" dxfId="6" text="NEURO">
      <formula>NOT(ISERROR(SEARCH(("NEURO"),(AO45))))</formula>
    </cfRule>
    <cfRule type="containsText" priority="128" operator="containsText" dxfId="5" text="NEURO">
      <formula>NOT(ISERROR(SEARCH(("NEURO"),(AO45))))</formula>
    </cfRule>
    <cfRule type="containsText" priority="129" operator="containsText" dxfId="0" text="ICU N">
      <formula>NOT(ISERROR(SEARCH(("ICU N"),(AO45))))</formula>
    </cfRule>
    <cfRule type="containsText" priority="130" operator="containsText" dxfId="3" text="ICU">
      <formula>NOT(ISERROR(SEARCH(("ICU"),(AO45))))</formula>
    </cfRule>
    <cfRule type="containsText" priority="131" operator="containsText" dxfId="0" text="SWING">
      <formula>NOT(ISERROR(SEARCH(("SWING"),(AO45))))</formula>
    </cfRule>
    <cfRule type="containsText" priority="132" operator="containsText" dxfId="0" text="NF">
      <formula>NOT(ISERROR(SEARCH(("NF"),(AO45))))</formula>
    </cfRule>
    <cfRule type="containsText" priority="133" operator="containsText" dxfId="0" text="ICU N">
      <formula>NOT(ISERROR(SEARCH(("ICU N"),(AO45))))</formula>
    </cfRule>
  </conditionalFormatting>
  <conditionalFormatting sqref="AM45">
    <cfRule type="containsText" priority="101" operator="containsText" dxfId="16" text="ED">
      <formula>NOT(ISERROR(SEARCH(("ED"),(AM45))))</formula>
    </cfRule>
    <cfRule type="containsText" priority="102" operator="containsText" dxfId="15" text="GERIATRIC">
      <formula>NOT(ISERROR(SEARCH(("GERIATRIC"),(AM45))))</formula>
    </cfRule>
    <cfRule type="containsText" priority="103" operator="containsText" dxfId="17" text="VACATION">
      <formula>NOT(ISERROR(SEARCH(("VACATION"),(AM45))))</formula>
    </cfRule>
    <cfRule type="containsText" priority="104" operator="containsText" dxfId="7" text="PATH">
      <formula>NOT(ISERROR(SEARCH(("PATH"),(AM45))))</formula>
    </cfRule>
    <cfRule type="containsText" priority="105" operator="containsText" dxfId="7" text="NEPHRO">
      <formula>NOT(ISERROR(SEARCH(("NEPHRO"),(AM45))))</formula>
    </cfRule>
    <cfRule type="containsText" priority="106" operator="containsText" dxfId="7" text="PULM">
      <formula>NOT(ISERROR(SEARCH(("PULM"),(AM45))))</formula>
    </cfRule>
    <cfRule type="containsText" priority="107" operator="containsText" dxfId="7" text="RADIOLOGY">
      <formula>NOT(ISERROR(SEARCH(("RADIOLOGY"),(AM45))))</formula>
    </cfRule>
    <cfRule type="containsText" priority="108" operator="containsText" dxfId="7" text="HEM/ONC">
      <formula>NOT(ISERROR(SEARCH(("HEM/ONC"),(AM45))))</formula>
    </cfRule>
    <cfRule type="containsText" priority="109" operator="containsText" dxfId="7" text="CARDIO">
      <formula>NOT(ISERROR(SEARCH(("CARDIO"),(AM45))))</formula>
    </cfRule>
    <cfRule type="containsText" priority="110" operator="containsText" dxfId="7" text="ID">
      <formula>NOT(ISERROR(SEARCH(("ID"),(AM45))))</formula>
    </cfRule>
    <cfRule type="containsText" priority="111" operator="containsText" dxfId="7" text="NEURO">
      <formula>NOT(ISERROR(SEARCH(("NEURO"),(AM45))))</formula>
    </cfRule>
    <cfRule type="containsText" priority="112" operator="containsText" dxfId="6" text="NEURO">
      <formula>NOT(ISERROR(SEARCH(("NEURO"),(AM45))))</formula>
    </cfRule>
    <cfRule type="containsText" priority="113" operator="containsText" dxfId="5" text="NEURO">
      <formula>NOT(ISERROR(SEARCH(("NEURO"),(AM45))))</formula>
    </cfRule>
    <cfRule type="containsText" priority="114" operator="containsText" dxfId="0" text="ICU N">
      <formula>NOT(ISERROR(SEARCH(("ICU N"),(AM45))))</formula>
    </cfRule>
    <cfRule type="containsText" priority="115" operator="containsText" dxfId="3" text="ICU">
      <formula>NOT(ISERROR(SEARCH(("ICU"),(AM45))))</formula>
    </cfRule>
    <cfRule type="containsText" priority="116" operator="containsText" dxfId="0" text="SWING">
      <formula>NOT(ISERROR(SEARCH(("SWING"),(AM45))))</formula>
    </cfRule>
    <cfRule type="containsText" priority="117" operator="containsText" dxfId="0" text="NF">
      <formula>NOT(ISERROR(SEARCH(("NF"),(AM45))))</formula>
    </cfRule>
    <cfRule type="containsText" priority="118" operator="containsText" dxfId="0" text="ICU N">
      <formula>NOT(ISERROR(SEARCH(("ICU N"),(AM45))))</formula>
    </cfRule>
    <cfRule type="containsText" priority="83" operator="containsText" dxfId="16" text="ED">
      <formula>NOT(ISERROR(SEARCH(("ED"),(AM45))))</formula>
    </cfRule>
    <cfRule type="containsText" priority="84" operator="containsText" dxfId="15" text="GERIATRIC">
      <formula>NOT(ISERROR(SEARCH(("GERIATRIC"),(AM45))))</formula>
    </cfRule>
    <cfRule type="containsText" priority="85" operator="containsText" dxfId="17" text="VACATION">
      <formula>NOT(ISERROR(SEARCH(("VACATION"),(AM45))))</formula>
    </cfRule>
    <cfRule type="containsText" priority="86" operator="containsText" dxfId="7" text="PATH">
      <formula>NOT(ISERROR(SEARCH(("PATH"),(AM45))))</formula>
    </cfRule>
    <cfRule type="containsText" priority="87" operator="containsText" dxfId="7" text="NEPHRO">
      <formula>NOT(ISERROR(SEARCH(("NEPHRO"),(AM45))))</formula>
    </cfRule>
    <cfRule type="containsText" priority="88" operator="containsText" dxfId="7" text="PULM">
      <formula>NOT(ISERROR(SEARCH(("PULM"),(AM45))))</formula>
    </cfRule>
    <cfRule type="containsText" priority="89" operator="containsText" dxfId="7" text="RADIOLOGY">
      <formula>NOT(ISERROR(SEARCH(("RADIOLOGY"),(AM45))))</formula>
    </cfRule>
    <cfRule type="containsText" priority="90" operator="containsText" dxfId="7" text="HEM/ONC">
      <formula>NOT(ISERROR(SEARCH(("HEM/ONC"),(AM45))))</formula>
    </cfRule>
    <cfRule type="containsText" priority="91" operator="containsText" dxfId="7" text="CARDIO">
      <formula>NOT(ISERROR(SEARCH(("CARDIO"),(AM45))))</formula>
    </cfRule>
    <cfRule type="containsText" priority="92" operator="containsText" dxfId="7" text="ID">
      <formula>NOT(ISERROR(SEARCH(("ID"),(AM45))))</formula>
    </cfRule>
    <cfRule type="containsText" priority="93" operator="containsText" dxfId="7" text="NEURO">
      <formula>NOT(ISERROR(SEARCH(("NEURO"),(AM45))))</formula>
    </cfRule>
    <cfRule type="containsText" priority="94" operator="containsText" dxfId="6" text="NEURO">
      <formula>NOT(ISERROR(SEARCH(("NEURO"),(AM45))))</formula>
    </cfRule>
    <cfRule type="containsText" priority="95" operator="containsText" dxfId="5" text="NEURO">
      <formula>NOT(ISERROR(SEARCH(("NEURO"),(AM45))))</formula>
    </cfRule>
    <cfRule type="containsText" priority="96" operator="containsText" dxfId="0" text="ICU N">
      <formula>NOT(ISERROR(SEARCH(("ICU N"),(AM45))))</formula>
    </cfRule>
    <cfRule type="containsText" priority="97" operator="containsText" dxfId="3" text="ICU">
      <formula>NOT(ISERROR(SEARCH(("ICU"),(AM45))))</formula>
    </cfRule>
    <cfRule type="containsText" priority="98" operator="containsText" dxfId="0" text="SWING">
      <formula>NOT(ISERROR(SEARCH(("SWING"),(AM45))))</formula>
    </cfRule>
    <cfRule type="containsText" priority="99" operator="containsText" dxfId="0" text="NF">
      <formula>NOT(ISERROR(SEARCH(("NF"),(AM45))))</formula>
    </cfRule>
    <cfRule type="containsText" priority="100" operator="containsText" dxfId="0" text="ICU N">
      <formula>NOT(ISERROR(SEARCH(("ICU N"),(AM45))))</formula>
    </cfRule>
  </conditionalFormatting>
  <conditionalFormatting sqref="AL12">
    <cfRule type="containsText" priority="82" operator="containsText" dxfId="17" text="VACATION">
      <formula>NOT(ISERROR(SEARCH(("VACATION"),(AL12))))</formula>
    </cfRule>
    <cfRule type="containsText" priority="81" operator="containsText" dxfId="17" text="VACATION">
      <formula>NOT(ISERROR(SEARCH(("VACATION"),(AL12))))</formula>
    </cfRule>
  </conditionalFormatting>
  <conditionalFormatting sqref="AM12">
    <cfRule type="containsText" priority="80" operator="containsText" dxfId="17" text="VACATION">
      <formula>NOT(ISERROR(SEARCH(("VACATION"),(AM12))))</formula>
    </cfRule>
  </conditionalFormatting>
  <conditionalFormatting sqref="AH24">
    <cfRule type="containsText" priority="62" operator="containsText" dxfId="16" text="ED">
      <formula>NOT(ISERROR(SEARCH(("ED"),(AH24))))</formula>
    </cfRule>
    <cfRule type="containsText" priority="63" operator="containsText" dxfId="15" text="GERIATRIC">
      <formula>NOT(ISERROR(SEARCH(("GERIATRIC"),(AH24))))</formula>
    </cfRule>
    <cfRule type="containsText" priority="64" operator="containsText" dxfId="17" text="VACATION">
      <formula>NOT(ISERROR(SEARCH(("VACATION"),(AH24))))</formula>
    </cfRule>
    <cfRule type="containsText" priority="65" operator="containsText" dxfId="7" text="PATH">
      <formula>NOT(ISERROR(SEARCH(("PATH"),(AH24))))</formula>
    </cfRule>
    <cfRule type="containsText" priority="66" operator="containsText" dxfId="7" text="NEPHRO">
      <formula>NOT(ISERROR(SEARCH(("NEPHRO"),(AH24))))</formula>
    </cfRule>
    <cfRule type="containsText" priority="67" operator="containsText" dxfId="7" text="PULM">
      <formula>NOT(ISERROR(SEARCH(("PULM"),(AH24))))</formula>
    </cfRule>
    <cfRule type="containsText" priority="68" operator="containsText" dxfId="7" text="RADIOLOGY">
      <formula>NOT(ISERROR(SEARCH(("RADIOLOGY"),(AH24))))</formula>
    </cfRule>
    <cfRule type="containsText" priority="69" operator="containsText" dxfId="7" text="HEM/ONC">
      <formula>NOT(ISERROR(SEARCH(("HEM/ONC"),(AH24))))</formula>
    </cfRule>
    <cfRule type="containsText" priority="70" operator="containsText" dxfId="7" text="CARDIO">
      <formula>NOT(ISERROR(SEARCH(("CARDIO"),(AH24))))</formula>
    </cfRule>
    <cfRule type="containsText" priority="71" operator="containsText" dxfId="7" text="ID">
      <formula>NOT(ISERROR(SEARCH(("ID"),(AH24))))</formula>
    </cfRule>
    <cfRule type="containsText" priority="72" operator="containsText" dxfId="7" text="NEURO">
      <formula>NOT(ISERROR(SEARCH(("NEURO"),(AH24))))</formula>
    </cfRule>
    <cfRule type="containsText" priority="73" operator="containsText" dxfId="6" text="NEURO">
      <formula>NOT(ISERROR(SEARCH(("NEURO"),(AH24))))</formula>
    </cfRule>
    <cfRule type="containsText" priority="74" operator="containsText" dxfId="5" text="NEURO">
      <formula>NOT(ISERROR(SEARCH(("NEURO"),(AH24))))</formula>
    </cfRule>
    <cfRule type="containsText" priority="75" operator="containsText" dxfId="0" text="ICU N">
      <formula>NOT(ISERROR(SEARCH(("ICU N"),(AH24))))</formula>
    </cfRule>
    <cfRule type="containsText" priority="76" operator="containsText" dxfId="3" text="ICU">
      <formula>NOT(ISERROR(SEARCH(("ICU"),(AH24))))</formula>
    </cfRule>
    <cfRule type="containsText" priority="77" operator="containsText" dxfId="0" text="SWING">
      <formula>NOT(ISERROR(SEARCH(("SWING"),(AH24))))</formula>
    </cfRule>
    <cfRule type="containsText" priority="78" operator="containsText" dxfId="0" text="NF">
      <formula>NOT(ISERROR(SEARCH(("NF"),(AH24))))</formula>
    </cfRule>
    <cfRule type="containsText" priority="79" operator="containsText" dxfId="0" text="ICU N">
      <formula>NOT(ISERROR(SEARCH(("ICU N"),(AH24))))</formula>
    </cfRule>
    <cfRule type="containsText" priority="44" operator="containsText" dxfId="16" text="ED">
      <formula>NOT(ISERROR(SEARCH(("ED"),(AH24))))</formula>
    </cfRule>
    <cfRule type="containsText" priority="45" operator="containsText" dxfId="15" text="GERIATRIC">
      <formula>NOT(ISERROR(SEARCH(("GERIATRIC"),(AH24))))</formula>
    </cfRule>
    <cfRule type="containsText" priority="46" operator="containsText" dxfId="17" text="VACATION">
      <formula>NOT(ISERROR(SEARCH(("VACATION"),(AH24))))</formula>
    </cfRule>
    <cfRule type="containsText" priority="47" operator="containsText" dxfId="7" text="PATH">
      <formula>NOT(ISERROR(SEARCH(("PATH"),(AH24))))</formula>
    </cfRule>
    <cfRule type="containsText" priority="48" operator="containsText" dxfId="7" text="NEPHRO">
      <formula>NOT(ISERROR(SEARCH(("NEPHRO"),(AH24))))</formula>
    </cfRule>
    <cfRule type="containsText" priority="49" operator="containsText" dxfId="7" text="PULM">
      <formula>NOT(ISERROR(SEARCH(("PULM"),(AH24))))</formula>
    </cfRule>
    <cfRule type="containsText" priority="50" operator="containsText" dxfId="7" text="RADIOLOGY">
      <formula>NOT(ISERROR(SEARCH(("RADIOLOGY"),(AH24))))</formula>
    </cfRule>
    <cfRule type="containsText" priority="51" operator="containsText" dxfId="7" text="HEM/ONC">
      <formula>NOT(ISERROR(SEARCH(("HEM/ONC"),(AH24))))</formula>
    </cfRule>
    <cfRule type="containsText" priority="52" operator="containsText" dxfId="7" text="CARDIO">
      <formula>NOT(ISERROR(SEARCH(("CARDIO"),(AH24))))</formula>
    </cfRule>
    <cfRule type="containsText" priority="53" operator="containsText" dxfId="7" text="ID">
      <formula>NOT(ISERROR(SEARCH(("ID"),(AH24))))</formula>
    </cfRule>
    <cfRule type="containsText" priority="54" operator="containsText" dxfId="7" text="NEURO">
      <formula>NOT(ISERROR(SEARCH(("NEURO"),(AH24))))</formula>
    </cfRule>
    <cfRule type="containsText" priority="55" operator="containsText" dxfId="6" text="NEURO">
      <formula>NOT(ISERROR(SEARCH(("NEURO"),(AH24))))</formula>
    </cfRule>
    <cfRule type="containsText" priority="56" operator="containsText" dxfId="5" text="NEURO">
      <formula>NOT(ISERROR(SEARCH(("NEURO"),(AH24))))</formula>
    </cfRule>
    <cfRule type="containsText" priority="57" operator="containsText" dxfId="0" text="ICU N">
      <formula>NOT(ISERROR(SEARCH(("ICU N"),(AH24))))</formula>
    </cfRule>
    <cfRule type="containsText" priority="58" operator="containsText" dxfId="3" text="ICU">
      <formula>NOT(ISERROR(SEARCH(("ICU"),(AH24))))</formula>
    </cfRule>
    <cfRule type="containsText" priority="59" operator="containsText" dxfId="0" text="SWING">
      <formula>NOT(ISERROR(SEARCH(("SWING"),(AH24))))</formula>
    </cfRule>
    <cfRule type="containsText" priority="60" operator="containsText" dxfId="0" text="NF">
      <formula>NOT(ISERROR(SEARCH(("NF"),(AH24))))</formula>
    </cfRule>
    <cfRule type="containsText" priority="61" operator="containsText" dxfId="0" text="ICU N">
      <formula>NOT(ISERROR(SEARCH(("ICU N"),(AH24))))</formula>
    </cfRule>
  </conditionalFormatting>
  <conditionalFormatting sqref="AH16">
    <cfRule type="containsText" priority="43" operator="containsText" dxfId="17" text="VACATION">
      <formula>NOT(ISERROR(SEARCH(("VACATION"),(AH16))))</formula>
    </cfRule>
    <cfRule type="containsText" priority="42" operator="containsText" dxfId="17" text="VACATION">
      <formula>NOT(ISERROR(SEARCH(("VACATION"),(AH16))))</formula>
    </cfRule>
  </conditionalFormatting>
  <conditionalFormatting sqref="BC13">
    <cfRule type="containsText" priority="41" operator="containsText" dxfId="0" text="ICU N">
      <formula>NOT(ISERROR(SEARCH(("ICU N"),(BC13))))</formula>
    </cfRule>
    <cfRule type="containsText" priority="40" operator="containsText" dxfId="0" text="ICU N">
      <formula>NOT(ISERROR(SEARCH(("ICU N"),(BC13))))</formula>
    </cfRule>
    <cfRule type="containsText" priority="39" operator="containsText" dxfId="0" text="ICU N">
      <formula>NOT(ISERROR(SEARCH(("ICU N"),(BC13))))</formula>
    </cfRule>
    <cfRule type="containsText" priority="38" operator="containsText" dxfId="0" text="ICU N">
      <formula>NOT(ISERROR(SEARCH(("ICU N"),(BC13))))</formula>
    </cfRule>
    <cfRule type="containsText" priority="37" operator="containsText" dxfId="0" text="ICU N">
      <formula>NOT(ISERROR(SEARCH(("ICU N"),(BC13))))</formula>
    </cfRule>
    <cfRule type="containsText" priority="36" operator="containsText" dxfId="0" text="ICU N">
      <formula>NOT(ISERROR(SEARCH(("ICU N"),(BC13))))</formula>
    </cfRule>
  </conditionalFormatting>
  <conditionalFormatting sqref="AI26">
    <cfRule type="containsText" priority="19" operator="containsText" dxfId="17" text="VACATION">
      <formula>NOT(ISERROR(SEARCH(("VACATION"),(AI26))))</formula>
    </cfRule>
    <cfRule type="containsText" priority="20" operator="containsText" dxfId="16" text="ED">
      <formula>NOT(ISERROR(SEARCH(("ED"),(AI26))))</formula>
    </cfRule>
    <cfRule type="containsText" priority="21" operator="containsText" dxfId="15" text="GERIATRIC">
      <formula>NOT(ISERROR(SEARCH(("GERIATRIC"),(AI26))))</formula>
    </cfRule>
    <cfRule type="containsText" priority="22" operator="containsText" dxfId="7" text="PATH">
      <formula>NOT(ISERROR(SEARCH(("PATH"),(AI26))))</formula>
    </cfRule>
    <cfRule type="containsText" priority="23" operator="containsText" dxfId="7" text="NEPHRO">
      <formula>NOT(ISERROR(SEARCH(("NEPHRO"),(AI26))))</formula>
    </cfRule>
    <cfRule type="containsText" priority="24" operator="containsText" dxfId="7" text="PULM">
      <formula>NOT(ISERROR(SEARCH(("PULM"),(AI26))))</formula>
    </cfRule>
    <cfRule type="containsText" priority="25" operator="containsText" dxfId="7" text="RADIOLOGY">
      <formula>NOT(ISERROR(SEARCH(("RADIOLOGY"),(AI26))))</formula>
    </cfRule>
    <cfRule type="containsText" priority="26" operator="containsText" dxfId="7" text="HEM/ONC">
      <formula>NOT(ISERROR(SEARCH(("HEM/ONC"),(AI26))))</formula>
    </cfRule>
    <cfRule type="containsText" priority="27" operator="containsText" dxfId="7" text="CARDIO">
      <formula>NOT(ISERROR(SEARCH(("CARDIO"),(AI26))))</formula>
    </cfRule>
    <cfRule type="containsText" priority="28" operator="containsText" dxfId="7" text="ID">
      <formula>NOT(ISERROR(SEARCH(("ID"),(AI26))))</formula>
    </cfRule>
    <cfRule type="containsText" priority="29" operator="containsText" dxfId="7" text="NEURO">
      <formula>NOT(ISERROR(SEARCH(("NEURO"),(AI26))))</formula>
    </cfRule>
    <cfRule type="containsText" priority="30" operator="containsText" dxfId="6" text="NEURO">
      <formula>NOT(ISERROR(SEARCH(("NEURO"),(AI26))))</formula>
    </cfRule>
    <cfRule type="containsText" priority="31" operator="containsText" dxfId="5" text="NEURO">
      <formula>NOT(ISERROR(SEARCH(("NEURO"),(AI26))))</formula>
    </cfRule>
    <cfRule type="containsText" priority="32" operator="containsText" dxfId="0" text="ICU N">
      <formula>NOT(ISERROR(SEARCH(("ICU N"),(AI26))))</formula>
    </cfRule>
    <cfRule type="containsText" priority="33" operator="containsText" dxfId="3" text="ICU">
      <formula>NOT(ISERROR(SEARCH(("ICU"),(AI26))))</formula>
    </cfRule>
    <cfRule type="containsText" priority="34" operator="containsText" dxfId="0" text="SWING">
      <formula>NOT(ISERROR(SEARCH(("SWING"),(AI26))))</formula>
    </cfRule>
    <cfRule type="containsText" priority="35" operator="containsText" dxfId="0" text="NF">
      <formula>NOT(ISERROR(SEARCH(("NF"),(AI26))))</formula>
    </cfRule>
  </conditionalFormatting>
  <conditionalFormatting sqref="AX15">
    <cfRule type="containsText" priority="16" operator="containsText" dxfId="17" text="VACATION">
      <formula>NOT(ISERROR(SEARCH(("VACATION"),(AX15))))</formula>
    </cfRule>
    <cfRule type="containsText" priority="17" operator="containsText" dxfId="16" text="ED">
      <formula>NOT(ISERROR(SEARCH(("ED"),(AX15))))</formula>
    </cfRule>
    <cfRule type="containsText" priority="18" operator="containsText" dxfId="15" text="GERIATRIC">
      <formula>NOT(ISERROR(SEARCH(("GERIATRIC"),(AX15))))</formula>
    </cfRule>
  </conditionalFormatting>
  <conditionalFormatting sqref="AY15">
    <cfRule type="containsText" priority="1" operator="containsText" dxfId="7" text="PATH">
      <formula>NOT(ISERROR(SEARCH(("PATH"),(AY15))))</formula>
    </cfRule>
    <cfRule type="containsText" priority="2" operator="containsText" dxfId="7" text="NEPHRO">
      <formula>NOT(ISERROR(SEARCH(("NEPHRO"),(AY15))))</formula>
    </cfRule>
    <cfRule type="containsText" priority="3" operator="containsText" dxfId="7" text="PULM">
      <formula>NOT(ISERROR(SEARCH(("PULM"),(AY15))))</formula>
    </cfRule>
    <cfRule type="containsText" priority="4" operator="containsText" dxfId="7" text="RADIOLOGY">
      <formula>NOT(ISERROR(SEARCH(("RADIOLOGY"),(AY15))))</formula>
    </cfRule>
    <cfRule type="containsText" priority="5" operator="containsText" dxfId="7" text="HEM/ONC">
      <formula>NOT(ISERROR(SEARCH(("HEM/ONC"),(AY15))))</formula>
    </cfRule>
    <cfRule type="containsText" priority="6" operator="containsText" dxfId="7" text="CARDIO">
      <formula>NOT(ISERROR(SEARCH(("CARDIO"),(AY15))))</formula>
    </cfRule>
    <cfRule type="containsText" priority="7" operator="containsText" dxfId="7" text="ID">
      <formula>NOT(ISERROR(SEARCH(("ID"),(AY15))))</formula>
    </cfRule>
    <cfRule type="containsText" priority="8" operator="containsText" dxfId="7" text="NEURO">
      <formula>NOT(ISERROR(SEARCH(("NEURO"),(AY15))))</formula>
    </cfRule>
    <cfRule type="containsText" priority="9" operator="containsText" dxfId="6" text="NEURO">
      <formula>NOT(ISERROR(SEARCH(("NEURO"),(AY15))))</formula>
    </cfRule>
    <cfRule type="containsText" priority="10" operator="containsText" dxfId="5" text="NEURO">
      <formula>NOT(ISERROR(SEARCH(("NEURO"),(AY15))))</formula>
    </cfRule>
    <cfRule type="containsText" priority="11" operator="containsText" dxfId="0" text="ICU N">
      <formula>NOT(ISERROR(SEARCH(("ICU N"),(AY15))))</formula>
    </cfRule>
    <cfRule type="containsText" priority="12" operator="containsText" dxfId="3" text="ICU">
      <formula>NOT(ISERROR(SEARCH(("ICU"),(AY15))))</formula>
    </cfRule>
    <cfRule type="containsText" priority="13" operator="containsText" dxfId="0" text="SWING">
      <formula>NOT(ISERROR(SEARCH(("SWING"),(AY15))))</formula>
    </cfRule>
    <cfRule type="containsText" priority="14" operator="containsText" dxfId="0" text="NF">
      <formula>NOT(ISERROR(SEARCH(("NF"),(AY15))))</formula>
    </cfRule>
    <cfRule type="containsText" priority="15" operator="containsText" dxfId="0" text="ICU N">
      <formula>NOT(ISERROR(SEARCH(("ICU N"),(AY15))))</formula>
    </cfRule>
  </conditionalFormatting>
  <printOptions gridLines="1"/>
  <pageMargins left="0.2" right="0.2" top="0.5" bottom="0.5" header="0" footer="0"/>
  <pageSetup orientation="landscape" paperSize="3" scale="10" fitToWidth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87" zoomScale="30" zoomScaleNormal="30" workbookViewId="0">
      <selection activeCell="A1" sqref="A1"/>
    </sheetView>
  </sheetViews>
  <sheetFormatPr baseColWidth="8" defaultColWidth="14.42578125" defaultRowHeight="15" customHeight="1"/>
  <cols>
    <col width="8.7109375" customWidth="1" min="1" max="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55"/>
  <sheetViews>
    <sheetView topLeftCell="A7" zoomScale="60" zoomScaleNormal="60" workbookViewId="0">
      <selection activeCell="C11" sqref="C11"/>
    </sheetView>
  </sheetViews>
  <sheetFormatPr baseColWidth="8" defaultColWidth="14.42578125" defaultRowHeight="15" customHeight="1"/>
  <cols>
    <col width="14.42578125" customWidth="1" min="1" max="2"/>
    <col width="35.140625" customWidth="1" min="3" max="3"/>
    <col width="7.28515625" customWidth="1" min="4" max="4"/>
    <col width="25.5703125" customWidth="1" min="5" max="5"/>
    <col width="6.42578125" customWidth="1" min="6" max="6"/>
    <col width="21.28515625" customWidth="1" min="7" max="7"/>
  </cols>
  <sheetData>
    <row r="1" ht="15" customHeight="1" thickBot="1"/>
    <row r="2" ht="15" customHeight="1">
      <c r="C2" s="24" t="inlineStr">
        <is>
          <t>DROP DOWN LIST - DO NOT CHANGE</t>
        </is>
      </c>
      <c r="E2" s="26" t="inlineStr">
        <is>
          <t>ELECTIVE CATEGORY</t>
        </is>
      </c>
      <c r="G2" s="28" t="inlineStr">
        <is>
          <t>GROUPED REQUIRED CATEGORY</t>
        </is>
      </c>
      <c r="H2" s="46" t="n"/>
    </row>
    <row r="3" ht="15" customHeight="1">
      <c r="A3" t="inlineStr">
        <is>
          <t> </t>
        </is>
      </c>
      <c r="C3" s="25" t="inlineStr">
        <is>
          <t>A</t>
        </is>
      </c>
      <c r="E3" s="27" t="n"/>
      <c r="G3" s="29" t="n"/>
      <c r="H3" s="30" t="n"/>
    </row>
    <row r="4" ht="15" customHeight="1">
      <c r="C4" s="25" t="inlineStr">
        <is>
          <t>ANESTHESIA *</t>
        </is>
      </c>
      <c r="D4" t="inlineStr">
        <is>
          <t> </t>
        </is>
      </c>
      <c r="E4" s="27" t="n"/>
      <c r="G4" s="29" t="n"/>
      <c r="H4" s="30" t="n"/>
    </row>
    <row r="5" ht="15" customHeight="1">
      <c r="C5" s="25" t="inlineStr">
        <is>
          <t>ANESTHESIA</t>
        </is>
      </c>
      <c r="E5" s="27" t="n"/>
      <c r="G5" s="29" t="inlineStr">
        <is>
          <t>CARDIO*</t>
        </is>
      </c>
      <c r="H5" s="30" t="n"/>
    </row>
    <row r="6" ht="15" customHeight="1">
      <c r="C6" s="25" t="inlineStr">
        <is>
          <t>B</t>
        </is>
      </c>
      <c r="E6" s="25" t="inlineStr">
        <is>
          <t>ANESTHESIA</t>
        </is>
      </c>
      <c r="G6" s="31" t="inlineStr">
        <is>
          <t>CARDIO</t>
        </is>
      </c>
      <c r="H6" s="91" t="n"/>
    </row>
    <row r="7" ht="15" customHeight="1">
      <c r="C7" s="25" t="inlineStr">
        <is>
          <t>C</t>
        </is>
      </c>
      <c r="E7" s="25" t="inlineStr">
        <is>
          <t>ED</t>
        </is>
      </c>
      <c r="G7" s="31" t="inlineStr">
        <is>
          <t>CARDIO E</t>
        </is>
      </c>
      <c r="H7" s="32" t="n"/>
    </row>
    <row r="8" ht="15" customHeight="1">
      <c r="C8" s="25" t="inlineStr">
        <is>
          <t>CARDIO*</t>
        </is>
      </c>
      <c r="E8" s="25" t="n"/>
      <c r="G8" s="31" t="n"/>
      <c r="H8" s="32" t="n"/>
    </row>
    <row r="9" ht="15" customHeight="1">
      <c r="C9" s="25" t="inlineStr">
        <is>
          <t>CARDIO</t>
        </is>
      </c>
      <c r="E9" s="25" t="inlineStr">
        <is>
          <t>GERIATRIC</t>
        </is>
      </c>
      <c r="G9" s="31" t="inlineStr">
        <is>
          <t>CARDIO E *</t>
        </is>
      </c>
      <c r="H9" s="30" t="n"/>
    </row>
    <row r="10" ht="15" customHeight="1">
      <c r="C10" s="25" t="inlineStr">
        <is>
          <t>CARDIO E</t>
        </is>
      </c>
      <c r="E10" s="25" t="inlineStr">
        <is>
          <t>GERIATRIC 2</t>
        </is>
      </c>
      <c r="G10" s="31" t="inlineStr">
        <is>
          <t>CARDIO-HCA</t>
        </is>
      </c>
      <c r="H10" s="30" t="n"/>
    </row>
    <row r="11" ht="15" customHeight="1">
      <c r="C11" s="25" t="inlineStr">
        <is>
          <t>CARDIO E *</t>
        </is>
      </c>
      <c r="E11" s="25" t="inlineStr">
        <is>
          <t>GS</t>
        </is>
      </c>
      <c r="G11" s="31" t="inlineStr">
        <is>
          <t>CARDIO-HCA *</t>
        </is>
      </c>
      <c r="H11" s="30" t="n"/>
    </row>
    <row r="12" ht="15" customHeight="1">
      <c r="C12" s="25" t="inlineStr">
        <is>
          <t>CARDIO-HCA</t>
        </is>
      </c>
      <c r="E12" s="25" t="inlineStr">
        <is>
          <t>HEM/ONC</t>
        </is>
      </c>
      <c r="G12" s="31" t="inlineStr">
        <is>
          <t>CARDIO-RAM</t>
        </is>
      </c>
      <c r="H12" s="30" t="n"/>
    </row>
    <row r="13" ht="15" customHeight="1">
      <c r="C13" s="25" t="inlineStr">
        <is>
          <t>CARDIO-HCA *</t>
        </is>
      </c>
      <c r="E13" s="25" t="inlineStr">
        <is>
          <t>HEM/ONC *</t>
        </is>
      </c>
      <c r="G13" s="31" t="inlineStr">
        <is>
          <t>CARDIO-RAM *</t>
        </is>
      </c>
      <c r="H13" s="30" t="n"/>
    </row>
    <row r="14" ht="15" customHeight="1">
      <c r="C14" s="25" t="inlineStr">
        <is>
          <t>CARDIO-RAM</t>
        </is>
      </c>
      <c r="E14" s="25" t="inlineStr">
        <is>
          <t>PAIN MANAGEMENT</t>
        </is>
      </c>
      <c r="G14" s="29" t="n"/>
      <c r="H14" s="30" t="n"/>
    </row>
    <row r="15" ht="15" customHeight="1">
      <c r="C15" s="25" t="inlineStr">
        <is>
          <t>CARDIO-RAM *</t>
        </is>
      </c>
      <c r="E15" s="25" t="inlineStr">
        <is>
          <t>PAIN MANEGMENT *</t>
        </is>
      </c>
      <c r="G15" s="33" t="inlineStr">
        <is>
          <t>CLINIC</t>
        </is>
      </c>
      <c r="H15" s="34" t="inlineStr">
        <is>
          <t>CLINIC</t>
        </is>
      </c>
    </row>
    <row r="16" ht="14.25" customHeight="1">
      <c r="C16" s="25" t="inlineStr">
        <is>
          <t>CLINIC</t>
        </is>
      </c>
      <c r="E16" s="25" t="inlineStr">
        <is>
          <t>RHEUMA</t>
        </is>
      </c>
      <c r="G16" s="33" t="inlineStr">
        <is>
          <t>CLINIC *</t>
        </is>
      </c>
      <c r="H16" s="30" t="n"/>
    </row>
    <row r="17" ht="15" customHeight="1">
      <c r="C17" s="25" t="inlineStr">
        <is>
          <t>CLINIC *</t>
        </is>
      </c>
      <c r="E17" s="25" t="inlineStr">
        <is>
          <t>RHEUMA *</t>
        </is>
      </c>
      <c r="G17" s="33" t="inlineStr">
        <is>
          <t>PALLIATIVE</t>
        </is>
      </c>
      <c r="H17" s="30" t="n"/>
    </row>
    <row r="18" ht="15" customHeight="1">
      <c r="C18" s="25" t="inlineStr">
        <is>
          <t>D</t>
        </is>
      </c>
      <c r="E18" s="25" t="inlineStr">
        <is>
          <t>ENDO</t>
        </is>
      </c>
      <c r="G18" s="33" t="inlineStr">
        <is>
          <t>PALLIATIVE *</t>
        </is>
      </c>
      <c r="H18" s="30" t="n"/>
    </row>
    <row r="19" ht="15" customHeight="1">
      <c r="C19" s="25" t="inlineStr">
        <is>
          <t>ED</t>
        </is>
      </c>
      <c r="E19" s="25" t="inlineStr">
        <is>
          <t>ENDO *</t>
        </is>
      </c>
      <c r="G19" s="35" t="inlineStr">
        <is>
          <t>URGENT CARE</t>
        </is>
      </c>
      <c r="H19" s="30" t="n"/>
    </row>
    <row r="20" ht="15" customHeight="1">
      <c r="C20" s="25" t="inlineStr">
        <is>
          <t>G</t>
        </is>
      </c>
      <c r="E20" s="25" t="inlineStr">
        <is>
          <t>PLASTIC</t>
        </is>
      </c>
      <c r="G20" s="35" t="inlineStr">
        <is>
          <t>URGENT CARE *</t>
        </is>
      </c>
      <c r="H20" s="30" t="n"/>
    </row>
    <row r="21" ht="15" customHeight="1">
      <c r="C21" s="25" t="inlineStr">
        <is>
          <t>GERIATRIC</t>
        </is>
      </c>
      <c r="E21" s="25" t="inlineStr">
        <is>
          <t>PULM</t>
        </is>
      </c>
      <c r="G21" s="29" t="n"/>
      <c r="H21" s="30" t="n"/>
    </row>
    <row r="22" ht="15" customHeight="1">
      <c r="C22" s="25" t="inlineStr">
        <is>
          <t>GERIATRIC 2</t>
        </is>
      </c>
      <c r="E22" s="25" t="inlineStr">
        <is>
          <t>SICU</t>
        </is>
      </c>
      <c r="G22" s="36" t="inlineStr">
        <is>
          <t>A</t>
        </is>
      </c>
      <c r="H22" s="37" t="inlineStr">
        <is>
          <t>FLOORS</t>
        </is>
      </c>
    </row>
    <row r="23" ht="15" customHeight="1" thickBot="1">
      <c r="C23" s="25" t="inlineStr">
        <is>
          <t>GS</t>
        </is>
      </c>
      <c r="E23" s="55" t="inlineStr">
        <is>
          <t>DERMATOLOGY</t>
        </is>
      </c>
      <c r="G23" s="36" t="inlineStr">
        <is>
          <t>B</t>
        </is>
      </c>
      <c r="H23" s="30" t="n"/>
    </row>
    <row r="24" ht="15" customHeight="1">
      <c r="C24" s="25" t="inlineStr">
        <is>
          <t>HEM/ONC</t>
        </is>
      </c>
      <c r="G24" s="36" t="inlineStr">
        <is>
          <t>C</t>
        </is>
      </c>
      <c r="H24" s="30" t="n"/>
    </row>
    <row r="25" ht="15" customHeight="1">
      <c r="C25" s="25" t="inlineStr">
        <is>
          <t>HEM/ONC *</t>
        </is>
      </c>
      <c r="G25" s="36" t="inlineStr">
        <is>
          <t>D</t>
        </is>
      </c>
      <c r="H25" s="30" t="n"/>
    </row>
    <row r="26" ht="15" customHeight="1">
      <c r="C26" s="25" t="inlineStr">
        <is>
          <t>ICU</t>
        </is>
      </c>
      <c r="G26" s="36" t="inlineStr">
        <is>
          <t>G</t>
        </is>
      </c>
      <c r="H26" s="30" t="n"/>
    </row>
    <row r="27" ht="15" customHeight="1">
      <c r="C27" s="25" t="inlineStr">
        <is>
          <t>ICU E</t>
        </is>
      </c>
      <c r="G27" s="29" t="n"/>
      <c r="H27" s="30" t="n"/>
    </row>
    <row r="28" ht="15" customHeight="1">
      <c r="C28" s="25" t="inlineStr">
        <is>
          <t>ICU N</t>
        </is>
      </c>
      <c r="G28" s="40" t="inlineStr">
        <is>
          <t>ID</t>
        </is>
      </c>
      <c r="H28" s="41" t="inlineStr">
        <is>
          <t>ID</t>
        </is>
      </c>
    </row>
    <row r="29" ht="15" customHeight="1">
      <c r="C29" s="25" t="inlineStr">
        <is>
          <t>ID</t>
        </is>
      </c>
      <c r="G29" s="40" t="inlineStr">
        <is>
          <t>ID *</t>
        </is>
      </c>
      <c r="H29" s="30" t="n"/>
    </row>
    <row r="30" ht="15.75" customHeight="1">
      <c r="C30" s="25" t="inlineStr">
        <is>
          <t>ID *</t>
        </is>
      </c>
      <c r="G30" s="38" t="n"/>
      <c r="H30" s="39" t="n"/>
    </row>
    <row r="31" ht="15.75" customHeight="1">
      <c r="C31" s="25" t="inlineStr">
        <is>
          <t>ENDO</t>
        </is>
      </c>
      <c r="G31" s="42" t="inlineStr">
        <is>
          <t>NEURO</t>
        </is>
      </c>
      <c r="H31" s="43" t="inlineStr">
        <is>
          <t>NEURO</t>
        </is>
      </c>
    </row>
    <row r="32" ht="15.75" customHeight="1">
      <c r="C32" s="25" t="inlineStr">
        <is>
          <t>ENDO *</t>
        </is>
      </c>
      <c r="G32" s="42" t="inlineStr">
        <is>
          <t>NEURO *</t>
        </is>
      </c>
      <c r="H32" s="30" t="n"/>
    </row>
    <row r="33" ht="15.75" customHeight="1" thickBot="1">
      <c r="C33" s="25" t="inlineStr">
        <is>
          <t>PAIN MANAGEMENT</t>
        </is>
      </c>
      <c r="G33" s="44" t="n"/>
      <c r="H33" s="45" t="n"/>
    </row>
    <row r="34" ht="15.75" customHeight="1">
      <c r="C34" s="25" t="inlineStr">
        <is>
          <t>PAIN MANAGEMENT *</t>
        </is>
      </c>
    </row>
    <row r="35" ht="15.75" customHeight="1">
      <c r="C35" s="25" t="inlineStr">
        <is>
          <t>NEPHRO</t>
        </is>
      </c>
    </row>
    <row r="36" ht="15.75" customHeight="1">
      <c r="C36" s="25" t="inlineStr">
        <is>
          <t>NEPHRO *</t>
        </is>
      </c>
    </row>
    <row r="37" ht="15.75" customHeight="1">
      <c r="C37" s="25" t="inlineStr">
        <is>
          <t>NEURO</t>
        </is>
      </c>
    </row>
    <row r="38" ht="15.75" customHeight="1">
      <c r="C38" s="25" t="inlineStr">
        <is>
          <t>NEURO *</t>
        </is>
      </c>
    </row>
    <row r="39" ht="15.75" customHeight="1">
      <c r="C39" s="25" t="inlineStr">
        <is>
          <t>NF</t>
        </is>
      </c>
    </row>
    <row r="40" ht="15.75" customHeight="1">
      <c r="C40" s="25" t="inlineStr">
        <is>
          <t>PALLIATIVE</t>
        </is>
      </c>
    </row>
    <row r="41" ht="15.75" customHeight="1">
      <c r="C41" s="25" t="inlineStr">
        <is>
          <t>PALLIATIVE *</t>
        </is>
      </c>
    </row>
    <row r="42" ht="15.75" customHeight="1">
      <c r="C42" s="25" t="inlineStr">
        <is>
          <t>PLASTIC</t>
        </is>
      </c>
    </row>
    <row r="43" ht="15.75" customHeight="1">
      <c r="C43" s="25" t="inlineStr">
        <is>
          <t>PULM</t>
        </is>
      </c>
    </row>
    <row r="44" ht="15.75" customHeight="1">
      <c r="C44" s="25" t="inlineStr">
        <is>
          <t>SICU</t>
        </is>
      </c>
    </row>
    <row r="45" ht="15.75" customHeight="1">
      <c r="C45" s="25" t="inlineStr">
        <is>
          <t>SWING</t>
        </is>
      </c>
    </row>
    <row r="46" ht="15.75" customHeight="1">
      <c r="C46" s="25" t="inlineStr">
        <is>
          <t>URGENT CARE</t>
        </is>
      </c>
    </row>
    <row r="47" ht="15.75" customHeight="1">
      <c r="C47" s="25" t="inlineStr">
        <is>
          <t>URGENT CARE *</t>
        </is>
      </c>
    </row>
    <row r="48" ht="15.75" customHeight="1">
      <c r="C48" s="25" t="inlineStr">
        <is>
          <t>VACATION</t>
        </is>
      </c>
    </row>
    <row r="49" ht="15.75" customHeight="1">
      <c r="C49" s="25" t="inlineStr">
        <is>
          <t>GI *</t>
        </is>
      </c>
    </row>
    <row r="50" ht="15.75" customHeight="1">
      <c r="C50" s="25" t="inlineStr">
        <is>
          <t>GI</t>
        </is>
      </c>
    </row>
    <row r="51" ht="15.75" customHeight="1">
      <c r="C51" s="25" t="inlineStr">
        <is>
          <t>RHEUMA *</t>
        </is>
      </c>
    </row>
    <row r="52" ht="15.75" customHeight="1">
      <c r="C52" s="25" t="inlineStr">
        <is>
          <t>RHEUMA</t>
        </is>
      </c>
    </row>
    <row r="53" ht="15.75" customHeight="1">
      <c r="C53" s="25" t="inlineStr">
        <is>
          <t>DERMATOLOGY</t>
        </is>
      </c>
    </row>
    <row r="54" ht="15.75" customHeight="1">
      <c r="C54" s="88" t="inlineStr">
        <is>
          <t>ICU H</t>
        </is>
      </c>
    </row>
    <row r="55" ht="15.75" customHeight="1">
      <c r="C55" s="55" t="inlineStr">
        <is>
          <t>PULM *</t>
        </is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max_nights_per_year</t>
        </is>
      </c>
      <c r="B2" t="n">
        <v>8</v>
      </c>
      <c r="C2" t="inlineStr">
        <is>
          <t>Max night shifts (ICU N, NF) per resident per year</t>
        </is>
      </c>
    </row>
    <row r="3">
      <c r="A3" t="inlineStr">
        <is>
          <t>max_consecutive_nights</t>
        </is>
      </c>
      <c r="B3" t="n">
        <v>4</v>
      </c>
      <c r="C3" t="inlineStr">
        <is>
          <t>Max consecutive weeks on night shifts</t>
        </is>
      </c>
    </row>
    <row r="4">
      <c r="A4" t="inlineStr">
        <is>
          <t>ed_cap_per_week</t>
        </is>
      </c>
      <c r="B4" t="n">
        <v>3</v>
      </c>
      <c r="C4" t="inlineStr">
        <is>
          <t>Max residents in ED per week</t>
        </is>
      </c>
    </row>
    <row r="5">
      <c r="A5" t="inlineStr">
        <is>
          <t>ramirez_forbidden_until_week</t>
        </is>
      </c>
      <c r="B5" t="n">
        <v>7</v>
      </c>
      <c r="C5" t="inlineStr">
        <is>
          <t>No PGY1 on CARDIO-RAM before this week</t>
        </is>
      </c>
    </row>
    <row r="6">
      <c r="A6" t="inlineStr">
        <is>
          <t>july_weeks</t>
        </is>
      </c>
      <c r="B6" t="inlineStr">
        <is>
          <t>1,2,3,4</t>
        </is>
      </c>
      <c r="C6" t="inlineStr">
        <is>
          <t>Weeks considered July (comma separated)</t>
        </is>
      </c>
    </row>
    <row r="7">
      <c r="A7" t="inlineStr">
        <is>
          <t>vacation_weeks_per_resident</t>
        </is>
      </c>
      <c r="B7" t="n">
        <v>4</v>
      </c>
      <c r="C7" t="inlineStr">
        <is>
          <t>Total vacation weeks required per resident</t>
        </is>
      </c>
    </row>
    <row r="8">
      <c r="A8" t="inlineStr">
        <is>
          <t>min_working_residents</t>
        </is>
      </c>
      <c r="B8" t="n">
        <v>21</v>
      </c>
      <c r="C8" t="inlineStr">
        <is>
          <t>Min residents needed for full coverage (warning only)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ResidentName</t>
        </is>
      </c>
      <c r="B1" t="inlineStr">
        <is>
          <t>PGY</t>
        </is>
      </c>
      <c r="C1" t="inlineStr">
        <is>
          <t>IsSenior</t>
        </is>
      </c>
      <c r="D1" t="inlineStr">
        <is>
          <t>IsIntern</t>
        </is>
      </c>
      <c r="E1" t="inlineStr">
        <is>
          <t>IsTY</t>
        </is>
      </c>
      <c r="F1" t="inlineStr">
        <is>
          <t>CohortId</t>
        </is>
      </c>
      <c r="G1" t="inlineStr">
        <is>
          <t>Track</t>
        </is>
      </c>
      <c r="H1" t="inlineStr">
        <is>
          <t>Notes</t>
        </is>
      </c>
      <c r="I1" t="inlineStr">
        <is>
          <t>ScheduleRow</t>
        </is>
      </c>
    </row>
    <row r="2">
      <c r="A2" t="inlineStr">
        <is>
          <t>B. Perez</t>
        </is>
      </c>
      <c r="B2" t="inlineStr">
        <is>
          <t>PGY1</t>
        </is>
      </c>
      <c r="C2" t="inlineStr">
        <is>
          <t>N</t>
        </is>
      </c>
      <c r="D2" t="inlineStr">
        <is>
          <t>Y</t>
        </is>
      </c>
      <c r="E2" t="inlineStr">
        <is>
          <t>N</t>
        </is>
      </c>
      <c r="F2" t="inlineStr">
        <is>
          <t>Cohort 1</t>
        </is>
      </c>
      <c r="G2" t="inlineStr"/>
      <c r="H2" t="inlineStr"/>
      <c r="I2" t="n">
        <v>4</v>
      </c>
    </row>
    <row r="3">
      <c r="A3" t="inlineStr">
        <is>
          <t>L. Duarte</t>
        </is>
      </c>
      <c r="B3" t="inlineStr">
        <is>
          <t>PGY1</t>
        </is>
      </c>
      <c r="C3" t="inlineStr">
        <is>
          <t>N</t>
        </is>
      </c>
      <c r="D3" t="inlineStr">
        <is>
          <t>Y</t>
        </is>
      </c>
      <c r="E3" t="inlineStr">
        <is>
          <t>N</t>
        </is>
      </c>
      <c r="F3" t="inlineStr">
        <is>
          <t>Cohort 1</t>
        </is>
      </c>
      <c r="G3" t="inlineStr"/>
      <c r="H3" t="inlineStr"/>
      <c r="I3" t="n">
        <v>5</v>
      </c>
    </row>
    <row r="4">
      <c r="A4" t="inlineStr">
        <is>
          <t>M. Garcia</t>
        </is>
      </c>
      <c r="B4" t="inlineStr">
        <is>
          <t>PGY2</t>
        </is>
      </c>
      <c r="C4" t="inlineStr">
        <is>
          <t>Y</t>
        </is>
      </c>
      <c r="D4" t="inlineStr">
        <is>
          <t>N</t>
        </is>
      </c>
      <c r="E4" t="inlineStr">
        <is>
          <t>N</t>
        </is>
      </c>
      <c r="F4" t="inlineStr">
        <is>
          <t>Cohort 1</t>
        </is>
      </c>
      <c r="G4" t="inlineStr"/>
      <c r="H4" t="inlineStr"/>
      <c r="I4" t="n">
        <v>6</v>
      </c>
    </row>
    <row r="5">
      <c r="A5" t="inlineStr">
        <is>
          <t>D. Cano</t>
        </is>
      </c>
      <c r="B5" t="inlineStr">
        <is>
          <t>PGY2</t>
        </is>
      </c>
      <c r="C5" t="inlineStr">
        <is>
          <t>Y</t>
        </is>
      </c>
      <c r="D5" t="inlineStr">
        <is>
          <t>N</t>
        </is>
      </c>
      <c r="E5" t="inlineStr">
        <is>
          <t>N</t>
        </is>
      </c>
      <c r="F5" t="inlineStr">
        <is>
          <t>Cohort 1</t>
        </is>
      </c>
      <c r="G5" t="inlineStr"/>
      <c r="H5" t="inlineStr"/>
      <c r="I5" t="n">
        <v>7</v>
      </c>
    </row>
    <row r="6">
      <c r="A6" t="inlineStr">
        <is>
          <t>J. Melendez</t>
        </is>
      </c>
      <c r="B6" t="inlineStr">
        <is>
          <t>PGY3</t>
        </is>
      </c>
      <c r="C6" t="inlineStr">
        <is>
          <t>Y</t>
        </is>
      </c>
      <c r="D6" t="inlineStr">
        <is>
          <t>N</t>
        </is>
      </c>
      <c r="E6" t="inlineStr">
        <is>
          <t>N</t>
        </is>
      </c>
      <c r="F6" t="inlineStr">
        <is>
          <t>Cohort 1</t>
        </is>
      </c>
      <c r="G6" t="inlineStr"/>
      <c r="H6" t="inlineStr"/>
      <c r="I6" t="n">
        <v>8</v>
      </c>
    </row>
    <row r="7">
      <c r="A7" t="inlineStr">
        <is>
          <t>C. Correa</t>
        </is>
      </c>
      <c r="B7" t="inlineStr">
        <is>
          <t>PGY3</t>
        </is>
      </c>
      <c r="C7" t="inlineStr">
        <is>
          <t>Y</t>
        </is>
      </c>
      <c r="D7" t="inlineStr">
        <is>
          <t>N</t>
        </is>
      </c>
      <c r="E7" t="inlineStr">
        <is>
          <t>N</t>
        </is>
      </c>
      <c r="F7" t="inlineStr">
        <is>
          <t>Cohort 1</t>
        </is>
      </c>
      <c r="G7" t="inlineStr"/>
      <c r="H7" t="inlineStr"/>
      <c r="I7" t="n">
        <v>9</v>
      </c>
    </row>
    <row r="8">
      <c r="A8" t="inlineStr">
        <is>
          <t>L. Diaz-Fajardo</t>
        </is>
      </c>
      <c r="B8" t="inlineStr">
        <is>
          <t>PGY3</t>
        </is>
      </c>
      <c r="C8" t="inlineStr">
        <is>
          <t>Y</t>
        </is>
      </c>
      <c r="D8" t="inlineStr">
        <is>
          <t>N</t>
        </is>
      </c>
      <c r="E8" t="inlineStr">
        <is>
          <t>N</t>
        </is>
      </c>
      <c r="F8" t="inlineStr">
        <is>
          <t>Cohort 1</t>
        </is>
      </c>
      <c r="G8" t="inlineStr"/>
      <c r="H8" t="inlineStr"/>
      <c r="I8" t="n">
        <v>10</v>
      </c>
    </row>
    <row r="9">
      <c r="A9" t="inlineStr">
        <is>
          <t>J. Garcia-Blaya</t>
        </is>
      </c>
      <c r="B9" t="inlineStr">
        <is>
          <t>PGY3</t>
        </is>
      </c>
      <c r="C9" t="inlineStr">
        <is>
          <t>Y</t>
        </is>
      </c>
      <c r="D9" t="inlineStr">
        <is>
          <t>N</t>
        </is>
      </c>
      <c r="E9" t="inlineStr">
        <is>
          <t>N</t>
        </is>
      </c>
      <c r="F9" t="inlineStr">
        <is>
          <t>Cohort 1</t>
        </is>
      </c>
      <c r="G9" t="inlineStr"/>
      <c r="H9" t="inlineStr"/>
      <c r="I9" t="n">
        <v>11</v>
      </c>
    </row>
    <row r="10">
      <c r="A10" t="inlineStr">
        <is>
          <t>J. Jhooty</t>
        </is>
      </c>
      <c r="B10" t="inlineStr">
        <is>
          <t>PGY1</t>
        </is>
      </c>
      <c r="C10" t="inlineStr">
        <is>
          <t>N</t>
        </is>
      </c>
      <c r="D10" t="inlineStr">
        <is>
          <t>Y</t>
        </is>
      </c>
      <c r="E10" t="inlineStr">
        <is>
          <t>N</t>
        </is>
      </c>
      <c r="F10" t="inlineStr">
        <is>
          <t>Cohort 2</t>
        </is>
      </c>
      <c r="G10" t="inlineStr"/>
      <c r="H10" t="inlineStr"/>
      <c r="I10" t="n">
        <v>12</v>
      </c>
    </row>
    <row r="11">
      <c r="A11" t="inlineStr">
        <is>
          <t>M. Artavia</t>
        </is>
      </c>
      <c r="B11" t="inlineStr">
        <is>
          <t>PGY1</t>
        </is>
      </c>
      <c r="C11" t="inlineStr">
        <is>
          <t>N</t>
        </is>
      </c>
      <c r="D11" t="inlineStr">
        <is>
          <t>Y</t>
        </is>
      </c>
      <c r="E11" t="inlineStr">
        <is>
          <t>N</t>
        </is>
      </c>
      <c r="F11" t="inlineStr">
        <is>
          <t>Cohort 2</t>
        </is>
      </c>
      <c r="G11" t="inlineStr"/>
      <c r="H11" t="inlineStr"/>
      <c r="I11" t="n">
        <v>13</v>
      </c>
    </row>
    <row r="12">
      <c r="A12" t="inlineStr">
        <is>
          <t>M. Delgadillo</t>
        </is>
      </c>
      <c r="B12" t="inlineStr">
        <is>
          <t>PGY1</t>
        </is>
      </c>
      <c r="C12" t="inlineStr">
        <is>
          <t>N</t>
        </is>
      </c>
      <c r="D12" t="inlineStr">
        <is>
          <t>Y</t>
        </is>
      </c>
      <c r="E12" t="inlineStr">
        <is>
          <t>N</t>
        </is>
      </c>
      <c r="F12" t="inlineStr">
        <is>
          <t>Cohort 2</t>
        </is>
      </c>
      <c r="G12" t="inlineStr"/>
      <c r="H12" t="inlineStr"/>
      <c r="I12" t="n">
        <v>14</v>
      </c>
    </row>
    <row r="13">
      <c r="A13" t="inlineStr">
        <is>
          <t>K. Gonzalez</t>
        </is>
      </c>
      <c r="B13" t="inlineStr">
        <is>
          <t>PGY1</t>
        </is>
      </c>
      <c r="C13" t="inlineStr">
        <is>
          <t>N</t>
        </is>
      </c>
      <c r="D13" t="inlineStr">
        <is>
          <t>Y</t>
        </is>
      </c>
      <c r="E13" t="inlineStr">
        <is>
          <t>N</t>
        </is>
      </c>
      <c r="F13" t="inlineStr">
        <is>
          <t>Cohort 2</t>
        </is>
      </c>
      <c r="G13" t="inlineStr"/>
      <c r="H13" t="inlineStr"/>
      <c r="I13" t="n">
        <v>15</v>
      </c>
    </row>
    <row r="14">
      <c r="A14" t="inlineStr">
        <is>
          <t>C. Ayala</t>
        </is>
      </c>
      <c r="B14" t="inlineStr">
        <is>
          <t>PGY2</t>
        </is>
      </c>
      <c r="C14" t="inlineStr">
        <is>
          <t>Y</t>
        </is>
      </c>
      <c r="D14" t="inlineStr">
        <is>
          <t>N</t>
        </is>
      </c>
      <c r="E14" t="inlineStr">
        <is>
          <t>N</t>
        </is>
      </c>
      <c r="F14" t="inlineStr">
        <is>
          <t>Cohort 2</t>
        </is>
      </c>
      <c r="G14" t="inlineStr"/>
      <c r="H14" t="inlineStr"/>
      <c r="I14" t="n">
        <v>16</v>
      </c>
    </row>
    <row r="15">
      <c r="A15" t="inlineStr">
        <is>
          <t>K. Vallejo</t>
        </is>
      </c>
      <c r="B15" t="inlineStr">
        <is>
          <t>PGY2</t>
        </is>
      </c>
      <c r="C15" t="inlineStr">
        <is>
          <t>Y</t>
        </is>
      </c>
      <c r="D15" t="inlineStr">
        <is>
          <t>N</t>
        </is>
      </c>
      <c r="E15" t="inlineStr">
        <is>
          <t>N</t>
        </is>
      </c>
      <c r="F15" t="inlineStr">
        <is>
          <t>Cohort 2</t>
        </is>
      </c>
      <c r="G15" t="inlineStr"/>
      <c r="H15" t="inlineStr"/>
      <c r="I15" t="n">
        <v>17</v>
      </c>
    </row>
    <row r="16">
      <c r="A16" t="inlineStr">
        <is>
          <t>A. Silva</t>
        </is>
      </c>
      <c r="B16" t="inlineStr">
        <is>
          <t>PGY3</t>
        </is>
      </c>
      <c r="C16" t="inlineStr">
        <is>
          <t>Y</t>
        </is>
      </c>
      <c r="D16" t="inlineStr">
        <is>
          <t>N</t>
        </is>
      </c>
      <c r="E16" t="inlineStr">
        <is>
          <t>N</t>
        </is>
      </c>
      <c r="F16" t="inlineStr">
        <is>
          <t>Cohort 2</t>
        </is>
      </c>
      <c r="G16" t="inlineStr"/>
      <c r="H16" t="inlineStr"/>
      <c r="I16" t="n">
        <v>18</v>
      </c>
    </row>
    <row r="17">
      <c r="A17" t="inlineStr">
        <is>
          <t>F. Monefeldt</t>
        </is>
      </c>
      <c r="B17" t="inlineStr">
        <is>
          <t>PGY3</t>
        </is>
      </c>
      <c r="C17" t="inlineStr">
        <is>
          <t>Y</t>
        </is>
      </c>
      <c r="D17" t="inlineStr">
        <is>
          <t>N</t>
        </is>
      </c>
      <c r="E17" t="inlineStr">
        <is>
          <t>N</t>
        </is>
      </c>
      <c r="F17" t="inlineStr">
        <is>
          <t>Cohort 2</t>
        </is>
      </c>
      <c r="G17" t="inlineStr"/>
      <c r="H17" t="inlineStr"/>
      <c r="I17" t="n">
        <v>19</v>
      </c>
    </row>
    <row r="18">
      <c r="A18" t="inlineStr">
        <is>
          <t>M. Cruz</t>
        </is>
      </c>
      <c r="B18" t="inlineStr">
        <is>
          <t>PGY1</t>
        </is>
      </c>
      <c r="C18" t="inlineStr">
        <is>
          <t>N</t>
        </is>
      </c>
      <c r="D18" t="inlineStr">
        <is>
          <t>Y</t>
        </is>
      </c>
      <c r="E18" t="inlineStr">
        <is>
          <t>N</t>
        </is>
      </c>
      <c r="F18" t="inlineStr">
        <is>
          <t>Cohort 3</t>
        </is>
      </c>
      <c r="G18" t="inlineStr"/>
      <c r="H18" t="inlineStr"/>
      <c r="I18" t="n">
        <v>20</v>
      </c>
    </row>
    <row r="19">
      <c r="A19" t="inlineStr">
        <is>
          <t>I. Estrada</t>
        </is>
      </c>
      <c r="B19" t="inlineStr">
        <is>
          <t>PGY1</t>
        </is>
      </c>
      <c r="C19" t="inlineStr">
        <is>
          <t>N</t>
        </is>
      </c>
      <c r="D19" t="inlineStr">
        <is>
          <t>Y</t>
        </is>
      </c>
      <c r="E19" t="inlineStr">
        <is>
          <t>N</t>
        </is>
      </c>
      <c r="F19" t="inlineStr">
        <is>
          <t>Cohort 3</t>
        </is>
      </c>
      <c r="G19" t="inlineStr"/>
      <c r="H19" t="inlineStr"/>
      <c r="I19" t="n">
        <v>21</v>
      </c>
    </row>
    <row r="20">
      <c r="A20" t="inlineStr">
        <is>
          <t>J. Cabrera</t>
        </is>
      </c>
      <c r="B20" t="inlineStr">
        <is>
          <t>PGY2</t>
        </is>
      </c>
      <c r="C20" t="inlineStr">
        <is>
          <t>Y</t>
        </is>
      </c>
      <c r="D20" t="inlineStr">
        <is>
          <t>N</t>
        </is>
      </c>
      <c r="E20" t="inlineStr">
        <is>
          <t>N</t>
        </is>
      </c>
      <c r="F20" t="inlineStr">
        <is>
          <t>Cohort 3</t>
        </is>
      </c>
      <c r="G20" t="inlineStr"/>
      <c r="H20" t="inlineStr"/>
      <c r="I20" t="n">
        <v>22</v>
      </c>
    </row>
    <row r="21">
      <c r="A21" t="inlineStr">
        <is>
          <t>J. Perez</t>
        </is>
      </c>
      <c r="B21" t="inlineStr">
        <is>
          <t>PGY2</t>
        </is>
      </c>
      <c r="C21" t="inlineStr">
        <is>
          <t>Y</t>
        </is>
      </c>
      <c r="D21" t="inlineStr">
        <is>
          <t>N</t>
        </is>
      </c>
      <c r="E21" t="inlineStr">
        <is>
          <t>N</t>
        </is>
      </c>
      <c r="F21" t="inlineStr">
        <is>
          <t>Cohort 3</t>
        </is>
      </c>
      <c r="G21" t="inlineStr"/>
      <c r="H21" t="inlineStr"/>
      <c r="I21" t="n">
        <v>23</v>
      </c>
    </row>
    <row r="22">
      <c r="A22" t="inlineStr">
        <is>
          <t>C. Ndigamkong</t>
        </is>
      </c>
      <c r="B22" t="inlineStr">
        <is>
          <t>PGY3</t>
        </is>
      </c>
      <c r="C22" t="inlineStr">
        <is>
          <t>Y</t>
        </is>
      </c>
      <c r="D22" t="inlineStr">
        <is>
          <t>N</t>
        </is>
      </c>
      <c r="E22" t="inlineStr">
        <is>
          <t>N</t>
        </is>
      </c>
      <c r="F22" t="inlineStr">
        <is>
          <t>Cohort 3</t>
        </is>
      </c>
      <c r="G22" t="inlineStr"/>
      <c r="H22" t="inlineStr"/>
      <c r="I22" t="n">
        <v>24</v>
      </c>
    </row>
    <row r="23">
      <c r="A23" t="inlineStr">
        <is>
          <t>C. Fontela</t>
        </is>
      </c>
      <c r="B23" t="inlineStr">
        <is>
          <t>PGY3</t>
        </is>
      </c>
      <c r="C23" t="inlineStr">
        <is>
          <t>Y</t>
        </is>
      </c>
      <c r="D23" t="inlineStr">
        <is>
          <t>N</t>
        </is>
      </c>
      <c r="E23" t="inlineStr">
        <is>
          <t>N</t>
        </is>
      </c>
      <c r="F23" t="inlineStr">
        <is>
          <t>Cohort 3</t>
        </is>
      </c>
      <c r="G23" t="inlineStr"/>
      <c r="H23" t="inlineStr"/>
      <c r="I23" t="n">
        <v>25</v>
      </c>
    </row>
    <row r="24">
      <c r="A24" t="inlineStr">
        <is>
          <t>M. Rodriguez</t>
        </is>
      </c>
      <c r="B24" t="inlineStr">
        <is>
          <t>PGY3</t>
        </is>
      </c>
      <c r="C24" t="inlineStr">
        <is>
          <t>Y</t>
        </is>
      </c>
      <c r="D24" t="inlineStr">
        <is>
          <t>N</t>
        </is>
      </c>
      <c r="E24" t="inlineStr">
        <is>
          <t>N</t>
        </is>
      </c>
      <c r="F24" t="inlineStr">
        <is>
          <t>Cohort 3</t>
        </is>
      </c>
      <c r="G24" t="inlineStr"/>
      <c r="H24" t="inlineStr"/>
      <c r="I24" t="n">
        <v>26</v>
      </c>
    </row>
    <row r="25">
      <c r="A25" t="inlineStr">
        <is>
          <t>G. Curbelo</t>
        </is>
      </c>
      <c r="B25" t="inlineStr">
        <is>
          <t>PGY3</t>
        </is>
      </c>
      <c r="C25" t="inlineStr">
        <is>
          <t>Y</t>
        </is>
      </c>
      <c r="D25" t="inlineStr">
        <is>
          <t>N</t>
        </is>
      </c>
      <c r="E25" t="inlineStr">
        <is>
          <t>N</t>
        </is>
      </c>
      <c r="F25" t="inlineStr">
        <is>
          <t>Cohort 3</t>
        </is>
      </c>
      <c r="G25" t="inlineStr"/>
      <c r="H25" t="inlineStr"/>
      <c r="I25" t="n">
        <v>27</v>
      </c>
    </row>
    <row r="26">
      <c r="A26" t="inlineStr">
        <is>
          <t>J. Diaz</t>
        </is>
      </c>
      <c r="B26" t="inlineStr">
        <is>
          <t>PGY3</t>
        </is>
      </c>
      <c r="C26" t="inlineStr">
        <is>
          <t>Y</t>
        </is>
      </c>
      <c r="D26" t="inlineStr">
        <is>
          <t>N</t>
        </is>
      </c>
      <c r="E26" t="inlineStr">
        <is>
          <t>N</t>
        </is>
      </c>
      <c r="F26" t="inlineStr">
        <is>
          <t>Cohort 3</t>
        </is>
      </c>
      <c r="G26" t="inlineStr"/>
      <c r="H26" t="inlineStr"/>
      <c r="I26" t="n">
        <v>28</v>
      </c>
    </row>
    <row r="27">
      <c r="A27" t="inlineStr">
        <is>
          <t>M. Rivas</t>
        </is>
      </c>
      <c r="B27" t="inlineStr">
        <is>
          <t>PGY1</t>
        </is>
      </c>
      <c r="C27" t="inlineStr">
        <is>
          <t>N</t>
        </is>
      </c>
      <c r="D27" t="inlineStr">
        <is>
          <t>Y</t>
        </is>
      </c>
      <c r="E27" t="inlineStr">
        <is>
          <t>N</t>
        </is>
      </c>
      <c r="F27" t="inlineStr">
        <is>
          <t>Cohort 4</t>
        </is>
      </c>
      <c r="G27" t="inlineStr"/>
      <c r="H27" t="inlineStr"/>
      <c r="I27" t="n">
        <v>29</v>
      </c>
    </row>
    <row r="28">
      <c r="A28" t="inlineStr">
        <is>
          <t>R. Bernal</t>
        </is>
      </c>
      <c r="B28" t="inlineStr">
        <is>
          <t>PGY1</t>
        </is>
      </c>
      <c r="C28" t="inlineStr">
        <is>
          <t>N</t>
        </is>
      </c>
      <c r="D28" t="inlineStr">
        <is>
          <t>Y</t>
        </is>
      </c>
      <c r="E28" t="inlineStr">
        <is>
          <t>N</t>
        </is>
      </c>
      <c r="F28" t="inlineStr">
        <is>
          <t>Cohort 4</t>
        </is>
      </c>
      <c r="G28" t="inlineStr"/>
      <c r="H28" t="inlineStr"/>
      <c r="I28" t="n">
        <v>30</v>
      </c>
    </row>
    <row r="29">
      <c r="A29" t="inlineStr">
        <is>
          <t>A. Gonzalez</t>
        </is>
      </c>
      <c r="B29" t="inlineStr">
        <is>
          <t>PGY1</t>
        </is>
      </c>
      <c r="C29" t="inlineStr">
        <is>
          <t>N</t>
        </is>
      </c>
      <c r="D29" t="inlineStr">
        <is>
          <t>Y</t>
        </is>
      </c>
      <c r="E29" t="inlineStr">
        <is>
          <t>N</t>
        </is>
      </c>
      <c r="F29" t="inlineStr">
        <is>
          <t>Cohort 4</t>
        </is>
      </c>
      <c r="G29" t="inlineStr"/>
      <c r="H29" t="inlineStr"/>
      <c r="I29" t="n">
        <v>31</v>
      </c>
    </row>
    <row r="30">
      <c r="A30" t="inlineStr">
        <is>
          <t>N. Monroig</t>
        </is>
      </c>
      <c r="B30" t="inlineStr">
        <is>
          <t>PGY1</t>
        </is>
      </c>
      <c r="C30" t="inlineStr">
        <is>
          <t>N</t>
        </is>
      </c>
      <c r="D30" t="inlineStr">
        <is>
          <t>Y</t>
        </is>
      </c>
      <c r="E30" t="inlineStr">
        <is>
          <t>N</t>
        </is>
      </c>
      <c r="F30" t="inlineStr">
        <is>
          <t>Cohort 4</t>
        </is>
      </c>
      <c r="G30" t="inlineStr"/>
      <c r="H30" t="inlineStr"/>
      <c r="I30" t="n">
        <v>32</v>
      </c>
    </row>
    <row r="31">
      <c r="A31" t="inlineStr">
        <is>
          <t>E. Mujica</t>
        </is>
      </c>
      <c r="B31" t="inlineStr">
        <is>
          <t>PGY2</t>
        </is>
      </c>
      <c r="C31" t="inlineStr">
        <is>
          <t>Y</t>
        </is>
      </c>
      <c r="D31" t="inlineStr">
        <is>
          <t>N</t>
        </is>
      </c>
      <c r="E31" t="inlineStr">
        <is>
          <t>N</t>
        </is>
      </c>
      <c r="F31" t="inlineStr">
        <is>
          <t>Cohort 4</t>
        </is>
      </c>
      <c r="G31" t="inlineStr"/>
      <c r="H31" t="inlineStr"/>
      <c r="I31" t="n">
        <v>33</v>
      </c>
    </row>
    <row r="32">
      <c r="A32" t="inlineStr">
        <is>
          <t>Y. Oliva</t>
        </is>
      </c>
      <c r="B32" t="inlineStr">
        <is>
          <t>PGY2</t>
        </is>
      </c>
      <c r="C32" t="inlineStr">
        <is>
          <t>Y</t>
        </is>
      </c>
      <c r="D32" t="inlineStr">
        <is>
          <t>N</t>
        </is>
      </c>
      <c r="E32" t="inlineStr">
        <is>
          <t>N</t>
        </is>
      </c>
      <c r="F32" t="inlineStr">
        <is>
          <t>Cohort 4</t>
        </is>
      </c>
      <c r="G32" t="inlineStr"/>
      <c r="H32" t="inlineStr"/>
      <c r="I32" t="n">
        <v>34</v>
      </c>
    </row>
    <row r="33">
      <c r="A33" t="inlineStr">
        <is>
          <t>A. Perez-Sanz</t>
        </is>
      </c>
      <c r="B33" t="inlineStr">
        <is>
          <t>PGY2</t>
        </is>
      </c>
      <c r="C33" t="inlineStr">
        <is>
          <t>Y</t>
        </is>
      </c>
      <c r="D33" t="inlineStr">
        <is>
          <t>N</t>
        </is>
      </c>
      <c r="E33" t="inlineStr">
        <is>
          <t>N</t>
        </is>
      </c>
      <c r="F33" t="inlineStr">
        <is>
          <t>Cohort 4</t>
        </is>
      </c>
      <c r="G33" t="inlineStr"/>
      <c r="H33" t="inlineStr"/>
      <c r="I33" t="n">
        <v>35</v>
      </c>
    </row>
    <row r="34">
      <c r="A34" t="inlineStr">
        <is>
          <t>O. Melendez</t>
        </is>
      </c>
      <c r="B34" t="inlineStr">
        <is>
          <t>PGY2</t>
        </is>
      </c>
      <c r="C34" t="inlineStr">
        <is>
          <t>Y</t>
        </is>
      </c>
      <c r="D34" t="inlineStr">
        <is>
          <t>N</t>
        </is>
      </c>
      <c r="E34" t="inlineStr">
        <is>
          <t>N</t>
        </is>
      </c>
      <c r="F34" t="inlineStr">
        <is>
          <t>Cohort 4</t>
        </is>
      </c>
      <c r="G34" t="inlineStr"/>
      <c r="H34" t="inlineStr"/>
      <c r="I34" t="n">
        <v>36</v>
      </c>
    </row>
    <row r="35">
      <c r="A35" t="inlineStr">
        <is>
          <t>G. Barciela</t>
        </is>
      </c>
      <c r="B35" t="inlineStr">
        <is>
          <t>PGY3</t>
        </is>
      </c>
      <c r="C35" t="inlineStr">
        <is>
          <t>Y</t>
        </is>
      </c>
      <c r="D35" t="inlineStr">
        <is>
          <t>N</t>
        </is>
      </c>
      <c r="E35" t="inlineStr">
        <is>
          <t>N</t>
        </is>
      </c>
      <c r="F35" t="inlineStr">
        <is>
          <t>Cohort 4</t>
        </is>
      </c>
      <c r="G35" t="inlineStr"/>
      <c r="H35" t="inlineStr"/>
      <c r="I35" t="n">
        <v>37</v>
      </c>
    </row>
    <row r="36">
      <c r="A36" t="inlineStr">
        <is>
          <t>K. Sanchez</t>
        </is>
      </c>
      <c r="B36" t="inlineStr">
        <is>
          <t>PGY3</t>
        </is>
      </c>
      <c r="C36" t="inlineStr">
        <is>
          <t>Y</t>
        </is>
      </c>
      <c r="D36" t="inlineStr">
        <is>
          <t>N</t>
        </is>
      </c>
      <c r="E36" t="inlineStr">
        <is>
          <t>N</t>
        </is>
      </c>
      <c r="F36" t="inlineStr">
        <is>
          <t>Cohort 4</t>
        </is>
      </c>
      <c r="G36" t="inlineStr"/>
      <c r="H36" t="inlineStr"/>
      <c r="I36" t="n">
        <v>38</v>
      </c>
    </row>
    <row r="37">
      <c r="A37" t="inlineStr">
        <is>
          <t>C. Tucci</t>
        </is>
      </c>
      <c r="B37" t="inlineStr">
        <is>
          <t>PGY1</t>
        </is>
      </c>
      <c r="C37" t="inlineStr">
        <is>
          <t>N</t>
        </is>
      </c>
      <c r="D37" t="inlineStr">
        <is>
          <t>Y</t>
        </is>
      </c>
      <c r="E37" t="inlineStr">
        <is>
          <t>N</t>
        </is>
      </c>
      <c r="F37" t="inlineStr">
        <is>
          <t>Cohort 5</t>
        </is>
      </c>
      <c r="G37" t="inlineStr"/>
      <c r="H37" t="inlineStr"/>
      <c r="I37" t="n">
        <v>39</v>
      </c>
    </row>
    <row r="38">
      <c r="A38" t="inlineStr">
        <is>
          <t>L. Cordoba</t>
        </is>
      </c>
      <c r="B38" t="inlineStr">
        <is>
          <t>PGY1</t>
        </is>
      </c>
      <c r="C38" t="inlineStr">
        <is>
          <t>N</t>
        </is>
      </c>
      <c r="D38" t="inlineStr">
        <is>
          <t>Y</t>
        </is>
      </c>
      <c r="E38" t="inlineStr">
        <is>
          <t>N</t>
        </is>
      </c>
      <c r="F38" t="inlineStr">
        <is>
          <t>Cohort 5</t>
        </is>
      </c>
      <c r="G38" t="inlineStr"/>
      <c r="H38" t="inlineStr"/>
      <c r="I38" t="n">
        <v>40</v>
      </c>
    </row>
    <row r="39">
      <c r="A39" t="inlineStr">
        <is>
          <t>M. Osorio</t>
        </is>
      </c>
      <c r="B39" t="inlineStr">
        <is>
          <t>PGY2</t>
        </is>
      </c>
      <c r="C39" t="inlineStr">
        <is>
          <t>Y</t>
        </is>
      </c>
      <c r="D39" t="inlineStr">
        <is>
          <t>N</t>
        </is>
      </c>
      <c r="E39" t="inlineStr">
        <is>
          <t>N</t>
        </is>
      </c>
      <c r="F39" t="inlineStr">
        <is>
          <t>Cohort 5</t>
        </is>
      </c>
      <c r="G39" t="inlineStr"/>
      <c r="H39" t="inlineStr"/>
      <c r="I39" t="n">
        <v>41</v>
      </c>
    </row>
    <row r="40">
      <c r="A40" t="inlineStr">
        <is>
          <t>H. Hussain</t>
        </is>
      </c>
      <c r="B40" t="inlineStr">
        <is>
          <t>PGY2</t>
        </is>
      </c>
      <c r="C40" t="inlineStr">
        <is>
          <t>Y</t>
        </is>
      </c>
      <c r="D40" t="inlineStr">
        <is>
          <t>N</t>
        </is>
      </c>
      <c r="E40" t="inlineStr">
        <is>
          <t>N</t>
        </is>
      </c>
      <c r="F40" t="inlineStr">
        <is>
          <t>Cohort 5</t>
        </is>
      </c>
      <c r="G40" t="inlineStr"/>
      <c r="H40" t="inlineStr"/>
      <c r="I40" t="n">
        <v>42</v>
      </c>
    </row>
    <row r="41">
      <c r="A41" t="inlineStr">
        <is>
          <t>M. De Mello</t>
        </is>
      </c>
      <c r="B41" t="inlineStr">
        <is>
          <t>PGY2</t>
        </is>
      </c>
      <c r="C41" t="inlineStr">
        <is>
          <t>Y</t>
        </is>
      </c>
      <c r="D41" t="inlineStr">
        <is>
          <t>N</t>
        </is>
      </c>
      <c r="E41" t="inlineStr">
        <is>
          <t>N</t>
        </is>
      </c>
      <c r="F41" t="inlineStr">
        <is>
          <t>Cohort 5</t>
        </is>
      </c>
      <c r="G41" t="inlineStr"/>
      <c r="H41" t="inlineStr"/>
      <c r="I41" t="n">
        <v>43</v>
      </c>
    </row>
    <row r="42">
      <c r="A42" t="inlineStr">
        <is>
          <t>A. Pueyo</t>
        </is>
      </c>
      <c r="B42" t="inlineStr">
        <is>
          <t>PGY2</t>
        </is>
      </c>
      <c r="C42" t="inlineStr">
        <is>
          <t>Y</t>
        </is>
      </c>
      <c r="D42" t="inlineStr">
        <is>
          <t>N</t>
        </is>
      </c>
      <c r="E42" t="inlineStr">
        <is>
          <t>N</t>
        </is>
      </c>
      <c r="F42" t="inlineStr">
        <is>
          <t>Cohort 5</t>
        </is>
      </c>
      <c r="G42" t="inlineStr"/>
      <c r="H42" t="inlineStr"/>
      <c r="I42" t="n">
        <v>44</v>
      </c>
    </row>
    <row r="43">
      <c r="A43" t="inlineStr">
        <is>
          <t>A. Ortiz</t>
        </is>
      </c>
      <c r="B43" t="inlineStr">
        <is>
          <t>PGY3</t>
        </is>
      </c>
      <c r="C43" t="inlineStr">
        <is>
          <t>Y</t>
        </is>
      </c>
      <c r="D43" t="inlineStr">
        <is>
          <t>N</t>
        </is>
      </c>
      <c r="E43" t="inlineStr">
        <is>
          <t>N</t>
        </is>
      </c>
      <c r="F43" t="inlineStr">
        <is>
          <t>Cohort 5</t>
        </is>
      </c>
      <c r="G43" t="inlineStr"/>
      <c r="H43" t="inlineStr"/>
      <c r="I43" t="n">
        <v>45</v>
      </c>
    </row>
    <row r="44">
      <c r="A44" t="inlineStr">
        <is>
          <t>A. Lopez</t>
        </is>
      </c>
      <c r="B44" t="inlineStr">
        <is>
          <t>PGY3</t>
        </is>
      </c>
      <c r="C44" t="inlineStr">
        <is>
          <t>Y</t>
        </is>
      </c>
      <c r="D44" t="inlineStr">
        <is>
          <t>N</t>
        </is>
      </c>
      <c r="E44" t="inlineStr">
        <is>
          <t>N</t>
        </is>
      </c>
      <c r="F44" t="inlineStr">
        <is>
          <t>Cohort 5</t>
        </is>
      </c>
      <c r="G44" t="inlineStr"/>
      <c r="H44" t="inlineStr"/>
      <c r="I44" t="n">
        <v>46</v>
      </c>
    </row>
    <row r="45">
      <c r="A45" t="inlineStr">
        <is>
          <t>J. Kourkoumelis</t>
        </is>
      </c>
      <c r="B45" t="inlineStr">
        <is>
          <t>TY</t>
        </is>
      </c>
      <c r="C45" t="inlineStr">
        <is>
          <t>N</t>
        </is>
      </c>
      <c r="D45" t="inlineStr">
        <is>
          <t>Y</t>
        </is>
      </c>
      <c r="E45" t="inlineStr">
        <is>
          <t>Y</t>
        </is>
      </c>
      <c r="F45" t="inlineStr"/>
      <c r="G45" t="inlineStr"/>
      <c r="H45" t="inlineStr"/>
      <c r="I45" t="n">
        <v>49</v>
      </c>
    </row>
    <row r="46">
      <c r="A46" t="inlineStr">
        <is>
          <t>F. Mendez</t>
        </is>
      </c>
      <c r="B46" t="inlineStr">
        <is>
          <t>TY</t>
        </is>
      </c>
      <c r="C46" t="inlineStr">
        <is>
          <t>N</t>
        </is>
      </c>
      <c r="D46" t="inlineStr">
        <is>
          <t>Y</t>
        </is>
      </c>
      <c r="E46" t="inlineStr">
        <is>
          <t>Y</t>
        </is>
      </c>
      <c r="F46" t="inlineStr"/>
      <c r="G46" t="inlineStr"/>
      <c r="H46" t="inlineStr"/>
      <c r="I46" t="n">
        <v>50</v>
      </c>
    </row>
    <row r="47">
      <c r="A47" t="inlineStr">
        <is>
          <t>B. To</t>
        </is>
      </c>
      <c r="B47" t="inlineStr">
        <is>
          <t>TY</t>
        </is>
      </c>
      <c r="C47" t="inlineStr">
        <is>
          <t>N</t>
        </is>
      </c>
      <c r="D47" t="inlineStr">
        <is>
          <t>Y</t>
        </is>
      </c>
      <c r="E47" t="inlineStr">
        <is>
          <t>Y</t>
        </is>
      </c>
      <c r="F47" t="inlineStr"/>
      <c r="G47" t="inlineStr"/>
      <c r="H47" t="inlineStr"/>
      <c r="I47" t="n">
        <v>51</v>
      </c>
    </row>
    <row r="48">
      <c r="A48" t="inlineStr">
        <is>
          <t>O. Conde</t>
        </is>
      </c>
      <c r="B48" t="inlineStr">
        <is>
          <t>TY</t>
        </is>
      </c>
      <c r="C48" t="inlineStr">
        <is>
          <t>N</t>
        </is>
      </c>
      <c r="D48" t="inlineStr">
        <is>
          <t>Y</t>
        </is>
      </c>
      <c r="E48" t="inlineStr">
        <is>
          <t>Y</t>
        </is>
      </c>
      <c r="F48" t="inlineStr"/>
      <c r="G48" t="inlineStr"/>
      <c r="H48" t="inlineStr"/>
      <c r="I48" t="n">
        <v>52</v>
      </c>
    </row>
    <row r="49">
      <c r="A49" t="inlineStr">
        <is>
          <t>A. Dereje</t>
        </is>
      </c>
      <c r="B49" t="inlineStr">
        <is>
          <t>TY</t>
        </is>
      </c>
      <c r="C49" t="inlineStr">
        <is>
          <t>N</t>
        </is>
      </c>
      <c r="D49" t="inlineStr">
        <is>
          <t>Y</t>
        </is>
      </c>
      <c r="E49" t="inlineStr">
        <is>
          <t>Y</t>
        </is>
      </c>
      <c r="F49" t="inlineStr"/>
      <c r="G49" t="inlineStr"/>
      <c r="H49" t="inlineStr"/>
      <c r="I49" t="n">
        <v>53</v>
      </c>
    </row>
    <row r="50">
      <c r="A50" t="inlineStr">
        <is>
          <t>T. Araujo</t>
        </is>
      </c>
      <c r="B50" t="inlineStr">
        <is>
          <t>TY</t>
        </is>
      </c>
      <c r="C50" t="inlineStr">
        <is>
          <t>N</t>
        </is>
      </c>
      <c r="D50" t="inlineStr">
        <is>
          <t>Y</t>
        </is>
      </c>
      <c r="E50" t="inlineStr">
        <is>
          <t>Y</t>
        </is>
      </c>
      <c r="F50" t="inlineStr"/>
      <c r="G50" t="inlineStr"/>
      <c r="H50" t="inlineStr"/>
      <c r="I50" t="n">
        <v>54</v>
      </c>
    </row>
    <row r="51">
      <c r="A51" t="inlineStr">
        <is>
          <t>C. Pandya</t>
        </is>
      </c>
      <c r="B51" t="inlineStr">
        <is>
          <t>TY</t>
        </is>
      </c>
      <c r="C51" t="inlineStr">
        <is>
          <t>N</t>
        </is>
      </c>
      <c r="D51" t="inlineStr">
        <is>
          <t>Y</t>
        </is>
      </c>
      <c r="E51" t="inlineStr">
        <is>
          <t>Y</t>
        </is>
      </c>
      <c r="F51" t="inlineStr"/>
      <c r="G51" t="inlineStr"/>
      <c r="H51" t="inlineStr"/>
      <c r="I51" t="n">
        <v>55</v>
      </c>
    </row>
    <row r="52">
      <c r="A52" t="inlineStr">
        <is>
          <t>D. Rente</t>
        </is>
      </c>
      <c r="B52" t="inlineStr">
        <is>
          <t>TY</t>
        </is>
      </c>
      <c r="C52" t="inlineStr">
        <is>
          <t>N</t>
        </is>
      </c>
      <c r="D52" t="inlineStr">
        <is>
          <t>Y</t>
        </is>
      </c>
      <c r="E52" t="inlineStr">
        <is>
          <t>Y</t>
        </is>
      </c>
      <c r="F52" t="inlineStr"/>
      <c r="G52" t="inlineStr"/>
      <c r="H52" t="inlineStr"/>
      <c r="I52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PGY</t>
        </is>
      </c>
      <c r="B1" t="inlineStr">
        <is>
          <t>Category</t>
        </is>
      </c>
      <c r="C1" t="inlineStr">
        <is>
          <t>RequiredWeeks</t>
        </is>
      </c>
      <c r="D1" t="inlineStr">
        <is>
          <t>MinWeeks</t>
        </is>
      </c>
      <c r="E1" t="inlineStr">
        <is>
          <t>MaxWeeks</t>
        </is>
      </c>
      <c r="F1" t="inlineStr">
        <is>
          <t>IsMandatory</t>
        </is>
      </c>
      <c r="G1" t="inlineStr">
        <is>
          <t>Notes</t>
        </is>
      </c>
    </row>
    <row r="2">
      <c r="A2" t="inlineStr">
        <is>
          <t>PGY1</t>
        </is>
      </c>
      <c r="B2" t="inlineStr">
        <is>
          <t>ICU</t>
        </is>
      </c>
      <c r="C2" t="n">
        <v>8</v>
      </c>
      <c r="F2" t="inlineStr">
        <is>
          <t>N</t>
        </is>
      </c>
      <c r="G2" t="inlineStr">
        <is>
          <t>Day + Night combined</t>
        </is>
      </c>
    </row>
    <row r="3">
      <c r="A3" t="inlineStr">
        <is>
          <t>PGY1</t>
        </is>
      </c>
      <c r="B3" t="inlineStr">
        <is>
          <t>FLOORS</t>
        </is>
      </c>
      <c r="C3" t="n">
        <v>20</v>
      </c>
      <c r="F3" t="inlineStr">
        <is>
          <t>N</t>
        </is>
      </c>
      <c r="G3" t="inlineStr">
        <is>
          <t>A/B/C/D/G + NF +/- Swing</t>
        </is>
      </c>
    </row>
    <row r="4">
      <c r="A4" t="inlineStr">
        <is>
          <t>PGY1</t>
        </is>
      </c>
      <c r="B4" t="inlineStr">
        <is>
          <t>CLINIC</t>
        </is>
      </c>
      <c r="C4" t="n">
        <v>14</v>
      </c>
      <c r="F4" t="inlineStr">
        <is>
          <t>N</t>
        </is>
      </c>
      <c r="G4" t="inlineStr"/>
    </row>
    <row r="5">
      <c r="A5" t="inlineStr">
        <is>
          <t>PGY1</t>
        </is>
      </c>
      <c r="B5" t="inlineStr">
        <is>
          <t>CARDIO</t>
        </is>
      </c>
      <c r="C5" t="n">
        <v>2</v>
      </c>
      <c r="F5" t="inlineStr">
        <is>
          <t>N</t>
        </is>
      </c>
      <c r="G5" t="inlineStr"/>
    </row>
    <row r="6">
      <c r="A6" t="inlineStr">
        <is>
          <t>PGY1</t>
        </is>
      </c>
      <c r="B6" t="inlineStr">
        <is>
          <t>ID</t>
        </is>
      </c>
      <c r="C6" t="n">
        <v>2</v>
      </c>
      <c r="F6" t="inlineStr">
        <is>
          <t>N</t>
        </is>
      </c>
      <c r="G6" t="inlineStr"/>
    </row>
    <row r="7">
      <c r="A7" t="inlineStr">
        <is>
          <t>PGY1</t>
        </is>
      </c>
      <c r="B7" t="inlineStr">
        <is>
          <t>ED</t>
        </is>
      </c>
      <c r="C7" t="n">
        <v>2</v>
      </c>
      <c r="F7" t="inlineStr">
        <is>
          <t>N</t>
        </is>
      </c>
      <c r="G7" t="inlineStr"/>
    </row>
    <row r="8">
      <c r="A8" t="inlineStr">
        <is>
          <t>PGY1</t>
        </is>
      </c>
      <c r="B8" t="inlineStr">
        <is>
          <t>VACATION</t>
        </is>
      </c>
      <c r="C8" t="n">
        <v>4</v>
      </c>
      <c r="F8" t="inlineStr">
        <is>
          <t>N</t>
        </is>
      </c>
      <c r="G8" t="inlineStr"/>
    </row>
    <row r="9">
      <c r="A9" t="inlineStr">
        <is>
          <t>PGY2</t>
        </is>
      </c>
      <c r="B9" t="inlineStr">
        <is>
          <t>ICU</t>
        </is>
      </c>
      <c r="C9" t="n">
        <v>8</v>
      </c>
      <c r="F9" t="inlineStr">
        <is>
          <t>N</t>
        </is>
      </c>
      <c r="G9" t="inlineStr"/>
    </row>
    <row r="10">
      <c r="A10" t="inlineStr">
        <is>
          <t>PGY2</t>
        </is>
      </c>
      <c r="B10" t="inlineStr">
        <is>
          <t>FLOORS</t>
        </is>
      </c>
      <c r="C10" t="n">
        <v>16</v>
      </c>
      <c r="F10" t="inlineStr">
        <is>
          <t>N</t>
        </is>
      </c>
      <c r="G10" t="inlineStr"/>
    </row>
    <row r="11">
      <c r="A11" t="inlineStr">
        <is>
          <t>PGY2</t>
        </is>
      </c>
      <c r="B11" t="inlineStr">
        <is>
          <t>CLINIC</t>
        </is>
      </c>
      <c r="C11" t="n">
        <v>14</v>
      </c>
      <c r="F11" t="inlineStr">
        <is>
          <t>N</t>
        </is>
      </c>
      <c r="G11" t="inlineStr"/>
    </row>
    <row r="12">
      <c r="A12" t="inlineStr">
        <is>
          <t>PGY2</t>
        </is>
      </c>
      <c r="B12" t="inlineStr">
        <is>
          <t>CARDIO</t>
        </is>
      </c>
      <c r="C12" t="n">
        <v>4</v>
      </c>
      <c r="F12" t="inlineStr">
        <is>
          <t>N</t>
        </is>
      </c>
      <c r="G12" t="inlineStr"/>
    </row>
    <row r="13">
      <c r="A13" t="inlineStr">
        <is>
          <t>PGY2</t>
        </is>
      </c>
      <c r="B13" t="inlineStr">
        <is>
          <t>ID</t>
        </is>
      </c>
      <c r="C13" t="n">
        <v>2</v>
      </c>
      <c r="F13" t="inlineStr">
        <is>
          <t>N</t>
        </is>
      </c>
      <c r="G13" t="inlineStr"/>
    </row>
    <row r="14">
      <c r="A14" t="inlineStr">
        <is>
          <t>PGY2</t>
        </is>
      </c>
      <c r="B14" t="inlineStr">
        <is>
          <t>ED</t>
        </is>
      </c>
      <c r="C14" t="n">
        <v>2</v>
      </c>
      <c r="F14" t="inlineStr">
        <is>
          <t>N</t>
        </is>
      </c>
      <c r="G14" t="inlineStr"/>
    </row>
    <row r="15">
      <c r="A15" t="inlineStr">
        <is>
          <t>PGY2</t>
        </is>
      </c>
      <c r="B15" t="inlineStr">
        <is>
          <t>NEURO</t>
        </is>
      </c>
      <c r="C15" t="n">
        <v>2</v>
      </c>
      <c r="F15" t="inlineStr">
        <is>
          <t>N</t>
        </is>
      </c>
      <c r="G15" t="inlineStr"/>
    </row>
    <row r="16">
      <c r="A16" t="inlineStr">
        <is>
          <t>PGY2</t>
        </is>
      </c>
      <c r="B16" t="inlineStr">
        <is>
          <t>VACATION</t>
        </is>
      </c>
      <c r="C16" t="n">
        <v>4</v>
      </c>
      <c r="F16" t="inlineStr">
        <is>
          <t>N</t>
        </is>
      </c>
      <c r="G16" t="inlineStr"/>
    </row>
    <row r="17">
      <c r="A17" t="inlineStr">
        <is>
          <t>PGY3</t>
        </is>
      </c>
      <c r="B17" t="inlineStr">
        <is>
          <t>FLOORS</t>
        </is>
      </c>
      <c r="C17" t="n">
        <v>16</v>
      </c>
      <c r="F17" t="inlineStr">
        <is>
          <t>N</t>
        </is>
      </c>
      <c r="G17" t="inlineStr"/>
    </row>
    <row r="18">
      <c r="A18" t="inlineStr">
        <is>
          <t>PGY3</t>
        </is>
      </c>
      <c r="B18" t="inlineStr">
        <is>
          <t>CLINIC</t>
        </is>
      </c>
      <c r="C18" t="n">
        <v>14</v>
      </c>
      <c r="F18" t="inlineStr">
        <is>
          <t>N</t>
        </is>
      </c>
      <c r="G18" t="inlineStr"/>
    </row>
    <row r="19">
      <c r="A19" t="inlineStr">
        <is>
          <t>PGY3</t>
        </is>
      </c>
      <c r="B19" t="inlineStr">
        <is>
          <t>VACATION</t>
        </is>
      </c>
      <c r="C19" t="n">
        <v>4</v>
      </c>
      <c r="F19" t="inlineStr">
        <is>
          <t>N</t>
        </is>
      </c>
      <c r="G19" t="inlineStr"/>
    </row>
    <row r="20">
      <c r="A20" t="inlineStr">
        <is>
          <t>TY</t>
        </is>
      </c>
      <c r="B20" t="inlineStr">
        <is>
          <t>ICU</t>
        </is>
      </c>
      <c r="C20" t="n">
        <v>8</v>
      </c>
      <c r="F20" t="inlineStr">
        <is>
          <t>N</t>
        </is>
      </c>
      <c r="G20" t="inlineStr"/>
    </row>
    <row r="21">
      <c r="A21" t="inlineStr">
        <is>
          <t>TY</t>
        </is>
      </c>
      <c r="B21" t="inlineStr">
        <is>
          <t>FLOORS</t>
        </is>
      </c>
      <c r="C21" t="n">
        <v>20</v>
      </c>
      <c r="F21" t="inlineStr">
        <is>
          <t>N</t>
        </is>
      </c>
      <c r="G21" t="inlineStr"/>
    </row>
    <row r="22">
      <c r="A22" t="inlineStr">
        <is>
          <t>TY</t>
        </is>
      </c>
      <c r="B22" t="inlineStr">
        <is>
          <t>CLINIC</t>
        </is>
      </c>
      <c r="C22" t="n">
        <v>4</v>
      </c>
      <c r="F22" t="inlineStr">
        <is>
          <t>N</t>
        </is>
      </c>
      <c r="G22" t="inlineStr">
        <is>
          <t>TY clinic lighter</t>
        </is>
      </c>
    </row>
    <row r="23">
      <c r="A23" t="inlineStr">
        <is>
          <t>TY</t>
        </is>
      </c>
      <c r="B23" t="inlineStr">
        <is>
          <t>ID</t>
        </is>
      </c>
      <c r="C23" t="n">
        <v>2</v>
      </c>
      <c r="F23" t="inlineStr">
        <is>
          <t>N</t>
        </is>
      </c>
      <c r="G23" t="inlineStr"/>
    </row>
    <row r="24">
      <c r="A24" t="inlineStr">
        <is>
          <t>TY</t>
        </is>
      </c>
      <c r="B24" t="inlineStr">
        <is>
          <t>ED</t>
        </is>
      </c>
      <c r="C24" t="n">
        <v>2</v>
      </c>
      <c r="F24" t="inlineStr">
        <is>
          <t>N</t>
        </is>
      </c>
      <c r="G24" t="inlineStr"/>
    </row>
    <row r="25">
      <c r="A25" t="inlineStr">
        <is>
          <t>TY</t>
        </is>
      </c>
      <c r="B25" t="inlineStr">
        <is>
          <t>VACATION</t>
        </is>
      </c>
      <c r="C25" t="n">
        <v>4</v>
      </c>
      <c r="F25" t="inlineStr">
        <is>
          <t>N</t>
        </is>
      </c>
      <c r="G2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ResidentName</t>
        </is>
      </c>
      <c r="B1" t="inlineStr">
        <is>
          <t>PGY</t>
        </is>
      </c>
      <c r="C1" t="inlineStr">
        <is>
          <t>RequestType</t>
        </is>
      </c>
      <c r="D1" t="inlineStr">
        <is>
          <t>StartWeekNumber</t>
        </is>
      </c>
      <c r="E1" t="inlineStr">
        <is>
          <t>LengthWeeks</t>
        </is>
      </c>
      <c r="F1" t="inlineStr">
        <is>
          <t>Priority</t>
        </is>
      </c>
      <c r="G1" t="inlineStr">
        <is>
          <t>HardLock</t>
        </is>
      </c>
      <c r="H1" t="inlineStr">
        <is>
          <t>Comments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RotationPool</t>
        </is>
      </c>
      <c r="B1" t="inlineStr">
        <is>
          <t>RequiredPerWeek</t>
        </is>
      </c>
      <c r="C1" t="inlineStr">
        <is>
          <t>SeniorNeededPerUnit</t>
        </is>
      </c>
      <c r="D1" t="inlineStr">
        <is>
          <t>InternNeededPerUnit</t>
        </is>
      </c>
      <c r="E1" t="inlineStr">
        <is>
          <t>Notes</t>
        </is>
      </c>
    </row>
    <row r="2">
      <c r="A2" t="inlineStr">
        <is>
          <t>FLOOR_A</t>
        </is>
      </c>
      <c r="B2" t="n">
        <v>1</v>
      </c>
      <c r="C2" t="n">
        <v>1</v>
      </c>
      <c r="D2" t="n">
        <v>2</v>
      </c>
      <c r="E2" t="inlineStr">
        <is>
          <t>1 senior + 2 interns per week</t>
        </is>
      </c>
    </row>
    <row r="3">
      <c r="A3" t="inlineStr">
        <is>
          <t>FLOOR_B</t>
        </is>
      </c>
      <c r="B3" t="n">
        <v>1</v>
      </c>
      <c r="C3" t="n">
        <v>1</v>
      </c>
      <c r="D3" t="n">
        <v>2</v>
      </c>
      <c r="E3" t="inlineStr">
        <is>
          <t>1 senior + 2 interns per week</t>
        </is>
      </c>
    </row>
    <row r="4">
      <c r="A4" t="inlineStr">
        <is>
          <t>FLOOR_C</t>
        </is>
      </c>
      <c r="B4" t="n">
        <v>1</v>
      </c>
      <c r="C4" t="n">
        <v>1</v>
      </c>
      <c r="D4" t="n">
        <v>2</v>
      </c>
      <c r="E4" t="inlineStr">
        <is>
          <t>1 senior + 2 interns per week</t>
        </is>
      </c>
    </row>
    <row r="5">
      <c r="A5" t="inlineStr">
        <is>
          <t>FLOOR_D</t>
        </is>
      </c>
      <c r="B5" t="n">
        <v>1</v>
      </c>
      <c r="C5" t="n">
        <v>1</v>
      </c>
      <c r="D5" t="n">
        <v>2</v>
      </c>
      <c r="E5" t="inlineStr">
        <is>
          <t>1 senior + 2 interns per week</t>
        </is>
      </c>
    </row>
    <row r="6">
      <c r="A6" t="inlineStr">
        <is>
          <t>ICU_DAY</t>
        </is>
      </c>
      <c r="B6" t="n">
        <v>1</v>
      </c>
      <c r="C6" t="n">
        <v>2</v>
      </c>
      <c r="D6" t="n">
        <v>2</v>
      </c>
      <c r="E6" t="inlineStr">
        <is>
          <t>2 seniors + 2 interns per week</t>
        </is>
      </c>
    </row>
    <row r="7">
      <c r="A7" t="inlineStr">
        <is>
          <t>NF</t>
        </is>
      </c>
      <c r="B7" t="n">
        <v>1</v>
      </c>
      <c r="C7" t="n">
        <v>1</v>
      </c>
      <c r="D7" t="n">
        <v>1</v>
      </c>
      <c r="E7" t="inlineStr">
        <is>
          <t>1 senior + 1 intern per week</t>
        </is>
      </c>
    </row>
    <row r="8">
      <c r="A8" t="inlineStr">
        <is>
          <t>ICU_NIGHT</t>
        </is>
      </c>
      <c r="B8" t="n">
        <v>1</v>
      </c>
      <c r="C8" t="n">
        <v>1</v>
      </c>
      <c r="D8" t="n">
        <v>1</v>
      </c>
      <c r="E8" t="inlineStr">
        <is>
          <t>1 senior + 1 intern per week</t>
        </is>
      </c>
    </row>
    <row r="9">
      <c r="A9" t="inlineStr">
        <is>
          <t>SWING</t>
        </is>
      </c>
      <c r="B9" t="n">
        <v>1</v>
      </c>
      <c r="C9" t="n">
        <v>1</v>
      </c>
      <c r="D9" t="n">
        <v>0</v>
      </c>
      <c r="E9" t="inlineStr">
        <is>
          <t>1 senior, no intern</t>
        </is>
      </c>
    </row>
    <row r="10">
      <c r="A10" t="inlineStr">
        <is>
          <t>TEAM_G</t>
        </is>
      </c>
      <c r="B10" t="n">
        <v>0</v>
      </c>
      <c r="C10" t="n">
        <v>1</v>
      </c>
      <c r="D10" t="n">
        <v>0</v>
      </c>
      <c r="E10" t="inlineStr">
        <is>
          <t>Optional; seniors only; 0 required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CohortId</t>
        </is>
      </c>
      <c r="B1" t="inlineStr">
        <is>
          <t>ClinicWeekPattern</t>
        </is>
      </c>
      <c r="C1" t="inlineStr">
        <is>
          <t>TargetInternCount</t>
        </is>
      </c>
      <c r="D1" t="inlineStr">
        <is>
          <t>Notes</t>
        </is>
      </c>
    </row>
    <row r="2">
      <c r="A2" t="inlineStr">
        <is>
          <t>Cohort 1</t>
        </is>
      </c>
      <c r="B2" t="inlineStr">
        <is>
          <t>1,6,11,12,16,21,28,33,38,43,48,49,51,52</t>
        </is>
      </c>
      <c r="C2" t="inlineStr"/>
      <c r="D2" t="inlineStr">
        <is>
          <t>Derived from current schedule</t>
        </is>
      </c>
    </row>
    <row r="3">
      <c r="A3" t="inlineStr">
        <is>
          <t>Cohort 2</t>
        </is>
      </c>
      <c r="B3" t="inlineStr">
        <is>
          <t>1,2,7,12,16,17,22,29,34,39,44,49</t>
        </is>
      </c>
      <c r="C3" t="inlineStr"/>
      <c r="D3" t="inlineStr">
        <is>
          <t>Derived from current schedule</t>
        </is>
      </c>
    </row>
    <row r="4">
      <c r="A4" t="inlineStr">
        <is>
          <t>Cohort 3</t>
        </is>
      </c>
      <c r="B4" t="inlineStr">
        <is>
          <t>3,4,7,8,9,13,14,17,18,23,24,30,35,36,40,41,45,46,50</t>
        </is>
      </c>
      <c r="C4" t="inlineStr"/>
      <c r="D4" t="inlineStr">
        <is>
          <t>Derived from current schedule</t>
        </is>
      </c>
    </row>
    <row r="5">
      <c r="A5" t="inlineStr">
        <is>
          <t>Cohort 4</t>
        </is>
      </c>
      <c r="B5" t="inlineStr">
        <is>
          <t>4,9,10,14,19,24,31,36,41,46,47</t>
        </is>
      </c>
      <c r="C5" t="inlineStr"/>
      <c r="D5" t="inlineStr">
        <is>
          <t>Derived from current schedule</t>
        </is>
      </c>
    </row>
    <row r="6">
      <c r="A6" t="inlineStr">
        <is>
          <t>Cohort 5</t>
        </is>
      </c>
      <c r="B6" t="inlineStr">
        <is>
          <t>5,10,15,19,20,25,32,36,37,47,52</t>
        </is>
      </c>
      <c r="C6" t="inlineStr"/>
      <c r="D6" t="inlineStr">
        <is>
          <t>Derived from current schedule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</t>
        </is>
      </c>
      <c r="B1" t="inlineStr">
        <is>
          <t>PGY</t>
        </is>
      </c>
      <c r="C1" t="inlineStr">
        <is>
          <t>ScheduleRow</t>
        </is>
      </c>
      <c r="D1" t="inlineStr">
        <is>
          <t>Category</t>
        </is>
      </c>
      <c r="E1" t="inlineStr">
        <is>
          <t>Required</t>
        </is>
      </c>
      <c r="F1" t="inlineStr">
        <is>
          <t>Completed</t>
        </is>
      </c>
      <c r="G1" t="inlineStr">
        <is>
          <t>Remaining</t>
        </is>
      </c>
      <c r="H1" t="inlineStr">
        <is>
          <t>Flags</t>
        </is>
      </c>
    </row>
    <row r="2">
      <c r="A2" t="inlineStr">
        <is>
          <t>B. Perez</t>
        </is>
      </c>
      <c r="B2" t="inlineStr">
        <is>
          <t>PGY1</t>
        </is>
      </c>
      <c r="C2" t="n">
        <v>4</v>
      </c>
      <c r="D2" t="inlineStr">
        <is>
          <t>ICU</t>
        </is>
      </c>
      <c r="E2" t="n">
        <v>8</v>
      </c>
      <c r="F2">
        <f>SCHEDULE!BH4</f>
        <v/>
      </c>
      <c r="G2">
        <f>MAX(0, E2-F2)</f>
        <v/>
      </c>
      <c r="H2">
        <f>IF(G2&gt;0,"DEFICIT","")</f>
        <v/>
      </c>
    </row>
    <row r="3">
      <c r="A3" t="inlineStr">
        <is>
          <t>B. Perez</t>
        </is>
      </c>
      <c r="B3" t="inlineStr">
        <is>
          <t>PGY1</t>
        </is>
      </c>
      <c r="C3" t="n">
        <v>4</v>
      </c>
      <c r="D3" t="inlineStr">
        <is>
          <t>FLOORS</t>
        </is>
      </c>
      <c r="E3" t="n">
        <v>20</v>
      </c>
      <c r="F3">
        <f>SCHEDULE!BG4</f>
        <v/>
      </c>
      <c r="G3">
        <f>MAX(0, E3-F3)</f>
        <v/>
      </c>
      <c r="H3">
        <f>IF(G3&gt;0,"DEFICIT","")</f>
        <v/>
      </c>
    </row>
    <row r="4">
      <c r="A4" t="inlineStr">
        <is>
          <t>B. Perez</t>
        </is>
      </c>
      <c r="B4" t="inlineStr">
        <is>
          <t>PGY1</t>
        </is>
      </c>
      <c r="C4" t="n">
        <v>4</v>
      </c>
      <c r="D4" t="inlineStr">
        <is>
          <t>CLINIC</t>
        </is>
      </c>
      <c r="E4" t="n">
        <v>14</v>
      </c>
      <c r="F4">
        <f>SCHEDULE!BE4</f>
        <v/>
      </c>
      <c r="G4">
        <f>MAX(0, E4-F4)</f>
        <v/>
      </c>
      <c r="H4">
        <f>IF(G4&gt;0,"DEFICIT","")</f>
        <v/>
      </c>
    </row>
    <row r="5">
      <c r="A5" t="inlineStr">
        <is>
          <t>B. Perez</t>
        </is>
      </c>
      <c r="B5" t="inlineStr">
        <is>
          <t>PGY1</t>
        </is>
      </c>
      <c r="C5" t="n">
        <v>4</v>
      </c>
      <c r="D5" t="inlineStr">
        <is>
          <t>CARDIO</t>
        </is>
      </c>
      <c r="E5" t="n">
        <v>2</v>
      </c>
      <c r="F5">
        <f>SCHEDULE!BD4</f>
        <v/>
      </c>
      <c r="G5">
        <f>MAX(0, E5-F5)</f>
        <v/>
      </c>
      <c r="H5">
        <f>IF(G5&gt;0,"DEFICIT","")</f>
        <v/>
      </c>
    </row>
    <row r="6">
      <c r="A6" t="inlineStr">
        <is>
          <t>B. Perez</t>
        </is>
      </c>
      <c r="B6" t="inlineStr">
        <is>
          <t>PGY1</t>
        </is>
      </c>
      <c r="C6" t="n">
        <v>4</v>
      </c>
      <c r="D6" t="inlineStr">
        <is>
          <t>ID</t>
        </is>
      </c>
      <c r="E6" t="n">
        <v>2</v>
      </c>
      <c r="F6">
        <f>SCHEDULE!BK4</f>
        <v/>
      </c>
      <c r="G6">
        <f>MAX(0, E6-F6)</f>
        <v/>
      </c>
      <c r="H6">
        <f>IF(G6&gt;0,"DEFICIT","")</f>
        <v/>
      </c>
    </row>
    <row r="7">
      <c r="A7" t="inlineStr">
        <is>
          <t>B. Perez</t>
        </is>
      </c>
      <c r="B7" t="inlineStr">
        <is>
          <t>PGY1</t>
        </is>
      </c>
      <c r="C7" t="n">
        <v>4</v>
      </c>
      <c r="D7" t="inlineStr">
        <is>
          <t>ED</t>
        </is>
      </c>
      <c r="E7" t="n">
        <v>2</v>
      </c>
      <c r="F7">
        <f>SCHEDULE!BF4</f>
        <v/>
      </c>
      <c r="G7">
        <f>MAX(0, E7-F7)</f>
        <v/>
      </c>
      <c r="H7">
        <f>IF(G7&gt;0,"DEFICIT","")</f>
        <v/>
      </c>
    </row>
    <row r="8">
      <c r="A8" t="inlineStr">
        <is>
          <t>B. Perez</t>
        </is>
      </c>
      <c r="B8" t="inlineStr">
        <is>
          <t>PGY1</t>
        </is>
      </c>
      <c r="C8" t="n">
        <v>4</v>
      </c>
      <c r="D8" t="inlineStr">
        <is>
          <t>VACATION</t>
        </is>
      </c>
      <c r="E8" t="n">
        <v>4</v>
      </c>
      <c r="F8">
        <f>SCHEDULE!BO4</f>
        <v/>
      </c>
      <c r="G8">
        <f>MAX(0, E8-F8)</f>
        <v/>
      </c>
      <c r="H8">
        <f>IF(G8&gt;0,"DEFICIT","")</f>
        <v/>
      </c>
    </row>
    <row r="9">
      <c r="A9" t="inlineStr">
        <is>
          <t>L. Duarte</t>
        </is>
      </c>
      <c r="B9" t="inlineStr">
        <is>
          <t>PGY1</t>
        </is>
      </c>
      <c r="C9" t="n">
        <v>5</v>
      </c>
      <c r="D9" t="inlineStr">
        <is>
          <t>ICU</t>
        </is>
      </c>
      <c r="E9" t="n">
        <v>8</v>
      </c>
      <c r="F9">
        <f>SCHEDULE!BH5</f>
        <v/>
      </c>
      <c r="G9">
        <f>MAX(0, E9-F9)</f>
        <v/>
      </c>
      <c r="H9">
        <f>IF(G9&gt;0,"DEFICIT","")</f>
        <v/>
      </c>
    </row>
    <row r="10">
      <c r="A10" t="inlineStr">
        <is>
          <t>L. Duarte</t>
        </is>
      </c>
      <c r="B10" t="inlineStr">
        <is>
          <t>PGY1</t>
        </is>
      </c>
      <c r="C10" t="n">
        <v>5</v>
      </c>
      <c r="D10" t="inlineStr">
        <is>
          <t>FLOORS</t>
        </is>
      </c>
      <c r="E10" t="n">
        <v>20</v>
      </c>
      <c r="F10">
        <f>SCHEDULE!BG5</f>
        <v/>
      </c>
      <c r="G10">
        <f>MAX(0, E10-F10)</f>
        <v/>
      </c>
      <c r="H10">
        <f>IF(G10&gt;0,"DEFICIT","")</f>
        <v/>
      </c>
    </row>
    <row r="11">
      <c r="A11" t="inlineStr">
        <is>
          <t>L. Duarte</t>
        </is>
      </c>
      <c r="B11" t="inlineStr">
        <is>
          <t>PGY1</t>
        </is>
      </c>
      <c r="C11" t="n">
        <v>5</v>
      </c>
      <c r="D11" t="inlineStr">
        <is>
          <t>CLINIC</t>
        </is>
      </c>
      <c r="E11" t="n">
        <v>14</v>
      </c>
      <c r="F11">
        <f>SCHEDULE!BE5</f>
        <v/>
      </c>
      <c r="G11">
        <f>MAX(0, E11-F11)</f>
        <v/>
      </c>
      <c r="H11">
        <f>IF(G11&gt;0,"DEFICIT","")</f>
        <v/>
      </c>
    </row>
    <row r="12">
      <c r="A12" t="inlineStr">
        <is>
          <t>L. Duarte</t>
        </is>
      </c>
      <c r="B12" t="inlineStr">
        <is>
          <t>PGY1</t>
        </is>
      </c>
      <c r="C12" t="n">
        <v>5</v>
      </c>
      <c r="D12" t="inlineStr">
        <is>
          <t>CARDIO</t>
        </is>
      </c>
      <c r="E12" t="n">
        <v>2</v>
      </c>
      <c r="F12">
        <f>SCHEDULE!BD5</f>
        <v/>
      </c>
      <c r="G12">
        <f>MAX(0, E12-F12)</f>
        <v/>
      </c>
      <c r="H12">
        <f>IF(G12&gt;0,"DEFICIT","")</f>
        <v/>
      </c>
    </row>
    <row r="13">
      <c r="A13" t="inlineStr">
        <is>
          <t>L. Duarte</t>
        </is>
      </c>
      <c r="B13" t="inlineStr">
        <is>
          <t>PGY1</t>
        </is>
      </c>
      <c r="C13" t="n">
        <v>5</v>
      </c>
      <c r="D13" t="inlineStr">
        <is>
          <t>ID</t>
        </is>
      </c>
      <c r="E13" t="n">
        <v>2</v>
      </c>
      <c r="F13">
        <f>SCHEDULE!BK5</f>
        <v/>
      </c>
      <c r="G13">
        <f>MAX(0, E13-F13)</f>
        <v/>
      </c>
      <c r="H13">
        <f>IF(G13&gt;0,"DEFICIT","")</f>
        <v/>
      </c>
    </row>
    <row r="14">
      <c r="A14" t="inlineStr">
        <is>
          <t>L. Duarte</t>
        </is>
      </c>
      <c r="B14" t="inlineStr">
        <is>
          <t>PGY1</t>
        </is>
      </c>
      <c r="C14" t="n">
        <v>5</v>
      </c>
      <c r="D14" t="inlineStr">
        <is>
          <t>ED</t>
        </is>
      </c>
      <c r="E14" t="n">
        <v>2</v>
      </c>
      <c r="F14">
        <f>SCHEDULE!BF5</f>
        <v/>
      </c>
      <c r="G14">
        <f>MAX(0, E14-F14)</f>
        <v/>
      </c>
      <c r="H14">
        <f>IF(G14&gt;0,"DEFICIT","")</f>
        <v/>
      </c>
    </row>
    <row r="15">
      <c r="A15" t="inlineStr">
        <is>
          <t>L. Duarte</t>
        </is>
      </c>
      <c r="B15" t="inlineStr">
        <is>
          <t>PGY1</t>
        </is>
      </c>
      <c r="C15" t="n">
        <v>5</v>
      </c>
      <c r="D15" t="inlineStr">
        <is>
          <t>VACATION</t>
        </is>
      </c>
      <c r="E15" t="n">
        <v>4</v>
      </c>
      <c r="F15">
        <f>SCHEDULE!BO5</f>
        <v/>
      </c>
      <c r="G15">
        <f>MAX(0, E15-F15)</f>
        <v/>
      </c>
      <c r="H15">
        <f>IF(G15&gt;0,"DEFICIT","")</f>
        <v/>
      </c>
    </row>
    <row r="16">
      <c r="A16" t="inlineStr">
        <is>
          <t>M. Garcia</t>
        </is>
      </c>
      <c r="B16" t="inlineStr">
        <is>
          <t>PGY2</t>
        </is>
      </c>
      <c r="C16" t="n">
        <v>6</v>
      </c>
      <c r="D16" t="inlineStr">
        <is>
          <t>ICU</t>
        </is>
      </c>
      <c r="E16" t="n">
        <v>8</v>
      </c>
      <c r="F16">
        <f>SCHEDULE!BH6</f>
        <v/>
      </c>
      <c r="G16">
        <f>MAX(0, E16-F16)</f>
        <v/>
      </c>
      <c r="H16">
        <f>IF(G16&gt;0,"DEFICIT","")</f>
        <v/>
      </c>
    </row>
    <row r="17">
      <c r="A17" t="inlineStr">
        <is>
          <t>M. Garcia</t>
        </is>
      </c>
      <c r="B17" t="inlineStr">
        <is>
          <t>PGY2</t>
        </is>
      </c>
      <c r="C17" t="n">
        <v>6</v>
      </c>
      <c r="D17" t="inlineStr">
        <is>
          <t>FLOORS</t>
        </is>
      </c>
      <c r="E17" t="n">
        <v>16</v>
      </c>
      <c r="F17">
        <f>SCHEDULE!BG6</f>
        <v/>
      </c>
      <c r="G17">
        <f>MAX(0, E17-F17)</f>
        <v/>
      </c>
      <c r="H17">
        <f>IF(G17&gt;0,"DEFICIT","")</f>
        <v/>
      </c>
    </row>
    <row r="18">
      <c r="A18" t="inlineStr">
        <is>
          <t>M. Garcia</t>
        </is>
      </c>
      <c r="B18" t="inlineStr">
        <is>
          <t>PGY2</t>
        </is>
      </c>
      <c r="C18" t="n">
        <v>6</v>
      </c>
      <c r="D18" t="inlineStr">
        <is>
          <t>CLINIC</t>
        </is>
      </c>
      <c r="E18" t="n">
        <v>14</v>
      </c>
      <c r="F18">
        <f>SCHEDULE!BE6</f>
        <v/>
      </c>
      <c r="G18">
        <f>MAX(0, E18-F18)</f>
        <v/>
      </c>
      <c r="H18">
        <f>IF(G18&gt;0,"DEFICIT","")</f>
        <v/>
      </c>
    </row>
    <row r="19">
      <c r="A19" t="inlineStr">
        <is>
          <t>M. Garcia</t>
        </is>
      </c>
      <c r="B19" t="inlineStr">
        <is>
          <t>PGY2</t>
        </is>
      </c>
      <c r="C19" t="n">
        <v>6</v>
      </c>
      <c r="D19" t="inlineStr">
        <is>
          <t>CARDIO</t>
        </is>
      </c>
      <c r="E19" t="n">
        <v>4</v>
      </c>
      <c r="F19">
        <f>SCHEDULE!BD6</f>
        <v/>
      </c>
      <c r="G19">
        <f>MAX(0, E19-F19)</f>
        <v/>
      </c>
      <c r="H19">
        <f>IF(G19&gt;0,"DEFICIT","")</f>
        <v/>
      </c>
    </row>
    <row r="20">
      <c r="A20" t="inlineStr">
        <is>
          <t>M. Garcia</t>
        </is>
      </c>
      <c r="B20" t="inlineStr">
        <is>
          <t>PGY2</t>
        </is>
      </c>
      <c r="C20" t="n">
        <v>6</v>
      </c>
      <c r="D20" t="inlineStr">
        <is>
          <t>ID</t>
        </is>
      </c>
      <c r="E20" t="n">
        <v>2</v>
      </c>
      <c r="F20">
        <f>SCHEDULE!BK6</f>
        <v/>
      </c>
      <c r="G20">
        <f>MAX(0, E20-F20)</f>
        <v/>
      </c>
      <c r="H20">
        <f>IF(G20&gt;0,"DEFICIT","")</f>
        <v/>
      </c>
    </row>
    <row r="21">
      <c r="A21" t="inlineStr">
        <is>
          <t>M. Garcia</t>
        </is>
      </c>
      <c r="B21" t="inlineStr">
        <is>
          <t>PGY2</t>
        </is>
      </c>
      <c r="C21" t="n">
        <v>6</v>
      </c>
      <c r="D21" t="inlineStr">
        <is>
          <t>ED</t>
        </is>
      </c>
      <c r="E21" t="n">
        <v>2</v>
      </c>
      <c r="F21">
        <f>SCHEDULE!BF6</f>
        <v/>
      </c>
      <c r="G21">
        <f>MAX(0, E21-F21)</f>
        <v/>
      </c>
      <c r="H21">
        <f>IF(G21&gt;0,"DEFICIT","")</f>
        <v/>
      </c>
    </row>
    <row r="22">
      <c r="A22" t="inlineStr">
        <is>
          <t>M. Garcia</t>
        </is>
      </c>
      <c r="B22" t="inlineStr">
        <is>
          <t>PGY2</t>
        </is>
      </c>
      <c r="C22" t="n">
        <v>6</v>
      </c>
      <c r="D22" t="inlineStr">
        <is>
          <t>NEURO</t>
        </is>
      </c>
      <c r="E22" t="n">
        <v>2</v>
      </c>
      <c r="F22">
        <f>SCHEDULE!BL6</f>
        <v/>
      </c>
      <c r="G22">
        <f>MAX(0, E22-F22)</f>
        <v/>
      </c>
      <c r="H22">
        <f>IF(G22&gt;0,"DEFICIT","")</f>
        <v/>
      </c>
    </row>
    <row r="23">
      <c r="A23" t="inlineStr">
        <is>
          <t>M. Garcia</t>
        </is>
      </c>
      <c r="B23" t="inlineStr">
        <is>
          <t>PGY2</t>
        </is>
      </c>
      <c r="C23" t="n">
        <v>6</v>
      </c>
      <c r="D23" t="inlineStr">
        <is>
          <t>VACATION</t>
        </is>
      </c>
      <c r="E23" t="n">
        <v>4</v>
      </c>
      <c r="F23">
        <f>SCHEDULE!BO6</f>
        <v/>
      </c>
      <c r="G23">
        <f>MAX(0, E23-F23)</f>
        <v/>
      </c>
      <c r="H23">
        <f>IF(G23&gt;0,"DEFICIT","")</f>
        <v/>
      </c>
    </row>
    <row r="24">
      <c r="A24" t="inlineStr">
        <is>
          <t>D. Cano</t>
        </is>
      </c>
      <c r="B24" t="inlineStr">
        <is>
          <t>PGY2</t>
        </is>
      </c>
      <c r="C24" t="n">
        <v>7</v>
      </c>
      <c r="D24" t="inlineStr">
        <is>
          <t>ICU</t>
        </is>
      </c>
      <c r="E24" t="n">
        <v>8</v>
      </c>
      <c r="F24">
        <f>SCHEDULE!BH7</f>
        <v/>
      </c>
      <c r="G24">
        <f>MAX(0, E24-F24)</f>
        <v/>
      </c>
      <c r="H24">
        <f>IF(G24&gt;0,"DEFICIT","")</f>
        <v/>
      </c>
    </row>
    <row r="25">
      <c r="A25" t="inlineStr">
        <is>
          <t>D. Cano</t>
        </is>
      </c>
      <c r="B25" t="inlineStr">
        <is>
          <t>PGY2</t>
        </is>
      </c>
      <c r="C25" t="n">
        <v>7</v>
      </c>
      <c r="D25" t="inlineStr">
        <is>
          <t>FLOORS</t>
        </is>
      </c>
      <c r="E25" t="n">
        <v>16</v>
      </c>
      <c r="F25">
        <f>SCHEDULE!BG7</f>
        <v/>
      </c>
      <c r="G25">
        <f>MAX(0, E25-F25)</f>
        <v/>
      </c>
      <c r="H25">
        <f>IF(G25&gt;0,"DEFICIT","")</f>
        <v/>
      </c>
    </row>
    <row r="26">
      <c r="A26" t="inlineStr">
        <is>
          <t>D. Cano</t>
        </is>
      </c>
      <c r="B26" t="inlineStr">
        <is>
          <t>PGY2</t>
        </is>
      </c>
      <c r="C26" t="n">
        <v>7</v>
      </c>
      <c r="D26" t="inlineStr">
        <is>
          <t>CLINIC</t>
        </is>
      </c>
      <c r="E26" t="n">
        <v>14</v>
      </c>
      <c r="F26">
        <f>SCHEDULE!BE7</f>
        <v/>
      </c>
      <c r="G26">
        <f>MAX(0, E26-F26)</f>
        <v/>
      </c>
      <c r="H26">
        <f>IF(G26&gt;0,"DEFICIT","")</f>
        <v/>
      </c>
    </row>
    <row r="27">
      <c r="A27" t="inlineStr">
        <is>
          <t>D. Cano</t>
        </is>
      </c>
      <c r="B27" t="inlineStr">
        <is>
          <t>PGY2</t>
        </is>
      </c>
      <c r="C27" t="n">
        <v>7</v>
      </c>
      <c r="D27" t="inlineStr">
        <is>
          <t>CARDIO</t>
        </is>
      </c>
      <c r="E27" t="n">
        <v>4</v>
      </c>
      <c r="F27">
        <f>SCHEDULE!BD7</f>
        <v/>
      </c>
      <c r="G27">
        <f>MAX(0, E27-F27)</f>
        <v/>
      </c>
      <c r="H27">
        <f>IF(G27&gt;0,"DEFICIT","")</f>
        <v/>
      </c>
    </row>
    <row r="28">
      <c r="A28" t="inlineStr">
        <is>
          <t>D. Cano</t>
        </is>
      </c>
      <c r="B28" t="inlineStr">
        <is>
          <t>PGY2</t>
        </is>
      </c>
      <c r="C28" t="n">
        <v>7</v>
      </c>
      <c r="D28" t="inlineStr">
        <is>
          <t>ID</t>
        </is>
      </c>
      <c r="E28" t="n">
        <v>2</v>
      </c>
      <c r="F28">
        <f>SCHEDULE!BK7</f>
        <v/>
      </c>
      <c r="G28">
        <f>MAX(0, E28-F28)</f>
        <v/>
      </c>
      <c r="H28">
        <f>IF(G28&gt;0,"DEFICIT","")</f>
        <v/>
      </c>
    </row>
    <row r="29">
      <c r="A29" t="inlineStr">
        <is>
          <t>D. Cano</t>
        </is>
      </c>
      <c r="B29" t="inlineStr">
        <is>
          <t>PGY2</t>
        </is>
      </c>
      <c r="C29" t="n">
        <v>7</v>
      </c>
      <c r="D29" t="inlineStr">
        <is>
          <t>ED</t>
        </is>
      </c>
      <c r="E29" t="n">
        <v>2</v>
      </c>
      <c r="F29">
        <f>SCHEDULE!BF7</f>
        <v/>
      </c>
      <c r="G29">
        <f>MAX(0, E29-F29)</f>
        <v/>
      </c>
      <c r="H29">
        <f>IF(G29&gt;0,"DEFICIT","")</f>
        <v/>
      </c>
    </row>
    <row r="30">
      <c r="A30" t="inlineStr">
        <is>
          <t>D. Cano</t>
        </is>
      </c>
      <c r="B30" t="inlineStr">
        <is>
          <t>PGY2</t>
        </is>
      </c>
      <c r="C30" t="n">
        <v>7</v>
      </c>
      <c r="D30" t="inlineStr">
        <is>
          <t>NEURO</t>
        </is>
      </c>
      <c r="E30" t="n">
        <v>2</v>
      </c>
      <c r="F30">
        <f>SCHEDULE!BL7</f>
        <v/>
      </c>
      <c r="G30">
        <f>MAX(0, E30-F30)</f>
        <v/>
      </c>
      <c r="H30">
        <f>IF(G30&gt;0,"DEFICIT","")</f>
        <v/>
      </c>
    </row>
    <row r="31">
      <c r="A31" t="inlineStr">
        <is>
          <t>D. Cano</t>
        </is>
      </c>
      <c r="B31" t="inlineStr">
        <is>
          <t>PGY2</t>
        </is>
      </c>
      <c r="C31" t="n">
        <v>7</v>
      </c>
      <c r="D31" t="inlineStr">
        <is>
          <t>VACATION</t>
        </is>
      </c>
      <c r="E31" t="n">
        <v>4</v>
      </c>
      <c r="F31">
        <f>SCHEDULE!BO7</f>
        <v/>
      </c>
      <c r="G31">
        <f>MAX(0, E31-F31)</f>
        <v/>
      </c>
      <c r="H31">
        <f>IF(G31&gt;0,"DEFICIT","")</f>
        <v/>
      </c>
    </row>
    <row r="32">
      <c r="A32" t="inlineStr">
        <is>
          <t>J. Melendez</t>
        </is>
      </c>
      <c r="B32" t="inlineStr">
        <is>
          <t>PGY3</t>
        </is>
      </c>
      <c r="C32" t="n">
        <v>8</v>
      </c>
      <c r="D32" t="inlineStr">
        <is>
          <t>FLOORS</t>
        </is>
      </c>
      <c r="E32" t="n">
        <v>16</v>
      </c>
      <c r="F32">
        <f>SCHEDULE!BG8</f>
        <v/>
      </c>
      <c r="G32">
        <f>MAX(0, E32-F32)</f>
        <v/>
      </c>
      <c r="H32">
        <f>IF(G32&gt;0,"DEFICIT","")</f>
        <v/>
      </c>
    </row>
    <row r="33">
      <c r="A33" t="inlineStr">
        <is>
          <t>J. Melendez</t>
        </is>
      </c>
      <c r="B33" t="inlineStr">
        <is>
          <t>PGY3</t>
        </is>
      </c>
      <c r="C33" t="n">
        <v>8</v>
      </c>
      <c r="D33" t="inlineStr">
        <is>
          <t>CLINIC</t>
        </is>
      </c>
      <c r="E33" t="n">
        <v>14</v>
      </c>
      <c r="F33">
        <f>SCHEDULE!BE8</f>
        <v/>
      </c>
      <c r="G33">
        <f>MAX(0, E33-F33)</f>
        <v/>
      </c>
      <c r="H33">
        <f>IF(G33&gt;0,"DEFICIT","")</f>
        <v/>
      </c>
    </row>
    <row r="34">
      <c r="A34" t="inlineStr">
        <is>
          <t>J. Melendez</t>
        </is>
      </c>
      <c r="B34" t="inlineStr">
        <is>
          <t>PGY3</t>
        </is>
      </c>
      <c r="C34" t="n">
        <v>8</v>
      </c>
      <c r="D34" t="inlineStr">
        <is>
          <t>VACATION</t>
        </is>
      </c>
      <c r="E34" t="n">
        <v>4</v>
      </c>
      <c r="F34">
        <f>SCHEDULE!BO8</f>
        <v/>
      </c>
      <c r="G34">
        <f>MAX(0, E34-F34)</f>
        <v/>
      </c>
      <c r="H34">
        <f>IF(G34&gt;0,"DEFICIT","")</f>
        <v/>
      </c>
    </row>
    <row r="35">
      <c r="A35" t="inlineStr">
        <is>
          <t>C. Correa</t>
        </is>
      </c>
      <c r="B35" t="inlineStr">
        <is>
          <t>PGY3</t>
        </is>
      </c>
      <c r="C35" t="n">
        <v>9</v>
      </c>
      <c r="D35" t="inlineStr">
        <is>
          <t>FLOORS</t>
        </is>
      </c>
      <c r="E35" t="n">
        <v>16</v>
      </c>
      <c r="F35">
        <f>SCHEDULE!BG9</f>
        <v/>
      </c>
      <c r="G35">
        <f>MAX(0, E35-F35)</f>
        <v/>
      </c>
      <c r="H35">
        <f>IF(G35&gt;0,"DEFICIT","")</f>
        <v/>
      </c>
    </row>
    <row r="36">
      <c r="A36" t="inlineStr">
        <is>
          <t>C. Correa</t>
        </is>
      </c>
      <c r="B36" t="inlineStr">
        <is>
          <t>PGY3</t>
        </is>
      </c>
      <c r="C36" t="n">
        <v>9</v>
      </c>
      <c r="D36" t="inlineStr">
        <is>
          <t>CLINIC</t>
        </is>
      </c>
      <c r="E36" t="n">
        <v>14</v>
      </c>
      <c r="F36">
        <f>SCHEDULE!BE9</f>
        <v/>
      </c>
      <c r="G36">
        <f>MAX(0, E36-F36)</f>
        <v/>
      </c>
      <c r="H36">
        <f>IF(G36&gt;0,"DEFICIT","")</f>
        <v/>
      </c>
    </row>
    <row r="37">
      <c r="A37" t="inlineStr">
        <is>
          <t>C. Correa</t>
        </is>
      </c>
      <c r="B37" t="inlineStr">
        <is>
          <t>PGY3</t>
        </is>
      </c>
      <c r="C37" t="n">
        <v>9</v>
      </c>
      <c r="D37" t="inlineStr">
        <is>
          <t>VACATION</t>
        </is>
      </c>
      <c r="E37" t="n">
        <v>4</v>
      </c>
      <c r="F37">
        <f>SCHEDULE!BO9</f>
        <v/>
      </c>
      <c r="G37">
        <f>MAX(0, E37-F37)</f>
        <v/>
      </c>
      <c r="H37">
        <f>IF(G37&gt;0,"DEFICIT","")</f>
        <v/>
      </c>
    </row>
    <row r="38">
      <c r="A38" t="inlineStr">
        <is>
          <t>L. Diaz-Fajardo</t>
        </is>
      </c>
      <c r="B38" t="inlineStr">
        <is>
          <t>PGY3</t>
        </is>
      </c>
      <c r="C38" t="n">
        <v>10</v>
      </c>
      <c r="D38" t="inlineStr">
        <is>
          <t>FLOORS</t>
        </is>
      </c>
      <c r="E38" t="n">
        <v>16</v>
      </c>
      <c r="F38">
        <f>SCHEDULE!BG10</f>
        <v/>
      </c>
      <c r="G38">
        <f>MAX(0, E38-F38)</f>
        <v/>
      </c>
      <c r="H38">
        <f>IF(G38&gt;0,"DEFICIT","")</f>
        <v/>
      </c>
    </row>
    <row r="39">
      <c r="A39" t="inlineStr">
        <is>
          <t>L. Diaz-Fajardo</t>
        </is>
      </c>
      <c r="B39" t="inlineStr">
        <is>
          <t>PGY3</t>
        </is>
      </c>
      <c r="C39" t="n">
        <v>10</v>
      </c>
      <c r="D39" t="inlineStr">
        <is>
          <t>CLINIC</t>
        </is>
      </c>
      <c r="E39" t="n">
        <v>14</v>
      </c>
      <c r="F39">
        <f>SCHEDULE!BE10</f>
        <v/>
      </c>
      <c r="G39">
        <f>MAX(0, E39-F39)</f>
        <v/>
      </c>
      <c r="H39">
        <f>IF(G39&gt;0,"DEFICIT","")</f>
        <v/>
      </c>
    </row>
    <row r="40">
      <c r="A40" t="inlineStr">
        <is>
          <t>L. Diaz-Fajardo</t>
        </is>
      </c>
      <c r="B40" t="inlineStr">
        <is>
          <t>PGY3</t>
        </is>
      </c>
      <c r="C40" t="n">
        <v>10</v>
      </c>
      <c r="D40" t="inlineStr">
        <is>
          <t>VACATION</t>
        </is>
      </c>
      <c r="E40" t="n">
        <v>4</v>
      </c>
      <c r="F40">
        <f>SCHEDULE!BO10</f>
        <v/>
      </c>
      <c r="G40">
        <f>MAX(0, E40-F40)</f>
        <v/>
      </c>
      <c r="H40">
        <f>IF(G40&gt;0,"DEFICIT","")</f>
        <v/>
      </c>
    </row>
    <row r="41">
      <c r="A41" t="inlineStr">
        <is>
          <t>J. Garcia-Blaya</t>
        </is>
      </c>
      <c r="B41" t="inlineStr">
        <is>
          <t>PGY3</t>
        </is>
      </c>
      <c r="C41" t="n">
        <v>11</v>
      </c>
      <c r="D41" t="inlineStr">
        <is>
          <t>FLOORS</t>
        </is>
      </c>
      <c r="E41" t="n">
        <v>16</v>
      </c>
      <c r="F41">
        <f>SCHEDULE!BG11</f>
        <v/>
      </c>
      <c r="G41">
        <f>MAX(0, E41-F41)</f>
        <v/>
      </c>
      <c r="H41">
        <f>IF(G41&gt;0,"DEFICIT","")</f>
        <v/>
      </c>
    </row>
    <row r="42">
      <c r="A42" t="inlineStr">
        <is>
          <t>J. Garcia-Blaya</t>
        </is>
      </c>
      <c r="B42" t="inlineStr">
        <is>
          <t>PGY3</t>
        </is>
      </c>
      <c r="C42" t="n">
        <v>11</v>
      </c>
      <c r="D42" t="inlineStr">
        <is>
          <t>CLINIC</t>
        </is>
      </c>
      <c r="E42" t="n">
        <v>14</v>
      </c>
      <c r="F42">
        <f>SCHEDULE!BE11</f>
        <v/>
      </c>
      <c r="G42">
        <f>MAX(0, E42-F42)</f>
        <v/>
      </c>
      <c r="H42">
        <f>IF(G42&gt;0,"DEFICIT","")</f>
        <v/>
      </c>
    </row>
    <row r="43">
      <c r="A43" t="inlineStr">
        <is>
          <t>J. Garcia-Blaya</t>
        </is>
      </c>
      <c r="B43" t="inlineStr">
        <is>
          <t>PGY3</t>
        </is>
      </c>
      <c r="C43" t="n">
        <v>11</v>
      </c>
      <c r="D43" t="inlineStr">
        <is>
          <t>VACATION</t>
        </is>
      </c>
      <c r="E43" t="n">
        <v>4</v>
      </c>
      <c r="F43">
        <f>SCHEDULE!BO11</f>
        <v/>
      </c>
      <c r="G43">
        <f>MAX(0, E43-F43)</f>
        <v/>
      </c>
      <c r="H43">
        <f>IF(G43&gt;0,"DEFICIT","")</f>
        <v/>
      </c>
    </row>
    <row r="44">
      <c r="A44" t="inlineStr">
        <is>
          <t>J. Jhooty</t>
        </is>
      </c>
      <c r="B44" t="inlineStr">
        <is>
          <t>PGY1</t>
        </is>
      </c>
      <c r="C44" t="n">
        <v>12</v>
      </c>
      <c r="D44" t="inlineStr">
        <is>
          <t>ICU</t>
        </is>
      </c>
      <c r="E44" t="n">
        <v>8</v>
      </c>
      <c r="F44">
        <f>SCHEDULE!BH12</f>
        <v/>
      </c>
      <c r="G44">
        <f>MAX(0, E44-F44)</f>
        <v/>
      </c>
      <c r="H44">
        <f>IF(G44&gt;0,"DEFICIT","")</f>
        <v/>
      </c>
    </row>
    <row r="45">
      <c r="A45" t="inlineStr">
        <is>
          <t>J. Jhooty</t>
        </is>
      </c>
      <c r="B45" t="inlineStr">
        <is>
          <t>PGY1</t>
        </is>
      </c>
      <c r="C45" t="n">
        <v>12</v>
      </c>
      <c r="D45" t="inlineStr">
        <is>
          <t>FLOORS</t>
        </is>
      </c>
      <c r="E45" t="n">
        <v>20</v>
      </c>
      <c r="F45">
        <f>SCHEDULE!BG12</f>
        <v/>
      </c>
      <c r="G45">
        <f>MAX(0, E45-F45)</f>
        <v/>
      </c>
      <c r="H45">
        <f>IF(G45&gt;0,"DEFICIT","")</f>
        <v/>
      </c>
    </row>
    <row r="46">
      <c r="A46" t="inlineStr">
        <is>
          <t>J. Jhooty</t>
        </is>
      </c>
      <c r="B46" t="inlineStr">
        <is>
          <t>PGY1</t>
        </is>
      </c>
      <c r="C46" t="n">
        <v>12</v>
      </c>
      <c r="D46" t="inlineStr">
        <is>
          <t>CLINIC</t>
        </is>
      </c>
      <c r="E46" t="n">
        <v>14</v>
      </c>
      <c r="F46">
        <f>SCHEDULE!BE12</f>
        <v/>
      </c>
      <c r="G46">
        <f>MAX(0, E46-F46)</f>
        <v/>
      </c>
      <c r="H46">
        <f>IF(G46&gt;0,"DEFICIT","")</f>
        <v/>
      </c>
    </row>
    <row r="47">
      <c r="A47" t="inlineStr">
        <is>
          <t>J. Jhooty</t>
        </is>
      </c>
      <c r="B47" t="inlineStr">
        <is>
          <t>PGY1</t>
        </is>
      </c>
      <c r="C47" t="n">
        <v>12</v>
      </c>
      <c r="D47" t="inlineStr">
        <is>
          <t>CARDIO</t>
        </is>
      </c>
      <c r="E47" t="n">
        <v>2</v>
      </c>
      <c r="F47">
        <f>SCHEDULE!BD12</f>
        <v/>
      </c>
      <c r="G47">
        <f>MAX(0, E47-F47)</f>
        <v/>
      </c>
      <c r="H47">
        <f>IF(G47&gt;0,"DEFICIT","")</f>
        <v/>
      </c>
    </row>
    <row r="48">
      <c r="A48" t="inlineStr">
        <is>
          <t>J. Jhooty</t>
        </is>
      </c>
      <c r="B48" t="inlineStr">
        <is>
          <t>PGY1</t>
        </is>
      </c>
      <c r="C48" t="n">
        <v>12</v>
      </c>
      <c r="D48" t="inlineStr">
        <is>
          <t>ID</t>
        </is>
      </c>
      <c r="E48" t="n">
        <v>2</v>
      </c>
      <c r="F48">
        <f>SCHEDULE!BK12</f>
        <v/>
      </c>
      <c r="G48">
        <f>MAX(0, E48-F48)</f>
        <v/>
      </c>
      <c r="H48">
        <f>IF(G48&gt;0,"DEFICIT","")</f>
        <v/>
      </c>
    </row>
    <row r="49">
      <c r="A49" t="inlineStr">
        <is>
          <t>J. Jhooty</t>
        </is>
      </c>
      <c r="B49" t="inlineStr">
        <is>
          <t>PGY1</t>
        </is>
      </c>
      <c r="C49" t="n">
        <v>12</v>
      </c>
      <c r="D49" t="inlineStr">
        <is>
          <t>ED</t>
        </is>
      </c>
      <c r="E49" t="n">
        <v>2</v>
      </c>
      <c r="F49">
        <f>SCHEDULE!BF12</f>
        <v/>
      </c>
      <c r="G49">
        <f>MAX(0, E49-F49)</f>
        <v/>
      </c>
      <c r="H49">
        <f>IF(G49&gt;0,"DEFICIT","")</f>
        <v/>
      </c>
    </row>
    <row r="50">
      <c r="A50" t="inlineStr">
        <is>
          <t>J. Jhooty</t>
        </is>
      </c>
      <c r="B50" t="inlineStr">
        <is>
          <t>PGY1</t>
        </is>
      </c>
      <c r="C50" t="n">
        <v>12</v>
      </c>
      <c r="D50" t="inlineStr">
        <is>
          <t>VACATION</t>
        </is>
      </c>
      <c r="E50" t="n">
        <v>4</v>
      </c>
      <c r="F50">
        <f>SCHEDULE!BO12</f>
        <v/>
      </c>
      <c r="G50">
        <f>MAX(0, E50-F50)</f>
        <v/>
      </c>
      <c r="H50">
        <f>IF(G50&gt;0,"DEFICIT","")</f>
        <v/>
      </c>
    </row>
    <row r="51">
      <c r="A51" t="inlineStr">
        <is>
          <t>M. Artavia</t>
        </is>
      </c>
      <c r="B51" t="inlineStr">
        <is>
          <t>PGY1</t>
        </is>
      </c>
      <c r="C51" t="n">
        <v>13</v>
      </c>
      <c r="D51" t="inlineStr">
        <is>
          <t>ICU</t>
        </is>
      </c>
      <c r="E51" t="n">
        <v>8</v>
      </c>
      <c r="F51">
        <f>SCHEDULE!BH13</f>
        <v/>
      </c>
      <c r="G51">
        <f>MAX(0, E51-F51)</f>
        <v/>
      </c>
      <c r="H51">
        <f>IF(G51&gt;0,"DEFICIT","")</f>
        <v/>
      </c>
    </row>
    <row r="52">
      <c r="A52" t="inlineStr">
        <is>
          <t>M. Artavia</t>
        </is>
      </c>
      <c r="B52" t="inlineStr">
        <is>
          <t>PGY1</t>
        </is>
      </c>
      <c r="C52" t="n">
        <v>13</v>
      </c>
      <c r="D52" t="inlineStr">
        <is>
          <t>FLOORS</t>
        </is>
      </c>
      <c r="E52" t="n">
        <v>20</v>
      </c>
      <c r="F52">
        <f>SCHEDULE!BG13</f>
        <v/>
      </c>
      <c r="G52">
        <f>MAX(0, E52-F52)</f>
        <v/>
      </c>
      <c r="H52">
        <f>IF(G52&gt;0,"DEFICIT","")</f>
        <v/>
      </c>
    </row>
    <row r="53">
      <c r="A53" t="inlineStr">
        <is>
          <t>M. Artavia</t>
        </is>
      </c>
      <c r="B53" t="inlineStr">
        <is>
          <t>PGY1</t>
        </is>
      </c>
      <c r="C53" t="n">
        <v>13</v>
      </c>
      <c r="D53" t="inlineStr">
        <is>
          <t>CLINIC</t>
        </is>
      </c>
      <c r="E53" t="n">
        <v>14</v>
      </c>
      <c r="F53">
        <f>SCHEDULE!BE13</f>
        <v/>
      </c>
      <c r="G53">
        <f>MAX(0, E53-F53)</f>
        <v/>
      </c>
      <c r="H53">
        <f>IF(G53&gt;0,"DEFICIT","")</f>
        <v/>
      </c>
    </row>
    <row r="54">
      <c r="A54" t="inlineStr">
        <is>
          <t>M. Artavia</t>
        </is>
      </c>
      <c r="B54" t="inlineStr">
        <is>
          <t>PGY1</t>
        </is>
      </c>
      <c r="C54" t="n">
        <v>13</v>
      </c>
      <c r="D54" t="inlineStr">
        <is>
          <t>CARDIO</t>
        </is>
      </c>
      <c r="E54" t="n">
        <v>2</v>
      </c>
      <c r="F54">
        <f>SCHEDULE!BD13</f>
        <v/>
      </c>
      <c r="G54">
        <f>MAX(0, E54-F54)</f>
        <v/>
      </c>
      <c r="H54">
        <f>IF(G54&gt;0,"DEFICIT","")</f>
        <v/>
      </c>
    </row>
    <row r="55">
      <c r="A55" t="inlineStr">
        <is>
          <t>M. Artavia</t>
        </is>
      </c>
      <c r="B55" t="inlineStr">
        <is>
          <t>PGY1</t>
        </is>
      </c>
      <c r="C55" t="n">
        <v>13</v>
      </c>
      <c r="D55" t="inlineStr">
        <is>
          <t>ID</t>
        </is>
      </c>
      <c r="E55" t="n">
        <v>2</v>
      </c>
      <c r="F55">
        <f>SCHEDULE!BK13</f>
        <v/>
      </c>
      <c r="G55">
        <f>MAX(0, E55-F55)</f>
        <v/>
      </c>
      <c r="H55">
        <f>IF(G55&gt;0,"DEFICIT","")</f>
        <v/>
      </c>
    </row>
    <row r="56">
      <c r="A56" t="inlineStr">
        <is>
          <t>M. Artavia</t>
        </is>
      </c>
      <c r="B56" t="inlineStr">
        <is>
          <t>PGY1</t>
        </is>
      </c>
      <c r="C56" t="n">
        <v>13</v>
      </c>
      <c r="D56" t="inlineStr">
        <is>
          <t>ED</t>
        </is>
      </c>
      <c r="E56" t="n">
        <v>2</v>
      </c>
      <c r="F56">
        <f>SCHEDULE!BF13</f>
        <v/>
      </c>
      <c r="G56">
        <f>MAX(0, E56-F56)</f>
        <v/>
      </c>
      <c r="H56">
        <f>IF(G56&gt;0,"DEFICIT","")</f>
        <v/>
      </c>
    </row>
    <row r="57">
      <c r="A57" t="inlineStr">
        <is>
          <t>M. Artavia</t>
        </is>
      </c>
      <c r="B57" t="inlineStr">
        <is>
          <t>PGY1</t>
        </is>
      </c>
      <c r="C57" t="n">
        <v>13</v>
      </c>
      <c r="D57" t="inlineStr">
        <is>
          <t>VACATION</t>
        </is>
      </c>
      <c r="E57" t="n">
        <v>4</v>
      </c>
      <c r="F57">
        <f>SCHEDULE!BO13</f>
        <v/>
      </c>
      <c r="G57">
        <f>MAX(0, E57-F57)</f>
        <v/>
      </c>
      <c r="H57">
        <f>IF(G57&gt;0,"DEFICIT","")</f>
        <v/>
      </c>
    </row>
    <row r="58">
      <c r="A58" t="inlineStr">
        <is>
          <t>M. Delgadillo</t>
        </is>
      </c>
      <c r="B58" t="inlineStr">
        <is>
          <t>PGY1</t>
        </is>
      </c>
      <c r="C58" t="n">
        <v>14</v>
      </c>
      <c r="D58" t="inlineStr">
        <is>
          <t>ICU</t>
        </is>
      </c>
      <c r="E58" t="n">
        <v>8</v>
      </c>
      <c r="F58">
        <f>SCHEDULE!BH14</f>
        <v/>
      </c>
      <c r="G58">
        <f>MAX(0, E58-F58)</f>
        <v/>
      </c>
      <c r="H58">
        <f>IF(G58&gt;0,"DEFICIT","")</f>
        <v/>
      </c>
    </row>
    <row r="59">
      <c r="A59" t="inlineStr">
        <is>
          <t>M. Delgadillo</t>
        </is>
      </c>
      <c r="B59" t="inlineStr">
        <is>
          <t>PGY1</t>
        </is>
      </c>
      <c r="C59" t="n">
        <v>14</v>
      </c>
      <c r="D59" t="inlineStr">
        <is>
          <t>FLOORS</t>
        </is>
      </c>
      <c r="E59" t="n">
        <v>20</v>
      </c>
      <c r="F59">
        <f>SCHEDULE!BG14</f>
        <v/>
      </c>
      <c r="G59">
        <f>MAX(0, E59-F59)</f>
        <v/>
      </c>
      <c r="H59">
        <f>IF(G59&gt;0,"DEFICIT","")</f>
        <v/>
      </c>
    </row>
    <row r="60">
      <c r="A60" t="inlineStr">
        <is>
          <t>M. Delgadillo</t>
        </is>
      </c>
      <c r="B60" t="inlineStr">
        <is>
          <t>PGY1</t>
        </is>
      </c>
      <c r="C60" t="n">
        <v>14</v>
      </c>
      <c r="D60" t="inlineStr">
        <is>
          <t>CLINIC</t>
        </is>
      </c>
      <c r="E60" t="n">
        <v>14</v>
      </c>
      <c r="F60">
        <f>SCHEDULE!BE14</f>
        <v/>
      </c>
      <c r="G60">
        <f>MAX(0, E60-F60)</f>
        <v/>
      </c>
      <c r="H60">
        <f>IF(G60&gt;0,"DEFICIT","")</f>
        <v/>
      </c>
    </row>
    <row r="61">
      <c r="A61" t="inlineStr">
        <is>
          <t>M. Delgadillo</t>
        </is>
      </c>
      <c r="B61" t="inlineStr">
        <is>
          <t>PGY1</t>
        </is>
      </c>
      <c r="C61" t="n">
        <v>14</v>
      </c>
      <c r="D61" t="inlineStr">
        <is>
          <t>CARDIO</t>
        </is>
      </c>
      <c r="E61" t="n">
        <v>2</v>
      </c>
      <c r="F61">
        <f>SCHEDULE!BD14</f>
        <v/>
      </c>
      <c r="G61">
        <f>MAX(0, E61-F61)</f>
        <v/>
      </c>
      <c r="H61">
        <f>IF(G61&gt;0,"DEFICIT","")</f>
        <v/>
      </c>
    </row>
    <row r="62">
      <c r="A62" t="inlineStr">
        <is>
          <t>M. Delgadillo</t>
        </is>
      </c>
      <c r="B62" t="inlineStr">
        <is>
          <t>PGY1</t>
        </is>
      </c>
      <c r="C62" t="n">
        <v>14</v>
      </c>
      <c r="D62" t="inlineStr">
        <is>
          <t>ID</t>
        </is>
      </c>
      <c r="E62" t="n">
        <v>2</v>
      </c>
      <c r="F62">
        <f>SCHEDULE!BK14</f>
        <v/>
      </c>
      <c r="G62">
        <f>MAX(0, E62-F62)</f>
        <v/>
      </c>
      <c r="H62">
        <f>IF(G62&gt;0,"DEFICIT","")</f>
        <v/>
      </c>
    </row>
    <row r="63">
      <c r="A63" t="inlineStr">
        <is>
          <t>M. Delgadillo</t>
        </is>
      </c>
      <c r="B63" t="inlineStr">
        <is>
          <t>PGY1</t>
        </is>
      </c>
      <c r="C63" t="n">
        <v>14</v>
      </c>
      <c r="D63" t="inlineStr">
        <is>
          <t>ED</t>
        </is>
      </c>
      <c r="E63" t="n">
        <v>2</v>
      </c>
      <c r="F63">
        <f>SCHEDULE!BF14</f>
        <v/>
      </c>
      <c r="G63">
        <f>MAX(0, E63-F63)</f>
        <v/>
      </c>
      <c r="H63">
        <f>IF(G63&gt;0,"DEFICIT","")</f>
        <v/>
      </c>
    </row>
    <row r="64">
      <c r="A64" t="inlineStr">
        <is>
          <t>M. Delgadillo</t>
        </is>
      </c>
      <c r="B64" t="inlineStr">
        <is>
          <t>PGY1</t>
        </is>
      </c>
      <c r="C64" t="n">
        <v>14</v>
      </c>
      <c r="D64" t="inlineStr">
        <is>
          <t>VACATION</t>
        </is>
      </c>
      <c r="E64" t="n">
        <v>4</v>
      </c>
      <c r="F64">
        <f>SCHEDULE!BO14</f>
        <v/>
      </c>
      <c r="G64">
        <f>MAX(0, E64-F64)</f>
        <v/>
      </c>
      <c r="H64">
        <f>IF(G64&gt;0,"DEFICIT","")</f>
        <v/>
      </c>
    </row>
    <row r="65">
      <c r="A65" t="inlineStr">
        <is>
          <t>K. Gonzalez</t>
        </is>
      </c>
      <c r="B65" t="inlineStr">
        <is>
          <t>PGY1</t>
        </is>
      </c>
      <c r="C65" t="n">
        <v>15</v>
      </c>
      <c r="D65" t="inlineStr">
        <is>
          <t>ICU</t>
        </is>
      </c>
      <c r="E65" t="n">
        <v>8</v>
      </c>
      <c r="F65">
        <f>SCHEDULE!BH15</f>
        <v/>
      </c>
      <c r="G65">
        <f>MAX(0, E65-F65)</f>
        <v/>
      </c>
      <c r="H65">
        <f>IF(G65&gt;0,"DEFICIT","")</f>
        <v/>
      </c>
    </row>
    <row r="66">
      <c r="A66" t="inlineStr">
        <is>
          <t>K. Gonzalez</t>
        </is>
      </c>
      <c r="B66" t="inlineStr">
        <is>
          <t>PGY1</t>
        </is>
      </c>
      <c r="C66" t="n">
        <v>15</v>
      </c>
      <c r="D66" t="inlineStr">
        <is>
          <t>FLOORS</t>
        </is>
      </c>
      <c r="E66" t="n">
        <v>20</v>
      </c>
      <c r="F66">
        <f>SCHEDULE!BG15</f>
        <v/>
      </c>
      <c r="G66">
        <f>MAX(0, E66-F66)</f>
        <v/>
      </c>
      <c r="H66">
        <f>IF(G66&gt;0,"DEFICIT","")</f>
        <v/>
      </c>
    </row>
    <row r="67">
      <c r="A67" t="inlineStr">
        <is>
          <t>K. Gonzalez</t>
        </is>
      </c>
      <c r="B67" t="inlineStr">
        <is>
          <t>PGY1</t>
        </is>
      </c>
      <c r="C67" t="n">
        <v>15</v>
      </c>
      <c r="D67" t="inlineStr">
        <is>
          <t>CLINIC</t>
        </is>
      </c>
      <c r="E67" t="n">
        <v>14</v>
      </c>
      <c r="F67">
        <f>SCHEDULE!BE15</f>
        <v/>
      </c>
      <c r="G67">
        <f>MAX(0, E67-F67)</f>
        <v/>
      </c>
      <c r="H67">
        <f>IF(G67&gt;0,"DEFICIT","")</f>
        <v/>
      </c>
    </row>
    <row r="68">
      <c r="A68" t="inlineStr">
        <is>
          <t>K. Gonzalez</t>
        </is>
      </c>
      <c r="B68" t="inlineStr">
        <is>
          <t>PGY1</t>
        </is>
      </c>
      <c r="C68" t="n">
        <v>15</v>
      </c>
      <c r="D68" t="inlineStr">
        <is>
          <t>CARDIO</t>
        </is>
      </c>
      <c r="E68" t="n">
        <v>2</v>
      </c>
      <c r="F68">
        <f>SCHEDULE!BD15</f>
        <v/>
      </c>
      <c r="G68">
        <f>MAX(0, E68-F68)</f>
        <v/>
      </c>
      <c r="H68">
        <f>IF(G68&gt;0,"DEFICIT","")</f>
        <v/>
      </c>
    </row>
    <row r="69">
      <c r="A69" t="inlineStr">
        <is>
          <t>K. Gonzalez</t>
        </is>
      </c>
      <c r="B69" t="inlineStr">
        <is>
          <t>PGY1</t>
        </is>
      </c>
      <c r="C69" t="n">
        <v>15</v>
      </c>
      <c r="D69" t="inlineStr">
        <is>
          <t>ID</t>
        </is>
      </c>
      <c r="E69" t="n">
        <v>2</v>
      </c>
      <c r="F69">
        <f>SCHEDULE!BK15</f>
        <v/>
      </c>
      <c r="G69">
        <f>MAX(0, E69-F69)</f>
        <v/>
      </c>
      <c r="H69">
        <f>IF(G69&gt;0,"DEFICIT","")</f>
        <v/>
      </c>
    </row>
    <row r="70">
      <c r="A70" t="inlineStr">
        <is>
          <t>K. Gonzalez</t>
        </is>
      </c>
      <c r="B70" t="inlineStr">
        <is>
          <t>PGY1</t>
        </is>
      </c>
      <c r="C70" t="n">
        <v>15</v>
      </c>
      <c r="D70" t="inlineStr">
        <is>
          <t>ED</t>
        </is>
      </c>
      <c r="E70" t="n">
        <v>2</v>
      </c>
      <c r="F70">
        <f>SCHEDULE!BF15</f>
        <v/>
      </c>
      <c r="G70">
        <f>MAX(0, E70-F70)</f>
        <v/>
      </c>
      <c r="H70">
        <f>IF(G70&gt;0,"DEFICIT","")</f>
        <v/>
      </c>
    </row>
    <row r="71">
      <c r="A71" t="inlineStr">
        <is>
          <t>K. Gonzalez</t>
        </is>
      </c>
      <c r="B71" t="inlineStr">
        <is>
          <t>PGY1</t>
        </is>
      </c>
      <c r="C71" t="n">
        <v>15</v>
      </c>
      <c r="D71" t="inlineStr">
        <is>
          <t>VACATION</t>
        </is>
      </c>
      <c r="E71" t="n">
        <v>4</v>
      </c>
      <c r="F71">
        <f>SCHEDULE!BO15</f>
        <v/>
      </c>
      <c r="G71">
        <f>MAX(0, E71-F71)</f>
        <v/>
      </c>
      <c r="H71">
        <f>IF(G71&gt;0,"DEFICIT","")</f>
        <v/>
      </c>
    </row>
    <row r="72">
      <c r="A72" t="inlineStr">
        <is>
          <t>C. Ayala</t>
        </is>
      </c>
      <c r="B72" t="inlineStr">
        <is>
          <t>PGY2</t>
        </is>
      </c>
      <c r="C72" t="n">
        <v>16</v>
      </c>
      <c r="D72" t="inlineStr">
        <is>
          <t>ICU</t>
        </is>
      </c>
      <c r="E72" t="n">
        <v>8</v>
      </c>
      <c r="F72">
        <f>SCHEDULE!BH16</f>
        <v/>
      </c>
      <c r="G72">
        <f>MAX(0, E72-F72)</f>
        <v/>
      </c>
      <c r="H72">
        <f>IF(G72&gt;0,"DEFICIT","")</f>
        <v/>
      </c>
    </row>
    <row r="73">
      <c r="A73" t="inlineStr">
        <is>
          <t>C. Ayala</t>
        </is>
      </c>
      <c r="B73" t="inlineStr">
        <is>
          <t>PGY2</t>
        </is>
      </c>
      <c r="C73" t="n">
        <v>16</v>
      </c>
      <c r="D73" t="inlineStr">
        <is>
          <t>FLOORS</t>
        </is>
      </c>
      <c r="E73" t="n">
        <v>16</v>
      </c>
      <c r="F73">
        <f>SCHEDULE!BG16</f>
        <v/>
      </c>
      <c r="G73">
        <f>MAX(0, E73-F73)</f>
        <v/>
      </c>
      <c r="H73">
        <f>IF(G73&gt;0,"DEFICIT","")</f>
        <v/>
      </c>
    </row>
    <row r="74">
      <c r="A74" t="inlineStr">
        <is>
          <t>C. Ayala</t>
        </is>
      </c>
      <c r="B74" t="inlineStr">
        <is>
          <t>PGY2</t>
        </is>
      </c>
      <c r="C74" t="n">
        <v>16</v>
      </c>
      <c r="D74" t="inlineStr">
        <is>
          <t>CLINIC</t>
        </is>
      </c>
      <c r="E74" t="n">
        <v>14</v>
      </c>
      <c r="F74">
        <f>SCHEDULE!BE16</f>
        <v/>
      </c>
      <c r="G74">
        <f>MAX(0, E74-F74)</f>
        <v/>
      </c>
      <c r="H74">
        <f>IF(G74&gt;0,"DEFICIT","")</f>
        <v/>
      </c>
    </row>
    <row r="75">
      <c r="A75" t="inlineStr">
        <is>
          <t>C. Ayala</t>
        </is>
      </c>
      <c r="B75" t="inlineStr">
        <is>
          <t>PGY2</t>
        </is>
      </c>
      <c r="C75" t="n">
        <v>16</v>
      </c>
      <c r="D75" t="inlineStr">
        <is>
          <t>CARDIO</t>
        </is>
      </c>
      <c r="E75" t="n">
        <v>4</v>
      </c>
      <c r="F75">
        <f>SCHEDULE!BD16</f>
        <v/>
      </c>
      <c r="G75">
        <f>MAX(0, E75-F75)</f>
        <v/>
      </c>
      <c r="H75">
        <f>IF(G75&gt;0,"DEFICIT","")</f>
        <v/>
      </c>
    </row>
    <row r="76">
      <c r="A76" t="inlineStr">
        <is>
          <t>C. Ayala</t>
        </is>
      </c>
      <c r="B76" t="inlineStr">
        <is>
          <t>PGY2</t>
        </is>
      </c>
      <c r="C76" t="n">
        <v>16</v>
      </c>
      <c r="D76" t="inlineStr">
        <is>
          <t>ID</t>
        </is>
      </c>
      <c r="E76" t="n">
        <v>2</v>
      </c>
      <c r="F76">
        <f>SCHEDULE!BK16</f>
        <v/>
      </c>
      <c r="G76">
        <f>MAX(0, E76-F76)</f>
        <v/>
      </c>
      <c r="H76">
        <f>IF(G76&gt;0,"DEFICIT","")</f>
        <v/>
      </c>
    </row>
    <row r="77">
      <c r="A77" t="inlineStr">
        <is>
          <t>C. Ayala</t>
        </is>
      </c>
      <c r="B77" t="inlineStr">
        <is>
          <t>PGY2</t>
        </is>
      </c>
      <c r="C77" t="n">
        <v>16</v>
      </c>
      <c r="D77" t="inlineStr">
        <is>
          <t>ED</t>
        </is>
      </c>
      <c r="E77" t="n">
        <v>2</v>
      </c>
      <c r="F77">
        <f>SCHEDULE!BF16</f>
        <v/>
      </c>
      <c r="G77">
        <f>MAX(0, E77-F77)</f>
        <v/>
      </c>
      <c r="H77">
        <f>IF(G77&gt;0,"DEFICIT","")</f>
        <v/>
      </c>
    </row>
    <row r="78">
      <c r="A78" t="inlineStr">
        <is>
          <t>C. Ayala</t>
        </is>
      </c>
      <c r="B78" t="inlineStr">
        <is>
          <t>PGY2</t>
        </is>
      </c>
      <c r="C78" t="n">
        <v>16</v>
      </c>
      <c r="D78" t="inlineStr">
        <is>
          <t>NEURO</t>
        </is>
      </c>
      <c r="E78" t="n">
        <v>2</v>
      </c>
      <c r="F78">
        <f>SCHEDULE!BL16</f>
        <v/>
      </c>
      <c r="G78">
        <f>MAX(0, E78-F78)</f>
        <v/>
      </c>
      <c r="H78">
        <f>IF(G78&gt;0,"DEFICIT","")</f>
        <v/>
      </c>
    </row>
    <row r="79">
      <c r="A79" t="inlineStr">
        <is>
          <t>C. Ayala</t>
        </is>
      </c>
      <c r="B79" t="inlineStr">
        <is>
          <t>PGY2</t>
        </is>
      </c>
      <c r="C79" t="n">
        <v>16</v>
      </c>
      <c r="D79" t="inlineStr">
        <is>
          <t>VACATION</t>
        </is>
      </c>
      <c r="E79" t="n">
        <v>4</v>
      </c>
      <c r="F79">
        <f>SCHEDULE!BO16</f>
        <v/>
      </c>
      <c r="G79">
        <f>MAX(0, E79-F79)</f>
        <v/>
      </c>
      <c r="H79">
        <f>IF(G79&gt;0,"DEFICIT","")</f>
        <v/>
      </c>
    </row>
    <row r="80">
      <c r="A80" t="inlineStr">
        <is>
          <t>K. Vallejo</t>
        </is>
      </c>
      <c r="B80" t="inlineStr">
        <is>
          <t>PGY2</t>
        </is>
      </c>
      <c r="C80" t="n">
        <v>17</v>
      </c>
      <c r="D80" t="inlineStr">
        <is>
          <t>ICU</t>
        </is>
      </c>
      <c r="E80" t="n">
        <v>8</v>
      </c>
      <c r="F80">
        <f>SCHEDULE!BH17</f>
        <v/>
      </c>
      <c r="G80">
        <f>MAX(0, E80-F80)</f>
        <v/>
      </c>
      <c r="H80">
        <f>IF(G80&gt;0,"DEFICIT","")</f>
        <v/>
      </c>
    </row>
    <row r="81">
      <c r="A81" t="inlineStr">
        <is>
          <t>K. Vallejo</t>
        </is>
      </c>
      <c r="B81" t="inlineStr">
        <is>
          <t>PGY2</t>
        </is>
      </c>
      <c r="C81" t="n">
        <v>17</v>
      </c>
      <c r="D81" t="inlineStr">
        <is>
          <t>FLOORS</t>
        </is>
      </c>
      <c r="E81" t="n">
        <v>16</v>
      </c>
      <c r="F81">
        <f>SCHEDULE!BG17</f>
        <v/>
      </c>
      <c r="G81">
        <f>MAX(0, E81-F81)</f>
        <v/>
      </c>
      <c r="H81">
        <f>IF(G81&gt;0,"DEFICIT","")</f>
        <v/>
      </c>
    </row>
    <row r="82">
      <c r="A82" t="inlineStr">
        <is>
          <t>K. Vallejo</t>
        </is>
      </c>
      <c r="B82" t="inlineStr">
        <is>
          <t>PGY2</t>
        </is>
      </c>
      <c r="C82" t="n">
        <v>17</v>
      </c>
      <c r="D82" t="inlineStr">
        <is>
          <t>CLINIC</t>
        </is>
      </c>
      <c r="E82" t="n">
        <v>14</v>
      </c>
      <c r="F82">
        <f>SCHEDULE!BE17</f>
        <v/>
      </c>
      <c r="G82">
        <f>MAX(0, E82-F82)</f>
        <v/>
      </c>
      <c r="H82">
        <f>IF(G82&gt;0,"DEFICIT","")</f>
        <v/>
      </c>
    </row>
    <row r="83">
      <c r="A83" t="inlineStr">
        <is>
          <t>K. Vallejo</t>
        </is>
      </c>
      <c r="B83" t="inlineStr">
        <is>
          <t>PGY2</t>
        </is>
      </c>
      <c r="C83" t="n">
        <v>17</v>
      </c>
      <c r="D83" t="inlineStr">
        <is>
          <t>CARDIO</t>
        </is>
      </c>
      <c r="E83" t="n">
        <v>4</v>
      </c>
      <c r="F83">
        <f>SCHEDULE!BD17</f>
        <v/>
      </c>
      <c r="G83">
        <f>MAX(0, E83-F83)</f>
        <v/>
      </c>
      <c r="H83">
        <f>IF(G83&gt;0,"DEFICIT","")</f>
        <v/>
      </c>
    </row>
    <row r="84">
      <c r="A84" t="inlineStr">
        <is>
          <t>K. Vallejo</t>
        </is>
      </c>
      <c r="B84" t="inlineStr">
        <is>
          <t>PGY2</t>
        </is>
      </c>
      <c r="C84" t="n">
        <v>17</v>
      </c>
      <c r="D84" t="inlineStr">
        <is>
          <t>ID</t>
        </is>
      </c>
      <c r="E84" t="n">
        <v>2</v>
      </c>
      <c r="F84">
        <f>SCHEDULE!BK17</f>
        <v/>
      </c>
      <c r="G84">
        <f>MAX(0, E84-F84)</f>
        <v/>
      </c>
      <c r="H84">
        <f>IF(G84&gt;0,"DEFICIT","")</f>
        <v/>
      </c>
    </row>
    <row r="85">
      <c r="A85" t="inlineStr">
        <is>
          <t>K. Vallejo</t>
        </is>
      </c>
      <c r="B85" t="inlineStr">
        <is>
          <t>PGY2</t>
        </is>
      </c>
      <c r="C85" t="n">
        <v>17</v>
      </c>
      <c r="D85" t="inlineStr">
        <is>
          <t>ED</t>
        </is>
      </c>
      <c r="E85" t="n">
        <v>2</v>
      </c>
      <c r="F85">
        <f>SCHEDULE!BF17</f>
        <v/>
      </c>
      <c r="G85">
        <f>MAX(0, E85-F85)</f>
        <v/>
      </c>
      <c r="H85">
        <f>IF(G85&gt;0,"DEFICIT","")</f>
        <v/>
      </c>
    </row>
    <row r="86">
      <c r="A86" t="inlineStr">
        <is>
          <t>K. Vallejo</t>
        </is>
      </c>
      <c r="B86" t="inlineStr">
        <is>
          <t>PGY2</t>
        </is>
      </c>
      <c r="C86" t="n">
        <v>17</v>
      </c>
      <c r="D86" t="inlineStr">
        <is>
          <t>NEURO</t>
        </is>
      </c>
      <c r="E86" t="n">
        <v>2</v>
      </c>
      <c r="F86">
        <f>SCHEDULE!BL17</f>
        <v/>
      </c>
      <c r="G86">
        <f>MAX(0, E86-F86)</f>
        <v/>
      </c>
      <c r="H86">
        <f>IF(G86&gt;0,"DEFICIT","")</f>
        <v/>
      </c>
    </row>
    <row r="87">
      <c r="A87" t="inlineStr">
        <is>
          <t>K. Vallejo</t>
        </is>
      </c>
      <c r="B87" t="inlineStr">
        <is>
          <t>PGY2</t>
        </is>
      </c>
      <c r="C87" t="n">
        <v>17</v>
      </c>
      <c r="D87" t="inlineStr">
        <is>
          <t>VACATION</t>
        </is>
      </c>
      <c r="E87" t="n">
        <v>4</v>
      </c>
      <c r="F87">
        <f>SCHEDULE!BO17</f>
        <v/>
      </c>
      <c r="G87">
        <f>MAX(0, E87-F87)</f>
        <v/>
      </c>
      <c r="H87">
        <f>IF(G87&gt;0,"DEFICIT","")</f>
        <v/>
      </c>
    </row>
    <row r="88">
      <c r="A88" t="inlineStr">
        <is>
          <t>A. Silva</t>
        </is>
      </c>
      <c r="B88" t="inlineStr">
        <is>
          <t>PGY3</t>
        </is>
      </c>
      <c r="C88" t="n">
        <v>18</v>
      </c>
      <c r="D88" t="inlineStr">
        <is>
          <t>FLOORS</t>
        </is>
      </c>
      <c r="E88" t="n">
        <v>16</v>
      </c>
      <c r="F88">
        <f>SCHEDULE!BG18</f>
        <v/>
      </c>
      <c r="G88">
        <f>MAX(0, E88-F88)</f>
        <v/>
      </c>
      <c r="H88">
        <f>IF(G88&gt;0,"DEFICIT","")</f>
        <v/>
      </c>
    </row>
    <row r="89">
      <c r="A89" t="inlineStr">
        <is>
          <t>A. Silva</t>
        </is>
      </c>
      <c r="B89" t="inlineStr">
        <is>
          <t>PGY3</t>
        </is>
      </c>
      <c r="C89" t="n">
        <v>18</v>
      </c>
      <c r="D89" t="inlineStr">
        <is>
          <t>CLINIC</t>
        </is>
      </c>
      <c r="E89" t="n">
        <v>14</v>
      </c>
      <c r="F89">
        <f>SCHEDULE!BE18</f>
        <v/>
      </c>
      <c r="G89">
        <f>MAX(0, E89-F89)</f>
        <v/>
      </c>
      <c r="H89">
        <f>IF(G89&gt;0,"DEFICIT","")</f>
        <v/>
      </c>
    </row>
    <row r="90">
      <c r="A90" t="inlineStr">
        <is>
          <t>A. Silva</t>
        </is>
      </c>
      <c r="B90" t="inlineStr">
        <is>
          <t>PGY3</t>
        </is>
      </c>
      <c r="C90" t="n">
        <v>18</v>
      </c>
      <c r="D90" t="inlineStr">
        <is>
          <t>VACATION</t>
        </is>
      </c>
      <c r="E90" t="n">
        <v>4</v>
      </c>
      <c r="F90">
        <f>SCHEDULE!BO18</f>
        <v/>
      </c>
      <c r="G90">
        <f>MAX(0, E90-F90)</f>
        <v/>
      </c>
      <c r="H90">
        <f>IF(G90&gt;0,"DEFICIT","")</f>
        <v/>
      </c>
    </row>
    <row r="91">
      <c r="A91" t="inlineStr">
        <is>
          <t>F. Monefeldt</t>
        </is>
      </c>
      <c r="B91" t="inlineStr">
        <is>
          <t>PGY3</t>
        </is>
      </c>
      <c r="C91" t="n">
        <v>19</v>
      </c>
      <c r="D91" t="inlineStr">
        <is>
          <t>FLOORS</t>
        </is>
      </c>
      <c r="E91" t="n">
        <v>16</v>
      </c>
      <c r="F91">
        <f>SCHEDULE!BG19</f>
        <v/>
      </c>
      <c r="G91">
        <f>MAX(0, E91-F91)</f>
        <v/>
      </c>
      <c r="H91">
        <f>IF(G91&gt;0,"DEFICIT","")</f>
        <v/>
      </c>
    </row>
    <row r="92">
      <c r="A92" t="inlineStr">
        <is>
          <t>F. Monefeldt</t>
        </is>
      </c>
      <c r="B92" t="inlineStr">
        <is>
          <t>PGY3</t>
        </is>
      </c>
      <c r="C92" t="n">
        <v>19</v>
      </c>
      <c r="D92" t="inlineStr">
        <is>
          <t>CLINIC</t>
        </is>
      </c>
      <c r="E92" t="n">
        <v>14</v>
      </c>
      <c r="F92">
        <f>SCHEDULE!BE19</f>
        <v/>
      </c>
      <c r="G92">
        <f>MAX(0, E92-F92)</f>
        <v/>
      </c>
      <c r="H92">
        <f>IF(G92&gt;0,"DEFICIT","")</f>
        <v/>
      </c>
    </row>
    <row r="93">
      <c r="A93" t="inlineStr">
        <is>
          <t>F. Monefeldt</t>
        </is>
      </c>
      <c r="B93" t="inlineStr">
        <is>
          <t>PGY3</t>
        </is>
      </c>
      <c r="C93" t="n">
        <v>19</v>
      </c>
      <c r="D93" t="inlineStr">
        <is>
          <t>VACATION</t>
        </is>
      </c>
      <c r="E93" t="n">
        <v>4</v>
      </c>
      <c r="F93">
        <f>SCHEDULE!BO19</f>
        <v/>
      </c>
      <c r="G93">
        <f>MAX(0, E93-F93)</f>
        <v/>
      </c>
      <c r="H93">
        <f>IF(G93&gt;0,"DEFICIT","")</f>
        <v/>
      </c>
    </row>
    <row r="94">
      <c r="A94" t="inlineStr">
        <is>
          <t>M. Cruz</t>
        </is>
      </c>
      <c r="B94" t="inlineStr">
        <is>
          <t>PGY1</t>
        </is>
      </c>
      <c r="C94" t="n">
        <v>20</v>
      </c>
      <c r="D94" t="inlineStr">
        <is>
          <t>ICU</t>
        </is>
      </c>
      <c r="E94" t="n">
        <v>8</v>
      </c>
      <c r="F94">
        <f>SCHEDULE!BH20</f>
        <v/>
      </c>
      <c r="G94">
        <f>MAX(0, E94-F94)</f>
        <v/>
      </c>
      <c r="H94">
        <f>IF(G94&gt;0,"DEFICIT","")</f>
        <v/>
      </c>
    </row>
    <row r="95">
      <c r="A95" t="inlineStr">
        <is>
          <t>M. Cruz</t>
        </is>
      </c>
      <c r="B95" t="inlineStr">
        <is>
          <t>PGY1</t>
        </is>
      </c>
      <c r="C95" t="n">
        <v>20</v>
      </c>
      <c r="D95" t="inlineStr">
        <is>
          <t>FLOORS</t>
        </is>
      </c>
      <c r="E95" t="n">
        <v>20</v>
      </c>
      <c r="F95">
        <f>SCHEDULE!BG20</f>
        <v/>
      </c>
      <c r="G95">
        <f>MAX(0, E95-F95)</f>
        <v/>
      </c>
      <c r="H95">
        <f>IF(G95&gt;0,"DEFICIT","")</f>
        <v/>
      </c>
    </row>
    <row r="96">
      <c r="A96" t="inlineStr">
        <is>
          <t>M. Cruz</t>
        </is>
      </c>
      <c r="B96" t="inlineStr">
        <is>
          <t>PGY1</t>
        </is>
      </c>
      <c r="C96" t="n">
        <v>20</v>
      </c>
      <c r="D96" t="inlineStr">
        <is>
          <t>CLINIC</t>
        </is>
      </c>
      <c r="E96" t="n">
        <v>14</v>
      </c>
      <c r="F96">
        <f>SCHEDULE!BE20</f>
        <v/>
      </c>
      <c r="G96">
        <f>MAX(0, E96-F96)</f>
        <v/>
      </c>
      <c r="H96">
        <f>IF(G96&gt;0,"DEFICIT","")</f>
        <v/>
      </c>
    </row>
    <row r="97">
      <c r="A97" t="inlineStr">
        <is>
          <t>M. Cruz</t>
        </is>
      </c>
      <c r="B97" t="inlineStr">
        <is>
          <t>PGY1</t>
        </is>
      </c>
      <c r="C97" t="n">
        <v>20</v>
      </c>
      <c r="D97" t="inlineStr">
        <is>
          <t>CARDIO</t>
        </is>
      </c>
      <c r="E97" t="n">
        <v>2</v>
      </c>
      <c r="F97">
        <f>SCHEDULE!BD20</f>
        <v/>
      </c>
      <c r="G97">
        <f>MAX(0, E97-F97)</f>
        <v/>
      </c>
      <c r="H97">
        <f>IF(G97&gt;0,"DEFICIT","")</f>
        <v/>
      </c>
    </row>
    <row r="98">
      <c r="A98" t="inlineStr">
        <is>
          <t>M. Cruz</t>
        </is>
      </c>
      <c r="B98" t="inlineStr">
        <is>
          <t>PGY1</t>
        </is>
      </c>
      <c r="C98" t="n">
        <v>20</v>
      </c>
      <c r="D98" t="inlineStr">
        <is>
          <t>ID</t>
        </is>
      </c>
      <c r="E98" t="n">
        <v>2</v>
      </c>
      <c r="F98">
        <f>SCHEDULE!BK20</f>
        <v/>
      </c>
      <c r="G98">
        <f>MAX(0, E98-F98)</f>
        <v/>
      </c>
      <c r="H98">
        <f>IF(G98&gt;0,"DEFICIT","")</f>
        <v/>
      </c>
    </row>
    <row r="99">
      <c r="A99" t="inlineStr">
        <is>
          <t>M. Cruz</t>
        </is>
      </c>
      <c r="B99" t="inlineStr">
        <is>
          <t>PGY1</t>
        </is>
      </c>
      <c r="C99" t="n">
        <v>20</v>
      </c>
      <c r="D99" t="inlineStr">
        <is>
          <t>ED</t>
        </is>
      </c>
      <c r="E99" t="n">
        <v>2</v>
      </c>
      <c r="F99">
        <f>SCHEDULE!BF20</f>
        <v/>
      </c>
      <c r="G99">
        <f>MAX(0, E99-F99)</f>
        <v/>
      </c>
      <c r="H99">
        <f>IF(G99&gt;0,"DEFICIT","")</f>
        <v/>
      </c>
    </row>
    <row r="100">
      <c r="A100" t="inlineStr">
        <is>
          <t>M. Cruz</t>
        </is>
      </c>
      <c r="B100" t="inlineStr">
        <is>
          <t>PGY1</t>
        </is>
      </c>
      <c r="C100" t="n">
        <v>20</v>
      </c>
      <c r="D100" t="inlineStr">
        <is>
          <t>VACATION</t>
        </is>
      </c>
      <c r="E100" t="n">
        <v>4</v>
      </c>
      <c r="F100">
        <f>SCHEDULE!BO20</f>
        <v/>
      </c>
      <c r="G100">
        <f>MAX(0, E100-F100)</f>
        <v/>
      </c>
      <c r="H100">
        <f>IF(G100&gt;0,"DEFICIT","")</f>
        <v/>
      </c>
    </row>
    <row r="101">
      <c r="A101" t="inlineStr">
        <is>
          <t>I. Estrada</t>
        </is>
      </c>
      <c r="B101" t="inlineStr">
        <is>
          <t>PGY1</t>
        </is>
      </c>
      <c r="C101" t="n">
        <v>21</v>
      </c>
      <c r="D101" t="inlineStr">
        <is>
          <t>ICU</t>
        </is>
      </c>
      <c r="E101" t="n">
        <v>8</v>
      </c>
      <c r="F101">
        <f>SCHEDULE!BH21</f>
        <v/>
      </c>
      <c r="G101">
        <f>MAX(0, E101-F101)</f>
        <v/>
      </c>
      <c r="H101">
        <f>IF(G101&gt;0,"DEFICIT","")</f>
        <v/>
      </c>
    </row>
    <row r="102">
      <c r="A102" t="inlineStr">
        <is>
          <t>I. Estrada</t>
        </is>
      </c>
      <c r="B102" t="inlineStr">
        <is>
          <t>PGY1</t>
        </is>
      </c>
      <c r="C102" t="n">
        <v>21</v>
      </c>
      <c r="D102" t="inlineStr">
        <is>
          <t>FLOORS</t>
        </is>
      </c>
      <c r="E102" t="n">
        <v>20</v>
      </c>
      <c r="F102">
        <f>SCHEDULE!BG21</f>
        <v/>
      </c>
      <c r="G102">
        <f>MAX(0, E102-F102)</f>
        <v/>
      </c>
      <c r="H102">
        <f>IF(G102&gt;0,"DEFICIT","")</f>
        <v/>
      </c>
    </row>
    <row r="103">
      <c r="A103" t="inlineStr">
        <is>
          <t>I. Estrada</t>
        </is>
      </c>
      <c r="B103" t="inlineStr">
        <is>
          <t>PGY1</t>
        </is>
      </c>
      <c r="C103" t="n">
        <v>21</v>
      </c>
      <c r="D103" t="inlineStr">
        <is>
          <t>CLINIC</t>
        </is>
      </c>
      <c r="E103" t="n">
        <v>14</v>
      </c>
      <c r="F103">
        <f>SCHEDULE!BE21</f>
        <v/>
      </c>
      <c r="G103">
        <f>MAX(0, E103-F103)</f>
        <v/>
      </c>
      <c r="H103">
        <f>IF(G103&gt;0,"DEFICIT","")</f>
        <v/>
      </c>
    </row>
    <row r="104">
      <c r="A104" t="inlineStr">
        <is>
          <t>I. Estrada</t>
        </is>
      </c>
      <c r="B104" t="inlineStr">
        <is>
          <t>PGY1</t>
        </is>
      </c>
      <c r="C104" t="n">
        <v>21</v>
      </c>
      <c r="D104" t="inlineStr">
        <is>
          <t>CARDIO</t>
        </is>
      </c>
      <c r="E104" t="n">
        <v>2</v>
      </c>
      <c r="F104">
        <f>SCHEDULE!BD21</f>
        <v/>
      </c>
      <c r="G104">
        <f>MAX(0, E104-F104)</f>
        <v/>
      </c>
      <c r="H104">
        <f>IF(G104&gt;0,"DEFICIT","")</f>
        <v/>
      </c>
    </row>
    <row r="105">
      <c r="A105" t="inlineStr">
        <is>
          <t>I. Estrada</t>
        </is>
      </c>
      <c r="B105" t="inlineStr">
        <is>
          <t>PGY1</t>
        </is>
      </c>
      <c r="C105" t="n">
        <v>21</v>
      </c>
      <c r="D105" t="inlineStr">
        <is>
          <t>ID</t>
        </is>
      </c>
      <c r="E105" t="n">
        <v>2</v>
      </c>
      <c r="F105">
        <f>SCHEDULE!BK21</f>
        <v/>
      </c>
      <c r="G105">
        <f>MAX(0, E105-F105)</f>
        <v/>
      </c>
      <c r="H105">
        <f>IF(G105&gt;0,"DEFICIT","")</f>
        <v/>
      </c>
    </row>
    <row r="106">
      <c r="A106" t="inlineStr">
        <is>
          <t>I. Estrada</t>
        </is>
      </c>
      <c r="B106" t="inlineStr">
        <is>
          <t>PGY1</t>
        </is>
      </c>
      <c r="C106" t="n">
        <v>21</v>
      </c>
      <c r="D106" t="inlineStr">
        <is>
          <t>ED</t>
        </is>
      </c>
      <c r="E106" t="n">
        <v>2</v>
      </c>
      <c r="F106">
        <f>SCHEDULE!BF21</f>
        <v/>
      </c>
      <c r="G106">
        <f>MAX(0, E106-F106)</f>
        <v/>
      </c>
      <c r="H106">
        <f>IF(G106&gt;0,"DEFICIT","")</f>
        <v/>
      </c>
    </row>
    <row r="107">
      <c r="A107" t="inlineStr">
        <is>
          <t>I. Estrada</t>
        </is>
      </c>
      <c r="B107" t="inlineStr">
        <is>
          <t>PGY1</t>
        </is>
      </c>
      <c r="C107" t="n">
        <v>21</v>
      </c>
      <c r="D107" t="inlineStr">
        <is>
          <t>VACATION</t>
        </is>
      </c>
      <c r="E107" t="n">
        <v>4</v>
      </c>
      <c r="F107">
        <f>SCHEDULE!BO21</f>
        <v/>
      </c>
      <c r="G107">
        <f>MAX(0, E107-F107)</f>
        <v/>
      </c>
      <c r="H107">
        <f>IF(G107&gt;0,"DEFICIT","")</f>
        <v/>
      </c>
    </row>
    <row r="108">
      <c r="A108" t="inlineStr">
        <is>
          <t>J. Cabrera</t>
        </is>
      </c>
      <c r="B108" t="inlineStr">
        <is>
          <t>PGY2</t>
        </is>
      </c>
      <c r="C108" t="n">
        <v>22</v>
      </c>
      <c r="D108" t="inlineStr">
        <is>
          <t>ICU</t>
        </is>
      </c>
      <c r="E108" t="n">
        <v>8</v>
      </c>
      <c r="F108">
        <f>SCHEDULE!BH22</f>
        <v/>
      </c>
      <c r="G108">
        <f>MAX(0, E108-F108)</f>
        <v/>
      </c>
      <c r="H108">
        <f>IF(G108&gt;0,"DEFICIT","")</f>
        <v/>
      </c>
    </row>
    <row r="109">
      <c r="A109" t="inlineStr">
        <is>
          <t>J. Cabrera</t>
        </is>
      </c>
      <c r="B109" t="inlineStr">
        <is>
          <t>PGY2</t>
        </is>
      </c>
      <c r="C109" t="n">
        <v>22</v>
      </c>
      <c r="D109" t="inlineStr">
        <is>
          <t>FLOORS</t>
        </is>
      </c>
      <c r="E109" t="n">
        <v>16</v>
      </c>
      <c r="F109">
        <f>SCHEDULE!BG22</f>
        <v/>
      </c>
      <c r="G109">
        <f>MAX(0, E109-F109)</f>
        <v/>
      </c>
      <c r="H109">
        <f>IF(G109&gt;0,"DEFICIT","")</f>
        <v/>
      </c>
    </row>
    <row r="110">
      <c r="A110" t="inlineStr">
        <is>
          <t>J. Cabrera</t>
        </is>
      </c>
      <c r="B110" t="inlineStr">
        <is>
          <t>PGY2</t>
        </is>
      </c>
      <c r="C110" t="n">
        <v>22</v>
      </c>
      <c r="D110" t="inlineStr">
        <is>
          <t>CLINIC</t>
        </is>
      </c>
      <c r="E110" t="n">
        <v>14</v>
      </c>
      <c r="F110">
        <f>SCHEDULE!BE22</f>
        <v/>
      </c>
      <c r="G110">
        <f>MAX(0, E110-F110)</f>
        <v/>
      </c>
      <c r="H110">
        <f>IF(G110&gt;0,"DEFICIT","")</f>
        <v/>
      </c>
    </row>
    <row r="111">
      <c r="A111" t="inlineStr">
        <is>
          <t>J. Cabrera</t>
        </is>
      </c>
      <c r="B111" t="inlineStr">
        <is>
          <t>PGY2</t>
        </is>
      </c>
      <c r="C111" t="n">
        <v>22</v>
      </c>
      <c r="D111" t="inlineStr">
        <is>
          <t>CARDIO</t>
        </is>
      </c>
      <c r="E111" t="n">
        <v>4</v>
      </c>
      <c r="F111">
        <f>SCHEDULE!BD22</f>
        <v/>
      </c>
      <c r="G111">
        <f>MAX(0, E111-F111)</f>
        <v/>
      </c>
      <c r="H111">
        <f>IF(G111&gt;0,"DEFICIT","")</f>
        <v/>
      </c>
    </row>
    <row r="112">
      <c r="A112" t="inlineStr">
        <is>
          <t>J. Cabrera</t>
        </is>
      </c>
      <c r="B112" t="inlineStr">
        <is>
          <t>PGY2</t>
        </is>
      </c>
      <c r="C112" t="n">
        <v>22</v>
      </c>
      <c r="D112" t="inlineStr">
        <is>
          <t>ID</t>
        </is>
      </c>
      <c r="E112" t="n">
        <v>2</v>
      </c>
      <c r="F112">
        <f>SCHEDULE!BK22</f>
        <v/>
      </c>
      <c r="G112">
        <f>MAX(0, E112-F112)</f>
        <v/>
      </c>
      <c r="H112">
        <f>IF(G112&gt;0,"DEFICIT","")</f>
        <v/>
      </c>
    </row>
    <row r="113">
      <c r="A113" t="inlineStr">
        <is>
          <t>J. Cabrera</t>
        </is>
      </c>
      <c r="B113" t="inlineStr">
        <is>
          <t>PGY2</t>
        </is>
      </c>
      <c r="C113" t="n">
        <v>22</v>
      </c>
      <c r="D113" t="inlineStr">
        <is>
          <t>ED</t>
        </is>
      </c>
      <c r="E113" t="n">
        <v>2</v>
      </c>
      <c r="F113">
        <f>SCHEDULE!BF22</f>
        <v/>
      </c>
      <c r="G113">
        <f>MAX(0, E113-F113)</f>
        <v/>
      </c>
      <c r="H113">
        <f>IF(G113&gt;0,"DEFICIT","")</f>
        <v/>
      </c>
    </row>
    <row r="114">
      <c r="A114" t="inlineStr">
        <is>
          <t>J. Cabrera</t>
        </is>
      </c>
      <c r="B114" t="inlineStr">
        <is>
          <t>PGY2</t>
        </is>
      </c>
      <c r="C114" t="n">
        <v>22</v>
      </c>
      <c r="D114" t="inlineStr">
        <is>
          <t>NEURO</t>
        </is>
      </c>
      <c r="E114" t="n">
        <v>2</v>
      </c>
      <c r="F114">
        <f>SCHEDULE!BL22</f>
        <v/>
      </c>
      <c r="G114">
        <f>MAX(0, E114-F114)</f>
        <v/>
      </c>
      <c r="H114">
        <f>IF(G114&gt;0,"DEFICIT","")</f>
        <v/>
      </c>
    </row>
    <row r="115">
      <c r="A115" t="inlineStr">
        <is>
          <t>J. Cabrera</t>
        </is>
      </c>
      <c r="B115" t="inlineStr">
        <is>
          <t>PGY2</t>
        </is>
      </c>
      <c r="C115" t="n">
        <v>22</v>
      </c>
      <c r="D115" t="inlineStr">
        <is>
          <t>VACATION</t>
        </is>
      </c>
      <c r="E115" t="n">
        <v>4</v>
      </c>
      <c r="F115">
        <f>SCHEDULE!BO22</f>
        <v/>
      </c>
      <c r="G115">
        <f>MAX(0, E115-F115)</f>
        <v/>
      </c>
      <c r="H115">
        <f>IF(G115&gt;0,"DEFICIT","")</f>
        <v/>
      </c>
    </row>
    <row r="116">
      <c r="A116" t="inlineStr">
        <is>
          <t>J. Perez</t>
        </is>
      </c>
      <c r="B116" t="inlineStr">
        <is>
          <t>PGY2</t>
        </is>
      </c>
      <c r="C116" t="n">
        <v>23</v>
      </c>
      <c r="D116" t="inlineStr">
        <is>
          <t>ICU</t>
        </is>
      </c>
      <c r="E116" t="n">
        <v>8</v>
      </c>
      <c r="F116">
        <f>SCHEDULE!BH23</f>
        <v/>
      </c>
      <c r="G116">
        <f>MAX(0, E116-F116)</f>
        <v/>
      </c>
      <c r="H116">
        <f>IF(G116&gt;0,"DEFICIT","")</f>
        <v/>
      </c>
    </row>
    <row r="117">
      <c r="A117" t="inlineStr">
        <is>
          <t>J. Perez</t>
        </is>
      </c>
      <c r="B117" t="inlineStr">
        <is>
          <t>PGY2</t>
        </is>
      </c>
      <c r="C117" t="n">
        <v>23</v>
      </c>
      <c r="D117" t="inlineStr">
        <is>
          <t>FLOORS</t>
        </is>
      </c>
      <c r="E117" t="n">
        <v>16</v>
      </c>
      <c r="F117">
        <f>SCHEDULE!BG23</f>
        <v/>
      </c>
      <c r="G117">
        <f>MAX(0, E117-F117)</f>
        <v/>
      </c>
      <c r="H117">
        <f>IF(G117&gt;0,"DEFICIT","")</f>
        <v/>
      </c>
    </row>
    <row r="118">
      <c r="A118" t="inlineStr">
        <is>
          <t>J. Perez</t>
        </is>
      </c>
      <c r="B118" t="inlineStr">
        <is>
          <t>PGY2</t>
        </is>
      </c>
      <c r="C118" t="n">
        <v>23</v>
      </c>
      <c r="D118" t="inlineStr">
        <is>
          <t>CLINIC</t>
        </is>
      </c>
      <c r="E118" t="n">
        <v>14</v>
      </c>
      <c r="F118">
        <f>SCHEDULE!BE23</f>
        <v/>
      </c>
      <c r="G118">
        <f>MAX(0, E118-F118)</f>
        <v/>
      </c>
      <c r="H118">
        <f>IF(G118&gt;0,"DEFICIT","")</f>
        <v/>
      </c>
    </row>
    <row r="119">
      <c r="A119" t="inlineStr">
        <is>
          <t>J. Perez</t>
        </is>
      </c>
      <c r="B119" t="inlineStr">
        <is>
          <t>PGY2</t>
        </is>
      </c>
      <c r="C119" t="n">
        <v>23</v>
      </c>
      <c r="D119" t="inlineStr">
        <is>
          <t>CARDIO</t>
        </is>
      </c>
      <c r="E119" t="n">
        <v>4</v>
      </c>
      <c r="F119">
        <f>SCHEDULE!BD23</f>
        <v/>
      </c>
      <c r="G119">
        <f>MAX(0, E119-F119)</f>
        <v/>
      </c>
      <c r="H119">
        <f>IF(G119&gt;0,"DEFICIT","")</f>
        <v/>
      </c>
    </row>
    <row r="120">
      <c r="A120" t="inlineStr">
        <is>
          <t>J. Perez</t>
        </is>
      </c>
      <c r="B120" t="inlineStr">
        <is>
          <t>PGY2</t>
        </is>
      </c>
      <c r="C120" t="n">
        <v>23</v>
      </c>
      <c r="D120" t="inlineStr">
        <is>
          <t>ID</t>
        </is>
      </c>
      <c r="E120" t="n">
        <v>2</v>
      </c>
      <c r="F120">
        <f>SCHEDULE!BK23</f>
        <v/>
      </c>
      <c r="G120">
        <f>MAX(0, E120-F120)</f>
        <v/>
      </c>
      <c r="H120">
        <f>IF(G120&gt;0,"DEFICIT","")</f>
        <v/>
      </c>
    </row>
    <row r="121">
      <c r="A121" t="inlineStr">
        <is>
          <t>J. Perez</t>
        </is>
      </c>
      <c r="B121" t="inlineStr">
        <is>
          <t>PGY2</t>
        </is>
      </c>
      <c r="C121" t="n">
        <v>23</v>
      </c>
      <c r="D121" t="inlineStr">
        <is>
          <t>ED</t>
        </is>
      </c>
      <c r="E121" t="n">
        <v>2</v>
      </c>
      <c r="F121">
        <f>SCHEDULE!BF23</f>
        <v/>
      </c>
      <c r="G121">
        <f>MAX(0, E121-F121)</f>
        <v/>
      </c>
      <c r="H121">
        <f>IF(G121&gt;0,"DEFICIT","")</f>
        <v/>
      </c>
    </row>
    <row r="122">
      <c r="A122" t="inlineStr">
        <is>
          <t>J. Perez</t>
        </is>
      </c>
      <c r="B122" t="inlineStr">
        <is>
          <t>PGY2</t>
        </is>
      </c>
      <c r="C122" t="n">
        <v>23</v>
      </c>
      <c r="D122" t="inlineStr">
        <is>
          <t>NEURO</t>
        </is>
      </c>
      <c r="E122" t="n">
        <v>2</v>
      </c>
      <c r="F122">
        <f>SCHEDULE!BL23</f>
        <v/>
      </c>
      <c r="G122">
        <f>MAX(0, E122-F122)</f>
        <v/>
      </c>
      <c r="H122">
        <f>IF(G122&gt;0,"DEFICIT","")</f>
        <v/>
      </c>
    </row>
    <row r="123">
      <c r="A123" t="inlineStr">
        <is>
          <t>J. Perez</t>
        </is>
      </c>
      <c r="B123" t="inlineStr">
        <is>
          <t>PGY2</t>
        </is>
      </c>
      <c r="C123" t="n">
        <v>23</v>
      </c>
      <c r="D123" t="inlineStr">
        <is>
          <t>VACATION</t>
        </is>
      </c>
      <c r="E123" t="n">
        <v>4</v>
      </c>
      <c r="F123">
        <f>SCHEDULE!BO23</f>
        <v/>
      </c>
      <c r="G123">
        <f>MAX(0, E123-F123)</f>
        <v/>
      </c>
      <c r="H123">
        <f>IF(G123&gt;0,"DEFICIT","")</f>
        <v/>
      </c>
    </row>
    <row r="124">
      <c r="A124" t="inlineStr">
        <is>
          <t>C. Ndigamkong</t>
        </is>
      </c>
      <c r="B124" t="inlineStr">
        <is>
          <t>PGY3</t>
        </is>
      </c>
      <c r="C124" t="n">
        <v>24</v>
      </c>
      <c r="D124" t="inlineStr">
        <is>
          <t>FLOORS</t>
        </is>
      </c>
      <c r="E124" t="n">
        <v>16</v>
      </c>
      <c r="F124">
        <f>SCHEDULE!BG24</f>
        <v/>
      </c>
      <c r="G124">
        <f>MAX(0, E124-F124)</f>
        <v/>
      </c>
      <c r="H124">
        <f>IF(G124&gt;0,"DEFICIT","")</f>
        <v/>
      </c>
    </row>
    <row r="125">
      <c r="A125" t="inlineStr">
        <is>
          <t>C. Ndigamkong</t>
        </is>
      </c>
      <c r="B125" t="inlineStr">
        <is>
          <t>PGY3</t>
        </is>
      </c>
      <c r="C125" t="n">
        <v>24</v>
      </c>
      <c r="D125" t="inlineStr">
        <is>
          <t>CLINIC</t>
        </is>
      </c>
      <c r="E125" t="n">
        <v>14</v>
      </c>
      <c r="F125">
        <f>SCHEDULE!BE24</f>
        <v/>
      </c>
      <c r="G125">
        <f>MAX(0, E125-F125)</f>
        <v/>
      </c>
      <c r="H125">
        <f>IF(G125&gt;0,"DEFICIT","")</f>
        <v/>
      </c>
    </row>
    <row r="126">
      <c r="A126" t="inlineStr">
        <is>
          <t>C. Ndigamkong</t>
        </is>
      </c>
      <c r="B126" t="inlineStr">
        <is>
          <t>PGY3</t>
        </is>
      </c>
      <c r="C126" t="n">
        <v>24</v>
      </c>
      <c r="D126" t="inlineStr">
        <is>
          <t>VACATION</t>
        </is>
      </c>
      <c r="E126" t="n">
        <v>4</v>
      </c>
      <c r="F126">
        <f>SCHEDULE!BO24</f>
        <v/>
      </c>
      <c r="G126">
        <f>MAX(0, E126-F126)</f>
        <v/>
      </c>
      <c r="H126">
        <f>IF(G126&gt;0,"DEFICIT","")</f>
        <v/>
      </c>
    </row>
    <row r="127">
      <c r="A127" t="inlineStr">
        <is>
          <t>C. Fontela</t>
        </is>
      </c>
      <c r="B127" t="inlineStr">
        <is>
          <t>PGY3</t>
        </is>
      </c>
      <c r="C127" t="n">
        <v>25</v>
      </c>
      <c r="D127" t="inlineStr">
        <is>
          <t>FLOORS</t>
        </is>
      </c>
      <c r="E127" t="n">
        <v>16</v>
      </c>
      <c r="F127">
        <f>SCHEDULE!BG25</f>
        <v/>
      </c>
      <c r="G127">
        <f>MAX(0, E127-F127)</f>
        <v/>
      </c>
      <c r="H127">
        <f>IF(G127&gt;0,"DEFICIT","")</f>
        <v/>
      </c>
    </row>
    <row r="128">
      <c r="A128" t="inlineStr">
        <is>
          <t>C. Fontela</t>
        </is>
      </c>
      <c r="B128" t="inlineStr">
        <is>
          <t>PGY3</t>
        </is>
      </c>
      <c r="C128" t="n">
        <v>25</v>
      </c>
      <c r="D128" t="inlineStr">
        <is>
          <t>CLINIC</t>
        </is>
      </c>
      <c r="E128" t="n">
        <v>14</v>
      </c>
      <c r="F128">
        <f>SCHEDULE!BE25</f>
        <v/>
      </c>
      <c r="G128">
        <f>MAX(0, E128-F128)</f>
        <v/>
      </c>
      <c r="H128">
        <f>IF(G128&gt;0,"DEFICIT","")</f>
        <v/>
      </c>
    </row>
    <row r="129">
      <c r="A129" t="inlineStr">
        <is>
          <t>C. Fontela</t>
        </is>
      </c>
      <c r="B129" t="inlineStr">
        <is>
          <t>PGY3</t>
        </is>
      </c>
      <c r="C129" t="n">
        <v>25</v>
      </c>
      <c r="D129" t="inlineStr">
        <is>
          <t>VACATION</t>
        </is>
      </c>
      <c r="E129" t="n">
        <v>4</v>
      </c>
      <c r="F129">
        <f>SCHEDULE!BO25</f>
        <v/>
      </c>
      <c r="G129">
        <f>MAX(0, E129-F129)</f>
        <v/>
      </c>
      <c r="H129">
        <f>IF(G129&gt;0,"DEFICIT","")</f>
        <v/>
      </c>
    </row>
    <row r="130">
      <c r="A130" t="inlineStr">
        <is>
          <t>M. Rodriguez</t>
        </is>
      </c>
      <c r="B130" t="inlineStr">
        <is>
          <t>PGY3</t>
        </is>
      </c>
      <c r="C130" t="n">
        <v>26</v>
      </c>
      <c r="D130" t="inlineStr">
        <is>
          <t>FLOORS</t>
        </is>
      </c>
      <c r="E130" t="n">
        <v>16</v>
      </c>
      <c r="F130">
        <f>SCHEDULE!BG26</f>
        <v/>
      </c>
      <c r="G130">
        <f>MAX(0, E130-F130)</f>
        <v/>
      </c>
      <c r="H130">
        <f>IF(G130&gt;0,"DEFICIT","")</f>
        <v/>
      </c>
    </row>
    <row r="131">
      <c r="A131" t="inlineStr">
        <is>
          <t>M. Rodriguez</t>
        </is>
      </c>
      <c r="B131" t="inlineStr">
        <is>
          <t>PGY3</t>
        </is>
      </c>
      <c r="C131" t="n">
        <v>26</v>
      </c>
      <c r="D131" t="inlineStr">
        <is>
          <t>CLINIC</t>
        </is>
      </c>
      <c r="E131" t="n">
        <v>14</v>
      </c>
      <c r="F131">
        <f>SCHEDULE!BE26</f>
        <v/>
      </c>
      <c r="G131">
        <f>MAX(0, E131-F131)</f>
        <v/>
      </c>
      <c r="H131">
        <f>IF(G131&gt;0,"DEFICIT","")</f>
        <v/>
      </c>
    </row>
    <row r="132">
      <c r="A132" t="inlineStr">
        <is>
          <t>M. Rodriguez</t>
        </is>
      </c>
      <c r="B132" t="inlineStr">
        <is>
          <t>PGY3</t>
        </is>
      </c>
      <c r="C132" t="n">
        <v>26</v>
      </c>
      <c r="D132" t="inlineStr">
        <is>
          <t>VACATION</t>
        </is>
      </c>
      <c r="E132" t="n">
        <v>4</v>
      </c>
      <c r="F132">
        <f>SCHEDULE!BO26</f>
        <v/>
      </c>
      <c r="G132">
        <f>MAX(0, E132-F132)</f>
        <v/>
      </c>
      <c r="H132">
        <f>IF(G132&gt;0,"DEFICIT","")</f>
        <v/>
      </c>
    </row>
    <row r="133">
      <c r="A133" t="inlineStr">
        <is>
          <t>G. Curbelo</t>
        </is>
      </c>
      <c r="B133" t="inlineStr">
        <is>
          <t>PGY3</t>
        </is>
      </c>
      <c r="C133" t="n">
        <v>27</v>
      </c>
      <c r="D133" t="inlineStr">
        <is>
          <t>FLOORS</t>
        </is>
      </c>
      <c r="E133" t="n">
        <v>16</v>
      </c>
      <c r="F133">
        <f>SCHEDULE!BG27</f>
        <v/>
      </c>
      <c r="G133">
        <f>MAX(0, E133-F133)</f>
        <v/>
      </c>
      <c r="H133">
        <f>IF(G133&gt;0,"DEFICIT","")</f>
        <v/>
      </c>
    </row>
    <row r="134">
      <c r="A134" t="inlineStr">
        <is>
          <t>G. Curbelo</t>
        </is>
      </c>
      <c r="B134" t="inlineStr">
        <is>
          <t>PGY3</t>
        </is>
      </c>
      <c r="C134" t="n">
        <v>27</v>
      </c>
      <c r="D134" t="inlineStr">
        <is>
          <t>CLINIC</t>
        </is>
      </c>
      <c r="E134" t="n">
        <v>14</v>
      </c>
      <c r="F134">
        <f>SCHEDULE!BE27</f>
        <v/>
      </c>
      <c r="G134">
        <f>MAX(0, E134-F134)</f>
        <v/>
      </c>
      <c r="H134">
        <f>IF(G134&gt;0,"DEFICIT","")</f>
        <v/>
      </c>
    </row>
    <row r="135">
      <c r="A135" t="inlineStr">
        <is>
          <t>G. Curbelo</t>
        </is>
      </c>
      <c r="B135" t="inlineStr">
        <is>
          <t>PGY3</t>
        </is>
      </c>
      <c r="C135" t="n">
        <v>27</v>
      </c>
      <c r="D135" t="inlineStr">
        <is>
          <t>VACATION</t>
        </is>
      </c>
      <c r="E135" t="n">
        <v>4</v>
      </c>
      <c r="F135">
        <f>SCHEDULE!BO27</f>
        <v/>
      </c>
      <c r="G135">
        <f>MAX(0, E135-F135)</f>
        <v/>
      </c>
      <c r="H135">
        <f>IF(G135&gt;0,"DEFICIT","")</f>
        <v/>
      </c>
    </row>
    <row r="136">
      <c r="A136" t="inlineStr">
        <is>
          <t>J. Diaz</t>
        </is>
      </c>
      <c r="B136" t="inlineStr">
        <is>
          <t>PGY3</t>
        </is>
      </c>
      <c r="C136" t="n">
        <v>28</v>
      </c>
      <c r="D136" t="inlineStr">
        <is>
          <t>FLOORS</t>
        </is>
      </c>
      <c r="E136" t="n">
        <v>16</v>
      </c>
      <c r="F136">
        <f>SCHEDULE!BG28</f>
        <v/>
      </c>
      <c r="G136">
        <f>MAX(0, E136-F136)</f>
        <v/>
      </c>
      <c r="H136">
        <f>IF(G136&gt;0,"DEFICIT","")</f>
        <v/>
      </c>
    </row>
    <row r="137">
      <c r="A137" t="inlineStr">
        <is>
          <t>J. Diaz</t>
        </is>
      </c>
      <c r="B137" t="inlineStr">
        <is>
          <t>PGY3</t>
        </is>
      </c>
      <c r="C137" t="n">
        <v>28</v>
      </c>
      <c r="D137" t="inlineStr">
        <is>
          <t>CLINIC</t>
        </is>
      </c>
      <c r="E137" t="n">
        <v>14</v>
      </c>
      <c r="F137">
        <f>SCHEDULE!BE28</f>
        <v/>
      </c>
      <c r="G137">
        <f>MAX(0, E137-F137)</f>
        <v/>
      </c>
      <c r="H137">
        <f>IF(G137&gt;0,"DEFICIT","")</f>
        <v/>
      </c>
    </row>
    <row r="138">
      <c r="A138" t="inlineStr">
        <is>
          <t>J. Diaz</t>
        </is>
      </c>
      <c r="B138" t="inlineStr">
        <is>
          <t>PGY3</t>
        </is>
      </c>
      <c r="C138" t="n">
        <v>28</v>
      </c>
      <c r="D138" t="inlineStr">
        <is>
          <t>VACATION</t>
        </is>
      </c>
      <c r="E138" t="n">
        <v>4</v>
      </c>
      <c r="F138">
        <f>SCHEDULE!BO28</f>
        <v/>
      </c>
      <c r="G138">
        <f>MAX(0, E138-F138)</f>
        <v/>
      </c>
      <c r="H138">
        <f>IF(G138&gt;0,"DEFICIT","")</f>
        <v/>
      </c>
    </row>
    <row r="139">
      <c r="A139" t="inlineStr">
        <is>
          <t>M. Rivas</t>
        </is>
      </c>
      <c r="B139" t="inlineStr">
        <is>
          <t>PGY1</t>
        </is>
      </c>
      <c r="C139" t="n">
        <v>29</v>
      </c>
      <c r="D139" t="inlineStr">
        <is>
          <t>ICU</t>
        </is>
      </c>
      <c r="E139" t="n">
        <v>8</v>
      </c>
      <c r="F139">
        <f>SCHEDULE!BH29</f>
        <v/>
      </c>
      <c r="G139">
        <f>MAX(0, E139-F139)</f>
        <v/>
      </c>
      <c r="H139">
        <f>IF(G139&gt;0,"DEFICIT","")</f>
        <v/>
      </c>
    </row>
    <row r="140">
      <c r="A140" t="inlineStr">
        <is>
          <t>M. Rivas</t>
        </is>
      </c>
      <c r="B140" t="inlineStr">
        <is>
          <t>PGY1</t>
        </is>
      </c>
      <c r="C140" t="n">
        <v>29</v>
      </c>
      <c r="D140" t="inlineStr">
        <is>
          <t>FLOORS</t>
        </is>
      </c>
      <c r="E140" t="n">
        <v>20</v>
      </c>
      <c r="F140">
        <f>SCHEDULE!BG29</f>
        <v/>
      </c>
      <c r="G140">
        <f>MAX(0, E140-F140)</f>
        <v/>
      </c>
      <c r="H140">
        <f>IF(G140&gt;0,"DEFICIT","")</f>
        <v/>
      </c>
    </row>
    <row r="141">
      <c r="A141" t="inlineStr">
        <is>
          <t>M. Rivas</t>
        </is>
      </c>
      <c r="B141" t="inlineStr">
        <is>
          <t>PGY1</t>
        </is>
      </c>
      <c r="C141" t="n">
        <v>29</v>
      </c>
      <c r="D141" t="inlineStr">
        <is>
          <t>CLINIC</t>
        </is>
      </c>
      <c r="E141" t="n">
        <v>14</v>
      </c>
      <c r="F141">
        <f>SCHEDULE!BE29</f>
        <v/>
      </c>
      <c r="G141">
        <f>MAX(0, E141-F141)</f>
        <v/>
      </c>
      <c r="H141">
        <f>IF(G141&gt;0,"DEFICIT","")</f>
        <v/>
      </c>
    </row>
    <row r="142">
      <c r="A142" t="inlineStr">
        <is>
          <t>M. Rivas</t>
        </is>
      </c>
      <c r="B142" t="inlineStr">
        <is>
          <t>PGY1</t>
        </is>
      </c>
      <c r="C142" t="n">
        <v>29</v>
      </c>
      <c r="D142" t="inlineStr">
        <is>
          <t>CARDIO</t>
        </is>
      </c>
      <c r="E142" t="n">
        <v>2</v>
      </c>
      <c r="F142">
        <f>SCHEDULE!BD29</f>
        <v/>
      </c>
      <c r="G142">
        <f>MAX(0, E142-F142)</f>
        <v/>
      </c>
      <c r="H142">
        <f>IF(G142&gt;0,"DEFICIT","")</f>
        <v/>
      </c>
    </row>
    <row r="143">
      <c r="A143" t="inlineStr">
        <is>
          <t>M. Rivas</t>
        </is>
      </c>
      <c r="B143" t="inlineStr">
        <is>
          <t>PGY1</t>
        </is>
      </c>
      <c r="C143" t="n">
        <v>29</v>
      </c>
      <c r="D143" t="inlineStr">
        <is>
          <t>ID</t>
        </is>
      </c>
      <c r="E143" t="n">
        <v>2</v>
      </c>
      <c r="F143">
        <f>SCHEDULE!BK29</f>
        <v/>
      </c>
      <c r="G143">
        <f>MAX(0, E143-F143)</f>
        <v/>
      </c>
      <c r="H143">
        <f>IF(G143&gt;0,"DEFICIT","")</f>
        <v/>
      </c>
    </row>
    <row r="144">
      <c r="A144" t="inlineStr">
        <is>
          <t>M. Rivas</t>
        </is>
      </c>
      <c r="B144" t="inlineStr">
        <is>
          <t>PGY1</t>
        </is>
      </c>
      <c r="C144" t="n">
        <v>29</v>
      </c>
      <c r="D144" t="inlineStr">
        <is>
          <t>ED</t>
        </is>
      </c>
      <c r="E144" t="n">
        <v>2</v>
      </c>
      <c r="F144">
        <f>SCHEDULE!BF29</f>
        <v/>
      </c>
      <c r="G144">
        <f>MAX(0, E144-F144)</f>
        <v/>
      </c>
      <c r="H144">
        <f>IF(G144&gt;0,"DEFICIT","")</f>
        <v/>
      </c>
    </row>
    <row r="145">
      <c r="A145" t="inlineStr">
        <is>
          <t>M. Rivas</t>
        </is>
      </c>
      <c r="B145" t="inlineStr">
        <is>
          <t>PGY1</t>
        </is>
      </c>
      <c r="C145" t="n">
        <v>29</v>
      </c>
      <c r="D145" t="inlineStr">
        <is>
          <t>VACATION</t>
        </is>
      </c>
      <c r="E145" t="n">
        <v>4</v>
      </c>
      <c r="F145">
        <f>SCHEDULE!BO29</f>
        <v/>
      </c>
      <c r="G145">
        <f>MAX(0, E145-F145)</f>
        <v/>
      </c>
      <c r="H145">
        <f>IF(G145&gt;0,"DEFICIT","")</f>
        <v/>
      </c>
    </row>
    <row r="146">
      <c r="A146" t="inlineStr">
        <is>
          <t>R. Bernal</t>
        </is>
      </c>
      <c r="B146" t="inlineStr">
        <is>
          <t>PGY1</t>
        </is>
      </c>
      <c r="C146" t="n">
        <v>30</v>
      </c>
      <c r="D146" t="inlineStr">
        <is>
          <t>ICU</t>
        </is>
      </c>
      <c r="E146" t="n">
        <v>8</v>
      </c>
      <c r="F146">
        <f>SCHEDULE!BH30</f>
        <v/>
      </c>
      <c r="G146">
        <f>MAX(0, E146-F146)</f>
        <v/>
      </c>
      <c r="H146">
        <f>IF(G146&gt;0,"DEFICIT","")</f>
        <v/>
      </c>
    </row>
    <row r="147">
      <c r="A147" t="inlineStr">
        <is>
          <t>R. Bernal</t>
        </is>
      </c>
      <c r="B147" t="inlineStr">
        <is>
          <t>PGY1</t>
        </is>
      </c>
      <c r="C147" t="n">
        <v>30</v>
      </c>
      <c r="D147" t="inlineStr">
        <is>
          <t>FLOORS</t>
        </is>
      </c>
      <c r="E147" t="n">
        <v>20</v>
      </c>
      <c r="F147">
        <f>SCHEDULE!BG30</f>
        <v/>
      </c>
      <c r="G147">
        <f>MAX(0, E147-F147)</f>
        <v/>
      </c>
      <c r="H147">
        <f>IF(G147&gt;0,"DEFICIT","")</f>
        <v/>
      </c>
    </row>
    <row r="148">
      <c r="A148" t="inlineStr">
        <is>
          <t>R. Bernal</t>
        </is>
      </c>
      <c r="B148" t="inlineStr">
        <is>
          <t>PGY1</t>
        </is>
      </c>
      <c r="C148" t="n">
        <v>30</v>
      </c>
      <c r="D148" t="inlineStr">
        <is>
          <t>CLINIC</t>
        </is>
      </c>
      <c r="E148" t="n">
        <v>14</v>
      </c>
      <c r="F148">
        <f>SCHEDULE!BE30</f>
        <v/>
      </c>
      <c r="G148">
        <f>MAX(0, E148-F148)</f>
        <v/>
      </c>
      <c r="H148">
        <f>IF(G148&gt;0,"DEFICIT","")</f>
        <v/>
      </c>
    </row>
    <row r="149">
      <c r="A149" t="inlineStr">
        <is>
          <t>R. Bernal</t>
        </is>
      </c>
      <c r="B149" t="inlineStr">
        <is>
          <t>PGY1</t>
        </is>
      </c>
      <c r="C149" t="n">
        <v>30</v>
      </c>
      <c r="D149" t="inlineStr">
        <is>
          <t>CARDIO</t>
        </is>
      </c>
      <c r="E149" t="n">
        <v>2</v>
      </c>
      <c r="F149">
        <f>SCHEDULE!BD30</f>
        <v/>
      </c>
      <c r="G149">
        <f>MAX(0, E149-F149)</f>
        <v/>
      </c>
      <c r="H149">
        <f>IF(G149&gt;0,"DEFICIT","")</f>
        <v/>
      </c>
    </row>
    <row r="150">
      <c r="A150" t="inlineStr">
        <is>
          <t>R. Bernal</t>
        </is>
      </c>
      <c r="B150" t="inlineStr">
        <is>
          <t>PGY1</t>
        </is>
      </c>
      <c r="C150" t="n">
        <v>30</v>
      </c>
      <c r="D150" t="inlineStr">
        <is>
          <t>ID</t>
        </is>
      </c>
      <c r="E150" t="n">
        <v>2</v>
      </c>
      <c r="F150">
        <f>SCHEDULE!BK30</f>
        <v/>
      </c>
      <c r="G150">
        <f>MAX(0, E150-F150)</f>
        <v/>
      </c>
      <c r="H150">
        <f>IF(G150&gt;0,"DEFICIT","")</f>
        <v/>
      </c>
    </row>
    <row r="151">
      <c r="A151" t="inlineStr">
        <is>
          <t>R. Bernal</t>
        </is>
      </c>
      <c r="B151" t="inlineStr">
        <is>
          <t>PGY1</t>
        </is>
      </c>
      <c r="C151" t="n">
        <v>30</v>
      </c>
      <c r="D151" t="inlineStr">
        <is>
          <t>ED</t>
        </is>
      </c>
      <c r="E151" t="n">
        <v>2</v>
      </c>
      <c r="F151">
        <f>SCHEDULE!BF30</f>
        <v/>
      </c>
      <c r="G151">
        <f>MAX(0, E151-F151)</f>
        <v/>
      </c>
      <c r="H151">
        <f>IF(G151&gt;0,"DEFICIT","")</f>
        <v/>
      </c>
    </row>
    <row r="152">
      <c r="A152" t="inlineStr">
        <is>
          <t>R. Bernal</t>
        </is>
      </c>
      <c r="B152" t="inlineStr">
        <is>
          <t>PGY1</t>
        </is>
      </c>
      <c r="C152" t="n">
        <v>30</v>
      </c>
      <c r="D152" t="inlineStr">
        <is>
          <t>VACATION</t>
        </is>
      </c>
      <c r="E152" t="n">
        <v>4</v>
      </c>
      <c r="F152">
        <f>SCHEDULE!BO30</f>
        <v/>
      </c>
      <c r="G152">
        <f>MAX(0, E152-F152)</f>
        <v/>
      </c>
      <c r="H152">
        <f>IF(G152&gt;0,"DEFICIT","")</f>
        <v/>
      </c>
    </row>
    <row r="153">
      <c r="A153" t="inlineStr">
        <is>
          <t>A. Gonzalez</t>
        </is>
      </c>
      <c r="B153" t="inlineStr">
        <is>
          <t>PGY1</t>
        </is>
      </c>
      <c r="C153" t="n">
        <v>31</v>
      </c>
      <c r="D153" t="inlineStr">
        <is>
          <t>ICU</t>
        </is>
      </c>
      <c r="E153" t="n">
        <v>8</v>
      </c>
      <c r="F153">
        <f>SCHEDULE!BH31</f>
        <v/>
      </c>
      <c r="G153">
        <f>MAX(0, E153-F153)</f>
        <v/>
      </c>
      <c r="H153">
        <f>IF(G153&gt;0,"DEFICIT","")</f>
        <v/>
      </c>
    </row>
    <row r="154">
      <c r="A154" t="inlineStr">
        <is>
          <t>A. Gonzalez</t>
        </is>
      </c>
      <c r="B154" t="inlineStr">
        <is>
          <t>PGY1</t>
        </is>
      </c>
      <c r="C154" t="n">
        <v>31</v>
      </c>
      <c r="D154" t="inlineStr">
        <is>
          <t>FLOORS</t>
        </is>
      </c>
      <c r="E154" t="n">
        <v>20</v>
      </c>
      <c r="F154">
        <f>SCHEDULE!BG31</f>
        <v/>
      </c>
      <c r="G154">
        <f>MAX(0, E154-F154)</f>
        <v/>
      </c>
      <c r="H154">
        <f>IF(G154&gt;0,"DEFICIT","")</f>
        <v/>
      </c>
    </row>
    <row r="155">
      <c r="A155" t="inlineStr">
        <is>
          <t>A. Gonzalez</t>
        </is>
      </c>
      <c r="B155" t="inlineStr">
        <is>
          <t>PGY1</t>
        </is>
      </c>
      <c r="C155" t="n">
        <v>31</v>
      </c>
      <c r="D155" t="inlineStr">
        <is>
          <t>CLINIC</t>
        </is>
      </c>
      <c r="E155" t="n">
        <v>14</v>
      </c>
      <c r="F155">
        <f>SCHEDULE!BE31</f>
        <v/>
      </c>
      <c r="G155">
        <f>MAX(0, E155-F155)</f>
        <v/>
      </c>
      <c r="H155">
        <f>IF(G155&gt;0,"DEFICIT","")</f>
        <v/>
      </c>
    </row>
    <row r="156">
      <c r="A156" t="inlineStr">
        <is>
          <t>A. Gonzalez</t>
        </is>
      </c>
      <c r="B156" t="inlineStr">
        <is>
          <t>PGY1</t>
        </is>
      </c>
      <c r="C156" t="n">
        <v>31</v>
      </c>
      <c r="D156" t="inlineStr">
        <is>
          <t>CARDIO</t>
        </is>
      </c>
      <c r="E156" t="n">
        <v>2</v>
      </c>
      <c r="F156">
        <f>SCHEDULE!BD31</f>
        <v/>
      </c>
      <c r="G156">
        <f>MAX(0, E156-F156)</f>
        <v/>
      </c>
      <c r="H156">
        <f>IF(G156&gt;0,"DEFICIT","")</f>
        <v/>
      </c>
    </row>
    <row r="157">
      <c r="A157" t="inlineStr">
        <is>
          <t>A. Gonzalez</t>
        </is>
      </c>
      <c r="B157" t="inlineStr">
        <is>
          <t>PGY1</t>
        </is>
      </c>
      <c r="C157" t="n">
        <v>31</v>
      </c>
      <c r="D157" t="inlineStr">
        <is>
          <t>ID</t>
        </is>
      </c>
      <c r="E157" t="n">
        <v>2</v>
      </c>
      <c r="F157">
        <f>SCHEDULE!BK31</f>
        <v/>
      </c>
      <c r="G157">
        <f>MAX(0, E157-F157)</f>
        <v/>
      </c>
      <c r="H157">
        <f>IF(G157&gt;0,"DEFICIT","")</f>
        <v/>
      </c>
    </row>
    <row r="158">
      <c r="A158" t="inlineStr">
        <is>
          <t>A. Gonzalez</t>
        </is>
      </c>
      <c r="B158" t="inlineStr">
        <is>
          <t>PGY1</t>
        </is>
      </c>
      <c r="C158" t="n">
        <v>31</v>
      </c>
      <c r="D158" t="inlineStr">
        <is>
          <t>ED</t>
        </is>
      </c>
      <c r="E158" t="n">
        <v>2</v>
      </c>
      <c r="F158">
        <f>SCHEDULE!BF31</f>
        <v/>
      </c>
      <c r="G158">
        <f>MAX(0, E158-F158)</f>
        <v/>
      </c>
      <c r="H158">
        <f>IF(G158&gt;0,"DEFICIT","")</f>
        <v/>
      </c>
    </row>
    <row r="159">
      <c r="A159" t="inlineStr">
        <is>
          <t>A. Gonzalez</t>
        </is>
      </c>
      <c r="B159" t="inlineStr">
        <is>
          <t>PGY1</t>
        </is>
      </c>
      <c r="C159" t="n">
        <v>31</v>
      </c>
      <c r="D159" t="inlineStr">
        <is>
          <t>VACATION</t>
        </is>
      </c>
      <c r="E159" t="n">
        <v>4</v>
      </c>
      <c r="F159">
        <f>SCHEDULE!BO31</f>
        <v/>
      </c>
      <c r="G159">
        <f>MAX(0, E159-F159)</f>
        <v/>
      </c>
      <c r="H159">
        <f>IF(G159&gt;0,"DEFICIT","")</f>
        <v/>
      </c>
    </row>
    <row r="160">
      <c r="A160" t="inlineStr">
        <is>
          <t>N. Monroig</t>
        </is>
      </c>
      <c r="B160" t="inlineStr">
        <is>
          <t>PGY1</t>
        </is>
      </c>
      <c r="C160" t="n">
        <v>32</v>
      </c>
      <c r="D160" t="inlineStr">
        <is>
          <t>ICU</t>
        </is>
      </c>
      <c r="E160" t="n">
        <v>8</v>
      </c>
      <c r="F160">
        <f>SCHEDULE!BH32</f>
        <v/>
      </c>
      <c r="G160">
        <f>MAX(0, E160-F160)</f>
        <v/>
      </c>
      <c r="H160">
        <f>IF(G160&gt;0,"DEFICIT","")</f>
        <v/>
      </c>
    </row>
    <row r="161">
      <c r="A161" t="inlineStr">
        <is>
          <t>N. Monroig</t>
        </is>
      </c>
      <c r="B161" t="inlineStr">
        <is>
          <t>PGY1</t>
        </is>
      </c>
      <c r="C161" t="n">
        <v>32</v>
      </c>
      <c r="D161" t="inlineStr">
        <is>
          <t>FLOORS</t>
        </is>
      </c>
      <c r="E161" t="n">
        <v>20</v>
      </c>
      <c r="F161">
        <f>SCHEDULE!BG32</f>
        <v/>
      </c>
      <c r="G161">
        <f>MAX(0, E161-F161)</f>
        <v/>
      </c>
      <c r="H161">
        <f>IF(G161&gt;0,"DEFICIT","")</f>
        <v/>
      </c>
    </row>
    <row r="162">
      <c r="A162" t="inlineStr">
        <is>
          <t>N. Monroig</t>
        </is>
      </c>
      <c r="B162" t="inlineStr">
        <is>
          <t>PGY1</t>
        </is>
      </c>
      <c r="C162" t="n">
        <v>32</v>
      </c>
      <c r="D162" t="inlineStr">
        <is>
          <t>CLINIC</t>
        </is>
      </c>
      <c r="E162" t="n">
        <v>14</v>
      </c>
      <c r="F162">
        <f>SCHEDULE!BE32</f>
        <v/>
      </c>
      <c r="G162">
        <f>MAX(0, E162-F162)</f>
        <v/>
      </c>
      <c r="H162">
        <f>IF(G162&gt;0,"DEFICIT","")</f>
        <v/>
      </c>
    </row>
    <row r="163">
      <c r="A163" t="inlineStr">
        <is>
          <t>N. Monroig</t>
        </is>
      </c>
      <c r="B163" t="inlineStr">
        <is>
          <t>PGY1</t>
        </is>
      </c>
      <c r="C163" t="n">
        <v>32</v>
      </c>
      <c r="D163" t="inlineStr">
        <is>
          <t>CARDIO</t>
        </is>
      </c>
      <c r="E163" t="n">
        <v>2</v>
      </c>
      <c r="F163">
        <f>SCHEDULE!BD32</f>
        <v/>
      </c>
      <c r="G163">
        <f>MAX(0, E163-F163)</f>
        <v/>
      </c>
      <c r="H163">
        <f>IF(G163&gt;0,"DEFICIT","")</f>
        <v/>
      </c>
    </row>
    <row r="164">
      <c r="A164" t="inlineStr">
        <is>
          <t>N. Monroig</t>
        </is>
      </c>
      <c r="B164" t="inlineStr">
        <is>
          <t>PGY1</t>
        </is>
      </c>
      <c r="C164" t="n">
        <v>32</v>
      </c>
      <c r="D164" t="inlineStr">
        <is>
          <t>ID</t>
        </is>
      </c>
      <c r="E164" t="n">
        <v>2</v>
      </c>
      <c r="F164">
        <f>SCHEDULE!BK32</f>
        <v/>
      </c>
      <c r="G164">
        <f>MAX(0, E164-F164)</f>
        <v/>
      </c>
      <c r="H164">
        <f>IF(G164&gt;0,"DEFICIT","")</f>
        <v/>
      </c>
    </row>
    <row r="165">
      <c r="A165" t="inlineStr">
        <is>
          <t>N. Monroig</t>
        </is>
      </c>
      <c r="B165" t="inlineStr">
        <is>
          <t>PGY1</t>
        </is>
      </c>
      <c r="C165" t="n">
        <v>32</v>
      </c>
      <c r="D165" t="inlineStr">
        <is>
          <t>ED</t>
        </is>
      </c>
      <c r="E165" t="n">
        <v>2</v>
      </c>
      <c r="F165">
        <f>SCHEDULE!BF32</f>
        <v/>
      </c>
      <c r="G165">
        <f>MAX(0, E165-F165)</f>
        <v/>
      </c>
      <c r="H165">
        <f>IF(G165&gt;0,"DEFICIT","")</f>
        <v/>
      </c>
    </row>
    <row r="166">
      <c r="A166" t="inlineStr">
        <is>
          <t>N. Monroig</t>
        </is>
      </c>
      <c r="B166" t="inlineStr">
        <is>
          <t>PGY1</t>
        </is>
      </c>
      <c r="C166" t="n">
        <v>32</v>
      </c>
      <c r="D166" t="inlineStr">
        <is>
          <t>VACATION</t>
        </is>
      </c>
      <c r="E166" t="n">
        <v>4</v>
      </c>
      <c r="F166">
        <f>SCHEDULE!BO32</f>
        <v/>
      </c>
      <c r="G166">
        <f>MAX(0, E166-F166)</f>
        <v/>
      </c>
      <c r="H166">
        <f>IF(G166&gt;0,"DEFICIT","")</f>
        <v/>
      </c>
    </row>
    <row r="167">
      <c r="A167" t="inlineStr">
        <is>
          <t>E. Mujica</t>
        </is>
      </c>
      <c r="B167" t="inlineStr">
        <is>
          <t>PGY2</t>
        </is>
      </c>
      <c r="C167" t="n">
        <v>33</v>
      </c>
      <c r="D167" t="inlineStr">
        <is>
          <t>ICU</t>
        </is>
      </c>
      <c r="E167" t="n">
        <v>8</v>
      </c>
      <c r="F167">
        <f>SCHEDULE!BH33</f>
        <v/>
      </c>
      <c r="G167">
        <f>MAX(0, E167-F167)</f>
        <v/>
      </c>
      <c r="H167">
        <f>IF(G167&gt;0,"DEFICIT","")</f>
        <v/>
      </c>
    </row>
    <row r="168">
      <c r="A168" t="inlineStr">
        <is>
          <t>E. Mujica</t>
        </is>
      </c>
      <c r="B168" t="inlineStr">
        <is>
          <t>PGY2</t>
        </is>
      </c>
      <c r="C168" t="n">
        <v>33</v>
      </c>
      <c r="D168" t="inlineStr">
        <is>
          <t>FLOORS</t>
        </is>
      </c>
      <c r="E168" t="n">
        <v>16</v>
      </c>
      <c r="F168">
        <f>SCHEDULE!BG33</f>
        <v/>
      </c>
      <c r="G168">
        <f>MAX(0, E168-F168)</f>
        <v/>
      </c>
      <c r="H168">
        <f>IF(G168&gt;0,"DEFICIT","")</f>
        <v/>
      </c>
    </row>
    <row r="169">
      <c r="A169" t="inlineStr">
        <is>
          <t>E. Mujica</t>
        </is>
      </c>
      <c r="B169" t="inlineStr">
        <is>
          <t>PGY2</t>
        </is>
      </c>
      <c r="C169" t="n">
        <v>33</v>
      </c>
      <c r="D169" t="inlineStr">
        <is>
          <t>CLINIC</t>
        </is>
      </c>
      <c r="E169" t="n">
        <v>14</v>
      </c>
      <c r="F169">
        <f>SCHEDULE!BE33</f>
        <v/>
      </c>
      <c r="G169">
        <f>MAX(0, E169-F169)</f>
        <v/>
      </c>
      <c r="H169">
        <f>IF(G169&gt;0,"DEFICIT","")</f>
        <v/>
      </c>
    </row>
    <row r="170">
      <c r="A170" t="inlineStr">
        <is>
          <t>E. Mujica</t>
        </is>
      </c>
      <c r="B170" t="inlineStr">
        <is>
          <t>PGY2</t>
        </is>
      </c>
      <c r="C170" t="n">
        <v>33</v>
      </c>
      <c r="D170" t="inlineStr">
        <is>
          <t>CARDIO</t>
        </is>
      </c>
      <c r="E170" t="n">
        <v>4</v>
      </c>
      <c r="F170">
        <f>SCHEDULE!BD33</f>
        <v/>
      </c>
      <c r="G170">
        <f>MAX(0, E170-F170)</f>
        <v/>
      </c>
      <c r="H170">
        <f>IF(G170&gt;0,"DEFICIT","")</f>
        <v/>
      </c>
    </row>
    <row r="171">
      <c r="A171" t="inlineStr">
        <is>
          <t>E. Mujica</t>
        </is>
      </c>
      <c r="B171" t="inlineStr">
        <is>
          <t>PGY2</t>
        </is>
      </c>
      <c r="C171" t="n">
        <v>33</v>
      </c>
      <c r="D171" t="inlineStr">
        <is>
          <t>ID</t>
        </is>
      </c>
      <c r="E171" t="n">
        <v>2</v>
      </c>
      <c r="F171">
        <f>SCHEDULE!BK33</f>
        <v/>
      </c>
      <c r="G171">
        <f>MAX(0, E171-F171)</f>
        <v/>
      </c>
      <c r="H171">
        <f>IF(G171&gt;0,"DEFICIT","")</f>
        <v/>
      </c>
    </row>
    <row r="172">
      <c r="A172" t="inlineStr">
        <is>
          <t>E. Mujica</t>
        </is>
      </c>
      <c r="B172" t="inlineStr">
        <is>
          <t>PGY2</t>
        </is>
      </c>
      <c r="C172" t="n">
        <v>33</v>
      </c>
      <c r="D172" t="inlineStr">
        <is>
          <t>ED</t>
        </is>
      </c>
      <c r="E172" t="n">
        <v>2</v>
      </c>
      <c r="F172">
        <f>SCHEDULE!BF33</f>
        <v/>
      </c>
      <c r="G172">
        <f>MAX(0, E172-F172)</f>
        <v/>
      </c>
      <c r="H172">
        <f>IF(G172&gt;0,"DEFICIT","")</f>
        <v/>
      </c>
    </row>
    <row r="173">
      <c r="A173" t="inlineStr">
        <is>
          <t>E. Mujica</t>
        </is>
      </c>
      <c r="B173" t="inlineStr">
        <is>
          <t>PGY2</t>
        </is>
      </c>
      <c r="C173" t="n">
        <v>33</v>
      </c>
      <c r="D173" t="inlineStr">
        <is>
          <t>NEURO</t>
        </is>
      </c>
      <c r="E173" t="n">
        <v>2</v>
      </c>
      <c r="F173">
        <f>SCHEDULE!BL33</f>
        <v/>
      </c>
      <c r="G173">
        <f>MAX(0, E173-F173)</f>
        <v/>
      </c>
      <c r="H173">
        <f>IF(G173&gt;0,"DEFICIT","")</f>
        <v/>
      </c>
    </row>
    <row r="174">
      <c r="A174" t="inlineStr">
        <is>
          <t>E. Mujica</t>
        </is>
      </c>
      <c r="B174" t="inlineStr">
        <is>
          <t>PGY2</t>
        </is>
      </c>
      <c r="C174" t="n">
        <v>33</v>
      </c>
      <c r="D174" t="inlineStr">
        <is>
          <t>VACATION</t>
        </is>
      </c>
      <c r="E174" t="n">
        <v>4</v>
      </c>
      <c r="F174">
        <f>SCHEDULE!BO33</f>
        <v/>
      </c>
      <c r="G174">
        <f>MAX(0, E174-F174)</f>
        <v/>
      </c>
      <c r="H174">
        <f>IF(G174&gt;0,"DEFICIT","")</f>
        <v/>
      </c>
    </row>
    <row r="175">
      <c r="A175" t="inlineStr">
        <is>
          <t>Y. Oliva</t>
        </is>
      </c>
      <c r="B175" t="inlineStr">
        <is>
          <t>PGY2</t>
        </is>
      </c>
      <c r="C175" t="n">
        <v>34</v>
      </c>
      <c r="D175" t="inlineStr">
        <is>
          <t>ICU</t>
        </is>
      </c>
      <c r="E175" t="n">
        <v>8</v>
      </c>
      <c r="F175">
        <f>SCHEDULE!BH34</f>
        <v/>
      </c>
      <c r="G175">
        <f>MAX(0, E175-F175)</f>
        <v/>
      </c>
      <c r="H175">
        <f>IF(G175&gt;0,"DEFICIT","")</f>
        <v/>
      </c>
    </row>
    <row r="176">
      <c r="A176" t="inlineStr">
        <is>
          <t>Y. Oliva</t>
        </is>
      </c>
      <c r="B176" t="inlineStr">
        <is>
          <t>PGY2</t>
        </is>
      </c>
      <c r="C176" t="n">
        <v>34</v>
      </c>
      <c r="D176" t="inlineStr">
        <is>
          <t>FLOORS</t>
        </is>
      </c>
      <c r="E176" t="n">
        <v>16</v>
      </c>
      <c r="F176">
        <f>SCHEDULE!BG34</f>
        <v/>
      </c>
      <c r="G176">
        <f>MAX(0, E176-F176)</f>
        <v/>
      </c>
      <c r="H176">
        <f>IF(G176&gt;0,"DEFICIT","")</f>
        <v/>
      </c>
    </row>
    <row r="177">
      <c r="A177" t="inlineStr">
        <is>
          <t>Y. Oliva</t>
        </is>
      </c>
      <c r="B177" t="inlineStr">
        <is>
          <t>PGY2</t>
        </is>
      </c>
      <c r="C177" t="n">
        <v>34</v>
      </c>
      <c r="D177" t="inlineStr">
        <is>
          <t>CLINIC</t>
        </is>
      </c>
      <c r="E177" t="n">
        <v>14</v>
      </c>
      <c r="F177">
        <f>SCHEDULE!BE34</f>
        <v/>
      </c>
      <c r="G177">
        <f>MAX(0, E177-F177)</f>
        <v/>
      </c>
      <c r="H177">
        <f>IF(G177&gt;0,"DEFICIT","")</f>
        <v/>
      </c>
    </row>
    <row r="178">
      <c r="A178" t="inlineStr">
        <is>
          <t>Y. Oliva</t>
        </is>
      </c>
      <c r="B178" t="inlineStr">
        <is>
          <t>PGY2</t>
        </is>
      </c>
      <c r="C178" t="n">
        <v>34</v>
      </c>
      <c r="D178" t="inlineStr">
        <is>
          <t>CARDIO</t>
        </is>
      </c>
      <c r="E178" t="n">
        <v>4</v>
      </c>
      <c r="F178">
        <f>SCHEDULE!BD34</f>
        <v/>
      </c>
      <c r="G178">
        <f>MAX(0, E178-F178)</f>
        <v/>
      </c>
      <c r="H178">
        <f>IF(G178&gt;0,"DEFICIT","")</f>
        <v/>
      </c>
    </row>
    <row r="179">
      <c r="A179" t="inlineStr">
        <is>
          <t>Y. Oliva</t>
        </is>
      </c>
      <c r="B179" t="inlineStr">
        <is>
          <t>PGY2</t>
        </is>
      </c>
      <c r="C179" t="n">
        <v>34</v>
      </c>
      <c r="D179" t="inlineStr">
        <is>
          <t>ID</t>
        </is>
      </c>
      <c r="E179" t="n">
        <v>2</v>
      </c>
      <c r="F179">
        <f>SCHEDULE!BK34</f>
        <v/>
      </c>
      <c r="G179">
        <f>MAX(0, E179-F179)</f>
        <v/>
      </c>
      <c r="H179">
        <f>IF(G179&gt;0,"DEFICIT","")</f>
        <v/>
      </c>
    </row>
    <row r="180">
      <c r="A180" t="inlineStr">
        <is>
          <t>Y. Oliva</t>
        </is>
      </c>
      <c r="B180" t="inlineStr">
        <is>
          <t>PGY2</t>
        </is>
      </c>
      <c r="C180" t="n">
        <v>34</v>
      </c>
      <c r="D180" t="inlineStr">
        <is>
          <t>ED</t>
        </is>
      </c>
      <c r="E180" t="n">
        <v>2</v>
      </c>
      <c r="F180">
        <f>SCHEDULE!BF34</f>
        <v/>
      </c>
      <c r="G180">
        <f>MAX(0, E180-F180)</f>
        <v/>
      </c>
      <c r="H180">
        <f>IF(G180&gt;0,"DEFICIT","")</f>
        <v/>
      </c>
    </row>
    <row r="181">
      <c r="A181" t="inlineStr">
        <is>
          <t>Y. Oliva</t>
        </is>
      </c>
      <c r="B181" t="inlineStr">
        <is>
          <t>PGY2</t>
        </is>
      </c>
      <c r="C181" t="n">
        <v>34</v>
      </c>
      <c r="D181" t="inlineStr">
        <is>
          <t>NEURO</t>
        </is>
      </c>
      <c r="E181" t="n">
        <v>2</v>
      </c>
      <c r="F181">
        <f>SCHEDULE!BL34</f>
        <v/>
      </c>
      <c r="G181">
        <f>MAX(0, E181-F181)</f>
        <v/>
      </c>
      <c r="H181">
        <f>IF(G181&gt;0,"DEFICIT","")</f>
        <v/>
      </c>
    </row>
    <row r="182">
      <c r="A182" t="inlineStr">
        <is>
          <t>Y. Oliva</t>
        </is>
      </c>
      <c r="B182" t="inlineStr">
        <is>
          <t>PGY2</t>
        </is>
      </c>
      <c r="C182" t="n">
        <v>34</v>
      </c>
      <c r="D182" t="inlineStr">
        <is>
          <t>VACATION</t>
        </is>
      </c>
      <c r="E182" t="n">
        <v>4</v>
      </c>
      <c r="F182">
        <f>SCHEDULE!BO34</f>
        <v/>
      </c>
      <c r="G182">
        <f>MAX(0, E182-F182)</f>
        <v/>
      </c>
      <c r="H182">
        <f>IF(G182&gt;0,"DEFICIT","")</f>
        <v/>
      </c>
    </row>
    <row r="183">
      <c r="A183" t="inlineStr">
        <is>
          <t>A. Perez-Sanz</t>
        </is>
      </c>
      <c r="B183" t="inlineStr">
        <is>
          <t>PGY2</t>
        </is>
      </c>
      <c r="C183" t="n">
        <v>35</v>
      </c>
      <c r="D183" t="inlineStr">
        <is>
          <t>ICU</t>
        </is>
      </c>
      <c r="E183" t="n">
        <v>8</v>
      </c>
      <c r="F183">
        <f>SCHEDULE!BH35</f>
        <v/>
      </c>
      <c r="G183">
        <f>MAX(0, E183-F183)</f>
        <v/>
      </c>
      <c r="H183">
        <f>IF(G183&gt;0,"DEFICIT","")</f>
        <v/>
      </c>
    </row>
    <row r="184">
      <c r="A184" t="inlineStr">
        <is>
          <t>A. Perez-Sanz</t>
        </is>
      </c>
      <c r="B184" t="inlineStr">
        <is>
          <t>PGY2</t>
        </is>
      </c>
      <c r="C184" t="n">
        <v>35</v>
      </c>
      <c r="D184" t="inlineStr">
        <is>
          <t>FLOORS</t>
        </is>
      </c>
      <c r="E184" t="n">
        <v>16</v>
      </c>
      <c r="F184">
        <f>SCHEDULE!BG35</f>
        <v/>
      </c>
      <c r="G184">
        <f>MAX(0, E184-F184)</f>
        <v/>
      </c>
      <c r="H184">
        <f>IF(G184&gt;0,"DEFICIT","")</f>
        <v/>
      </c>
    </row>
    <row r="185">
      <c r="A185" t="inlineStr">
        <is>
          <t>A. Perez-Sanz</t>
        </is>
      </c>
      <c r="B185" t="inlineStr">
        <is>
          <t>PGY2</t>
        </is>
      </c>
      <c r="C185" t="n">
        <v>35</v>
      </c>
      <c r="D185" t="inlineStr">
        <is>
          <t>CLINIC</t>
        </is>
      </c>
      <c r="E185" t="n">
        <v>14</v>
      </c>
      <c r="F185">
        <f>SCHEDULE!BE35</f>
        <v/>
      </c>
      <c r="G185">
        <f>MAX(0, E185-F185)</f>
        <v/>
      </c>
      <c r="H185">
        <f>IF(G185&gt;0,"DEFICIT","")</f>
        <v/>
      </c>
    </row>
    <row r="186">
      <c r="A186" t="inlineStr">
        <is>
          <t>A. Perez-Sanz</t>
        </is>
      </c>
      <c r="B186" t="inlineStr">
        <is>
          <t>PGY2</t>
        </is>
      </c>
      <c r="C186" t="n">
        <v>35</v>
      </c>
      <c r="D186" t="inlineStr">
        <is>
          <t>CARDIO</t>
        </is>
      </c>
      <c r="E186" t="n">
        <v>4</v>
      </c>
      <c r="F186">
        <f>SCHEDULE!BD35</f>
        <v/>
      </c>
      <c r="G186">
        <f>MAX(0, E186-F186)</f>
        <v/>
      </c>
      <c r="H186">
        <f>IF(G186&gt;0,"DEFICIT","")</f>
        <v/>
      </c>
    </row>
    <row r="187">
      <c r="A187" t="inlineStr">
        <is>
          <t>A. Perez-Sanz</t>
        </is>
      </c>
      <c r="B187" t="inlineStr">
        <is>
          <t>PGY2</t>
        </is>
      </c>
      <c r="C187" t="n">
        <v>35</v>
      </c>
      <c r="D187" t="inlineStr">
        <is>
          <t>ID</t>
        </is>
      </c>
      <c r="E187" t="n">
        <v>2</v>
      </c>
      <c r="F187">
        <f>SCHEDULE!BK35</f>
        <v/>
      </c>
      <c r="G187">
        <f>MAX(0, E187-F187)</f>
        <v/>
      </c>
      <c r="H187">
        <f>IF(G187&gt;0,"DEFICIT","")</f>
        <v/>
      </c>
    </row>
    <row r="188">
      <c r="A188" t="inlineStr">
        <is>
          <t>A. Perez-Sanz</t>
        </is>
      </c>
      <c r="B188" t="inlineStr">
        <is>
          <t>PGY2</t>
        </is>
      </c>
      <c r="C188" t="n">
        <v>35</v>
      </c>
      <c r="D188" t="inlineStr">
        <is>
          <t>ED</t>
        </is>
      </c>
      <c r="E188" t="n">
        <v>2</v>
      </c>
      <c r="F188">
        <f>SCHEDULE!BF35</f>
        <v/>
      </c>
      <c r="G188">
        <f>MAX(0, E188-F188)</f>
        <v/>
      </c>
      <c r="H188">
        <f>IF(G188&gt;0,"DEFICIT","")</f>
        <v/>
      </c>
    </row>
    <row r="189">
      <c r="A189" t="inlineStr">
        <is>
          <t>A. Perez-Sanz</t>
        </is>
      </c>
      <c r="B189" t="inlineStr">
        <is>
          <t>PGY2</t>
        </is>
      </c>
      <c r="C189" t="n">
        <v>35</v>
      </c>
      <c r="D189" t="inlineStr">
        <is>
          <t>NEURO</t>
        </is>
      </c>
      <c r="E189" t="n">
        <v>2</v>
      </c>
      <c r="F189">
        <f>SCHEDULE!BL35</f>
        <v/>
      </c>
      <c r="G189">
        <f>MAX(0, E189-F189)</f>
        <v/>
      </c>
      <c r="H189">
        <f>IF(G189&gt;0,"DEFICIT","")</f>
        <v/>
      </c>
    </row>
    <row r="190">
      <c r="A190" t="inlineStr">
        <is>
          <t>A. Perez-Sanz</t>
        </is>
      </c>
      <c r="B190" t="inlineStr">
        <is>
          <t>PGY2</t>
        </is>
      </c>
      <c r="C190" t="n">
        <v>35</v>
      </c>
      <c r="D190" t="inlineStr">
        <is>
          <t>VACATION</t>
        </is>
      </c>
      <c r="E190" t="n">
        <v>4</v>
      </c>
      <c r="F190">
        <f>SCHEDULE!BO35</f>
        <v/>
      </c>
      <c r="G190">
        <f>MAX(0, E190-F190)</f>
        <v/>
      </c>
      <c r="H190">
        <f>IF(G190&gt;0,"DEFICIT","")</f>
        <v/>
      </c>
    </row>
    <row r="191">
      <c r="A191" t="inlineStr">
        <is>
          <t>O. Melendez</t>
        </is>
      </c>
      <c r="B191" t="inlineStr">
        <is>
          <t>PGY2</t>
        </is>
      </c>
      <c r="C191" t="n">
        <v>36</v>
      </c>
      <c r="D191" t="inlineStr">
        <is>
          <t>ICU</t>
        </is>
      </c>
      <c r="E191" t="n">
        <v>8</v>
      </c>
      <c r="F191">
        <f>SCHEDULE!BH36</f>
        <v/>
      </c>
      <c r="G191">
        <f>MAX(0, E191-F191)</f>
        <v/>
      </c>
      <c r="H191">
        <f>IF(G191&gt;0,"DEFICIT","")</f>
        <v/>
      </c>
    </row>
    <row r="192">
      <c r="A192" t="inlineStr">
        <is>
          <t>O. Melendez</t>
        </is>
      </c>
      <c r="B192" t="inlineStr">
        <is>
          <t>PGY2</t>
        </is>
      </c>
      <c r="C192" t="n">
        <v>36</v>
      </c>
      <c r="D192" t="inlineStr">
        <is>
          <t>FLOORS</t>
        </is>
      </c>
      <c r="E192" t="n">
        <v>16</v>
      </c>
      <c r="F192">
        <f>SCHEDULE!BG36</f>
        <v/>
      </c>
      <c r="G192">
        <f>MAX(0, E192-F192)</f>
        <v/>
      </c>
      <c r="H192">
        <f>IF(G192&gt;0,"DEFICIT","")</f>
        <v/>
      </c>
    </row>
    <row r="193">
      <c r="A193" t="inlineStr">
        <is>
          <t>O. Melendez</t>
        </is>
      </c>
      <c r="B193" t="inlineStr">
        <is>
          <t>PGY2</t>
        </is>
      </c>
      <c r="C193" t="n">
        <v>36</v>
      </c>
      <c r="D193" t="inlineStr">
        <is>
          <t>CLINIC</t>
        </is>
      </c>
      <c r="E193" t="n">
        <v>14</v>
      </c>
      <c r="F193">
        <f>SCHEDULE!BE36</f>
        <v/>
      </c>
      <c r="G193">
        <f>MAX(0, E193-F193)</f>
        <v/>
      </c>
      <c r="H193">
        <f>IF(G193&gt;0,"DEFICIT","")</f>
        <v/>
      </c>
    </row>
    <row r="194">
      <c r="A194" t="inlineStr">
        <is>
          <t>O. Melendez</t>
        </is>
      </c>
      <c r="B194" t="inlineStr">
        <is>
          <t>PGY2</t>
        </is>
      </c>
      <c r="C194" t="n">
        <v>36</v>
      </c>
      <c r="D194" t="inlineStr">
        <is>
          <t>CARDIO</t>
        </is>
      </c>
      <c r="E194" t="n">
        <v>4</v>
      </c>
      <c r="F194">
        <f>SCHEDULE!BD36</f>
        <v/>
      </c>
      <c r="G194">
        <f>MAX(0, E194-F194)</f>
        <v/>
      </c>
      <c r="H194">
        <f>IF(G194&gt;0,"DEFICIT","")</f>
        <v/>
      </c>
    </row>
    <row r="195">
      <c r="A195" t="inlineStr">
        <is>
          <t>O. Melendez</t>
        </is>
      </c>
      <c r="B195" t="inlineStr">
        <is>
          <t>PGY2</t>
        </is>
      </c>
      <c r="C195" t="n">
        <v>36</v>
      </c>
      <c r="D195" t="inlineStr">
        <is>
          <t>ID</t>
        </is>
      </c>
      <c r="E195" t="n">
        <v>2</v>
      </c>
      <c r="F195">
        <f>SCHEDULE!BK36</f>
        <v/>
      </c>
      <c r="G195">
        <f>MAX(0, E195-F195)</f>
        <v/>
      </c>
      <c r="H195">
        <f>IF(G195&gt;0,"DEFICIT","")</f>
        <v/>
      </c>
    </row>
    <row r="196">
      <c r="A196" t="inlineStr">
        <is>
          <t>O. Melendez</t>
        </is>
      </c>
      <c r="B196" t="inlineStr">
        <is>
          <t>PGY2</t>
        </is>
      </c>
      <c r="C196" t="n">
        <v>36</v>
      </c>
      <c r="D196" t="inlineStr">
        <is>
          <t>ED</t>
        </is>
      </c>
      <c r="E196" t="n">
        <v>2</v>
      </c>
      <c r="F196">
        <f>SCHEDULE!BF36</f>
        <v/>
      </c>
      <c r="G196">
        <f>MAX(0, E196-F196)</f>
        <v/>
      </c>
      <c r="H196">
        <f>IF(G196&gt;0,"DEFICIT","")</f>
        <v/>
      </c>
    </row>
    <row r="197">
      <c r="A197" t="inlineStr">
        <is>
          <t>O. Melendez</t>
        </is>
      </c>
      <c r="B197" t="inlineStr">
        <is>
          <t>PGY2</t>
        </is>
      </c>
      <c r="C197" t="n">
        <v>36</v>
      </c>
      <c r="D197" t="inlineStr">
        <is>
          <t>NEURO</t>
        </is>
      </c>
      <c r="E197" t="n">
        <v>2</v>
      </c>
      <c r="F197">
        <f>SCHEDULE!BL36</f>
        <v/>
      </c>
      <c r="G197">
        <f>MAX(0, E197-F197)</f>
        <v/>
      </c>
      <c r="H197">
        <f>IF(G197&gt;0,"DEFICIT","")</f>
        <v/>
      </c>
    </row>
    <row r="198">
      <c r="A198" t="inlineStr">
        <is>
          <t>O. Melendez</t>
        </is>
      </c>
      <c r="B198" t="inlineStr">
        <is>
          <t>PGY2</t>
        </is>
      </c>
      <c r="C198" t="n">
        <v>36</v>
      </c>
      <c r="D198" t="inlineStr">
        <is>
          <t>VACATION</t>
        </is>
      </c>
      <c r="E198" t="n">
        <v>4</v>
      </c>
      <c r="F198">
        <f>SCHEDULE!BO36</f>
        <v/>
      </c>
      <c r="G198">
        <f>MAX(0, E198-F198)</f>
        <v/>
      </c>
      <c r="H198">
        <f>IF(G198&gt;0,"DEFICIT","")</f>
        <v/>
      </c>
    </row>
    <row r="199">
      <c r="A199" t="inlineStr">
        <is>
          <t>G. Barciela</t>
        </is>
      </c>
      <c r="B199" t="inlineStr">
        <is>
          <t>PGY3</t>
        </is>
      </c>
      <c r="C199" t="n">
        <v>37</v>
      </c>
      <c r="D199" t="inlineStr">
        <is>
          <t>FLOORS</t>
        </is>
      </c>
      <c r="E199" t="n">
        <v>16</v>
      </c>
      <c r="F199">
        <f>SCHEDULE!BG37</f>
        <v/>
      </c>
      <c r="G199">
        <f>MAX(0, E199-F199)</f>
        <v/>
      </c>
      <c r="H199">
        <f>IF(G199&gt;0,"DEFICIT","")</f>
        <v/>
      </c>
    </row>
    <row r="200">
      <c r="A200" t="inlineStr">
        <is>
          <t>G. Barciela</t>
        </is>
      </c>
      <c r="B200" t="inlineStr">
        <is>
          <t>PGY3</t>
        </is>
      </c>
      <c r="C200" t="n">
        <v>37</v>
      </c>
      <c r="D200" t="inlineStr">
        <is>
          <t>CLINIC</t>
        </is>
      </c>
      <c r="E200" t="n">
        <v>14</v>
      </c>
      <c r="F200">
        <f>SCHEDULE!BE37</f>
        <v/>
      </c>
      <c r="G200">
        <f>MAX(0, E200-F200)</f>
        <v/>
      </c>
      <c r="H200">
        <f>IF(G200&gt;0,"DEFICIT","")</f>
        <v/>
      </c>
    </row>
    <row r="201">
      <c r="A201" t="inlineStr">
        <is>
          <t>G. Barciela</t>
        </is>
      </c>
      <c r="B201" t="inlineStr">
        <is>
          <t>PGY3</t>
        </is>
      </c>
      <c r="C201" t="n">
        <v>37</v>
      </c>
      <c r="D201" t="inlineStr">
        <is>
          <t>VACATION</t>
        </is>
      </c>
      <c r="E201" t="n">
        <v>4</v>
      </c>
      <c r="F201">
        <f>SCHEDULE!BO37</f>
        <v/>
      </c>
      <c r="G201">
        <f>MAX(0, E201-F201)</f>
        <v/>
      </c>
      <c r="H201">
        <f>IF(G201&gt;0,"DEFICIT","")</f>
        <v/>
      </c>
    </row>
    <row r="202">
      <c r="A202" t="inlineStr">
        <is>
          <t>K. Sanchez</t>
        </is>
      </c>
      <c r="B202" t="inlineStr">
        <is>
          <t>PGY3</t>
        </is>
      </c>
      <c r="C202" t="n">
        <v>38</v>
      </c>
      <c r="D202" t="inlineStr">
        <is>
          <t>FLOORS</t>
        </is>
      </c>
      <c r="E202" t="n">
        <v>16</v>
      </c>
      <c r="F202">
        <f>SCHEDULE!BG38</f>
        <v/>
      </c>
      <c r="G202">
        <f>MAX(0, E202-F202)</f>
        <v/>
      </c>
      <c r="H202">
        <f>IF(G202&gt;0,"DEFICIT","")</f>
        <v/>
      </c>
    </row>
    <row r="203">
      <c r="A203" t="inlineStr">
        <is>
          <t>K. Sanchez</t>
        </is>
      </c>
      <c r="B203" t="inlineStr">
        <is>
          <t>PGY3</t>
        </is>
      </c>
      <c r="C203" t="n">
        <v>38</v>
      </c>
      <c r="D203" t="inlineStr">
        <is>
          <t>CLINIC</t>
        </is>
      </c>
      <c r="E203" t="n">
        <v>14</v>
      </c>
      <c r="F203">
        <f>SCHEDULE!BE38</f>
        <v/>
      </c>
      <c r="G203">
        <f>MAX(0, E203-F203)</f>
        <v/>
      </c>
      <c r="H203">
        <f>IF(G203&gt;0,"DEFICIT","")</f>
        <v/>
      </c>
    </row>
    <row r="204">
      <c r="A204" t="inlineStr">
        <is>
          <t>K. Sanchez</t>
        </is>
      </c>
      <c r="B204" t="inlineStr">
        <is>
          <t>PGY3</t>
        </is>
      </c>
      <c r="C204" t="n">
        <v>38</v>
      </c>
      <c r="D204" t="inlineStr">
        <is>
          <t>VACATION</t>
        </is>
      </c>
      <c r="E204" t="n">
        <v>4</v>
      </c>
      <c r="F204">
        <f>SCHEDULE!BO38</f>
        <v/>
      </c>
      <c r="G204">
        <f>MAX(0, E204-F204)</f>
        <v/>
      </c>
      <c r="H204">
        <f>IF(G204&gt;0,"DEFICIT","")</f>
        <v/>
      </c>
    </row>
    <row r="205">
      <c r="A205" t="inlineStr">
        <is>
          <t>C. Tucci</t>
        </is>
      </c>
      <c r="B205" t="inlineStr">
        <is>
          <t>PGY1</t>
        </is>
      </c>
      <c r="C205" t="n">
        <v>39</v>
      </c>
      <c r="D205" t="inlineStr">
        <is>
          <t>ICU</t>
        </is>
      </c>
      <c r="E205" t="n">
        <v>8</v>
      </c>
      <c r="F205">
        <f>SCHEDULE!BH39</f>
        <v/>
      </c>
      <c r="G205">
        <f>MAX(0, E205-F205)</f>
        <v/>
      </c>
      <c r="H205">
        <f>IF(G205&gt;0,"DEFICIT","")</f>
        <v/>
      </c>
    </row>
    <row r="206">
      <c r="A206" t="inlineStr">
        <is>
          <t>C. Tucci</t>
        </is>
      </c>
      <c r="B206" t="inlineStr">
        <is>
          <t>PGY1</t>
        </is>
      </c>
      <c r="C206" t="n">
        <v>39</v>
      </c>
      <c r="D206" t="inlineStr">
        <is>
          <t>FLOORS</t>
        </is>
      </c>
      <c r="E206" t="n">
        <v>20</v>
      </c>
      <c r="F206">
        <f>SCHEDULE!BG39</f>
        <v/>
      </c>
      <c r="G206">
        <f>MAX(0, E206-F206)</f>
        <v/>
      </c>
      <c r="H206">
        <f>IF(G206&gt;0,"DEFICIT","")</f>
        <v/>
      </c>
    </row>
    <row r="207">
      <c r="A207" t="inlineStr">
        <is>
          <t>C. Tucci</t>
        </is>
      </c>
      <c r="B207" t="inlineStr">
        <is>
          <t>PGY1</t>
        </is>
      </c>
      <c r="C207" t="n">
        <v>39</v>
      </c>
      <c r="D207" t="inlineStr">
        <is>
          <t>CLINIC</t>
        </is>
      </c>
      <c r="E207" t="n">
        <v>14</v>
      </c>
      <c r="F207">
        <f>SCHEDULE!BE39</f>
        <v/>
      </c>
      <c r="G207">
        <f>MAX(0, E207-F207)</f>
        <v/>
      </c>
      <c r="H207">
        <f>IF(G207&gt;0,"DEFICIT","")</f>
        <v/>
      </c>
    </row>
    <row r="208">
      <c r="A208" t="inlineStr">
        <is>
          <t>C. Tucci</t>
        </is>
      </c>
      <c r="B208" t="inlineStr">
        <is>
          <t>PGY1</t>
        </is>
      </c>
      <c r="C208" t="n">
        <v>39</v>
      </c>
      <c r="D208" t="inlineStr">
        <is>
          <t>CARDIO</t>
        </is>
      </c>
      <c r="E208" t="n">
        <v>2</v>
      </c>
      <c r="F208">
        <f>SCHEDULE!BD39</f>
        <v/>
      </c>
      <c r="G208">
        <f>MAX(0, E208-F208)</f>
        <v/>
      </c>
      <c r="H208">
        <f>IF(G208&gt;0,"DEFICIT","")</f>
        <v/>
      </c>
    </row>
    <row r="209">
      <c r="A209" t="inlineStr">
        <is>
          <t>C. Tucci</t>
        </is>
      </c>
      <c r="B209" t="inlineStr">
        <is>
          <t>PGY1</t>
        </is>
      </c>
      <c r="C209" t="n">
        <v>39</v>
      </c>
      <c r="D209" t="inlineStr">
        <is>
          <t>ID</t>
        </is>
      </c>
      <c r="E209" t="n">
        <v>2</v>
      </c>
      <c r="F209">
        <f>SCHEDULE!BK39</f>
        <v/>
      </c>
      <c r="G209">
        <f>MAX(0, E209-F209)</f>
        <v/>
      </c>
      <c r="H209">
        <f>IF(G209&gt;0,"DEFICIT","")</f>
        <v/>
      </c>
    </row>
    <row r="210">
      <c r="A210" t="inlineStr">
        <is>
          <t>C. Tucci</t>
        </is>
      </c>
      <c r="B210" t="inlineStr">
        <is>
          <t>PGY1</t>
        </is>
      </c>
      <c r="C210" t="n">
        <v>39</v>
      </c>
      <c r="D210" t="inlineStr">
        <is>
          <t>ED</t>
        </is>
      </c>
      <c r="E210" t="n">
        <v>2</v>
      </c>
      <c r="F210">
        <f>SCHEDULE!BF39</f>
        <v/>
      </c>
      <c r="G210">
        <f>MAX(0, E210-F210)</f>
        <v/>
      </c>
      <c r="H210">
        <f>IF(G210&gt;0,"DEFICIT","")</f>
        <v/>
      </c>
    </row>
    <row r="211">
      <c r="A211" t="inlineStr">
        <is>
          <t>C. Tucci</t>
        </is>
      </c>
      <c r="B211" t="inlineStr">
        <is>
          <t>PGY1</t>
        </is>
      </c>
      <c r="C211" t="n">
        <v>39</v>
      </c>
      <c r="D211" t="inlineStr">
        <is>
          <t>VACATION</t>
        </is>
      </c>
      <c r="E211" t="n">
        <v>4</v>
      </c>
      <c r="F211">
        <f>SCHEDULE!BO39</f>
        <v/>
      </c>
      <c r="G211">
        <f>MAX(0, E211-F211)</f>
        <v/>
      </c>
      <c r="H211">
        <f>IF(G211&gt;0,"DEFICIT","")</f>
        <v/>
      </c>
    </row>
    <row r="212">
      <c r="A212" t="inlineStr">
        <is>
          <t>L. Cordoba</t>
        </is>
      </c>
      <c r="B212" t="inlineStr">
        <is>
          <t>PGY1</t>
        </is>
      </c>
      <c r="C212" t="n">
        <v>40</v>
      </c>
      <c r="D212" t="inlineStr">
        <is>
          <t>ICU</t>
        </is>
      </c>
      <c r="E212" t="n">
        <v>8</v>
      </c>
      <c r="F212">
        <f>SCHEDULE!BH40</f>
        <v/>
      </c>
      <c r="G212">
        <f>MAX(0, E212-F212)</f>
        <v/>
      </c>
      <c r="H212">
        <f>IF(G212&gt;0,"DEFICIT","")</f>
        <v/>
      </c>
    </row>
    <row r="213">
      <c r="A213" t="inlineStr">
        <is>
          <t>L. Cordoba</t>
        </is>
      </c>
      <c r="B213" t="inlineStr">
        <is>
          <t>PGY1</t>
        </is>
      </c>
      <c r="C213" t="n">
        <v>40</v>
      </c>
      <c r="D213" t="inlineStr">
        <is>
          <t>FLOORS</t>
        </is>
      </c>
      <c r="E213" t="n">
        <v>20</v>
      </c>
      <c r="F213">
        <f>SCHEDULE!BG40</f>
        <v/>
      </c>
      <c r="G213">
        <f>MAX(0, E213-F213)</f>
        <v/>
      </c>
      <c r="H213">
        <f>IF(G213&gt;0,"DEFICIT","")</f>
        <v/>
      </c>
    </row>
    <row r="214">
      <c r="A214" t="inlineStr">
        <is>
          <t>L. Cordoba</t>
        </is>
      </c>
      <c r="B214" t="inlineStr">
        <is>
          <t>PGY1</t>
        </is>
      </c>
      <c r="C214" t="n">
        <v>40</v>
      </c>
      <c r="D214" t="inlineStr">
        <is>
          <t>CLINIC</t>
        </is>
      </c>
      <c r="E214" t="n">
        <v>14</v>
      </c>
      <c r="F214">
        <f>SCHEDULE!BE40</f>
        <v/>
      </c>
      <c r="G214">
        <f>MAX(0, E214-F214)</f>
        <v/>
      </c>
      <c r="H214">
        <f>IF(G214&gt;0,"DEFICIT","")</f>
        <v/>
      </c>
    </row>
    <row r="215">
      <c r="A215" t="inlineStr">
        <is>
          <t>L. Cordoba</t>
        </is>
      </c>
      <c r="B215" t="inlineStr">
        <is>
          <t>PGY1</t>
        </is>
      </c>
      <c r="C215" t="n">
        <v>40</v>
      </c>
      <c r="D215" t="inlineStr">
        <is>
          <t>CARDIO</t>
        </is>
      </c>
      <c r="E215" t="n">
        <v>2</v>
      </c>
      <c r="F215">
        <f>SCHEDULE!BD40</f>
        <v/>
      </c>
      <c r="G215">
        <f>MAX(0, E215-F215)</f>
        <v/>
      </c>
      <c r="H215">
        <f>IF(G215&gt;0,"DEFICIT","")</f>
        <v/>
      </c>
    </row>
    <row r="216">
      <c r="A216" t="inlineStr">
        <is>
          <t>L. Cordoba</t>
        </is>
      </c>
      <c r="B216" t="inlineStr">
        <is>
          <t>PGY1</t>
        </is>
      </c>
      <c r="C216" t="n">
        <v>40</v>
      </c>
      <c r="D216" t="inlineStr">
        <is>
          <t>ID</t>
        </is>
      </c>
      <c r="E216" t="n">
        <v>2</v>
      </c>
      <c r="F216">
        <f>SCHEDULE!BK40</f>
        <v/>
      </c>
      <c r="G216">
        <f>MAX(0, E216-F216)</f>
        <v/>
      </c>
      <c r="H216">
        <f>IF(G216&gt;0,"DEFICIT","")</f>
        <v/>
      </c>
    </row>
    <row r="217">
      <c r="A217" t="inlineStr">
        <is>
          <t>L. Cordoba</t>
        </is>
      </c>
      <c r="B217" t="inlineStr">
        <is>
          <t>PGY1</t>
        </is>
      </c>
      <c r="C217" t="n">
        <v>40</v>
      </c>
      <c r="D217" t="inlineStr">
        <is>
          <t>ED</t>
        </is>
      </c>
      <c r="E217" t="n">
        <v>2</v>
      </c>
      <c r="F217">
        <f>SCHEDULE!BF40</f>
        <v/>
      </c>
      <c r="G217">
        <f>MAX(0, E217-F217)</f>
        <v/>
      </c>
      <c r="H217">
        <f>IF(G217&gt;0,"DEFICIT","")</f>
        <v/>
      </c>
    </row>
    <row r="218">
      <c r="A218" t="inlineStr">
        <is>
          <t>L. Cordoba</t>
        </is>
      </c>
      <c r="B218" t="inlineStr">
        <is>
          <t>PGY1</t>
        </is>
      </c>
      <c r="C218" t="n">
        <v>40</v>
      </c>
      <c r="D218" t="inlineStr">
        <is>
          <t>VACATION</t>
        </is>
      </c>
      <c r="E218" t="n">
        <v>4</v>
      </c>
      <c r="F218">
        <f>SCHEDULE!BO40</f>
        <v/>
      </c>
      <c r="G218">
        <f>MAX(0, E218-F218)</f>
        <v/>
      </c>
      <c r="H218">
        <f>IF(G218&gt;0,"DEFICIT","")</f>
        <v/>
      </c>
    </row>
    <row r="219">
      <c r="A219" t="inlineStr">
        <is>
          <t>M. Osorio</t>
        </is>
      </c>
      <c r="B219" t="inlineStr">
        <is>
          <t>PGY2</t>
        </is>
      </c>
      <c r="C219" t="n">
        <v>41</v>
      </c>
      <c r="D219" t="inlineStr">
        <is>
          <t>ICU</t>
        </is>
      </c>
      <c r="E219" t="n">
        <v>8</v>
      </c>
      <c r="F219">
        <f>SCHEDULE!BH41</f>
        <v/>
      </c>
      <c r="G219">
        <f>MAX(0, E219-F219)</f>
        <v/>
      </c>
      <c r="H219">
        <f>IF(G219&gt;0,"DEFICIT","")</f>
        <v/>
      </c>
    </row>
    <row r="220">
      <c r="A220" t="inlineStr">
        <is>
          <t>M. Osorio</t>
        </is>
      </c>
      <c r="B220" t="inlineStr">
        <is>
          <t>PGY2</t>
        </is>
      </c>
      <c r="C220" t="n">
        <v>41</v>
      </c>
      <c r="D220" t="inlineStr">
        <is>
          <t>FLOORS</t>
        </is>
      </c>
      <c r="E220" t="n">
        <v>16</v>
      </c>
      <c r="F220">
        <f>SCHEDULE!BG41</f>
        <v/>
      </c>
      <c r="G220">
        <f>MAX(0, E220-F220)</f>
        <v/>
      </c>
      <c r="H220">
        <f>IF(G220&gt;0,"DEFICIT","")</f>
        <v/>
      </c>
    </row>
    <row r="221">
      <c r="A221" t="inlineStr">
        <is>
          <t>M. Osorio</t>
        </is>
      </c>
      <c r="B221" t="inlineStr">
        <is>
          <t>PGY2</t>
        </is>
      </c>
      <c r="C221" t="n">
        <v>41</v>
      </c>
      <c r="D221" t="inlineStr">
        <is>
          <t>CLINIC</t>
        </is>
      </c>
      <c r="E221" t="n">
        <v>14</v>
      </c>
      <c r="F221">
        <f>SCHEDULE!BE41</f>
        <v/>
      </c>
      <c r="G221">
        <f>MAX(0, E221-F221)</f>
        <v/>
      </c>
      <c r="H221">
        <f>IF(G221&gt;0,"DEFICIT","")</f>
        <v/>
      </c>
    </row>
    <row r="222">
      <c r="A222" t="inlineStr">
        <is>
          <t>M. Osorio</t>
        </is>
      </c>
      <c r="B222" t="inlineStr">
        <is>
          <t>PGY2</t>
        </is>
      </c>
      <c r="C222" t="n">
        <v>41</v>
      </c>
      <c r="D222" t="inlineStr">
        <is>
          <t>CARDIO</t>
        </is>
      </c>
      <c r="E222" t="n">
        <v>4</v>
      </c>
      <c r="F222">
        <f>SCHEDULE!BD41</f>
        <v/>
      </c>
      <c r="G222">
        <f>MAX(0, E222-F222)</f>
        <v/>
      </c>
      <c r="H222">
        <f>IF(G222&gt;0,"DEFICIT","")</f>
        <v/>
      </c>
    </row>
    <row r="223">
      <c r="A223" t="inlineStr">
        <is>
          <t>M. Osorio</t>
        </is>
      </c>
      <c r="B223" t="inlineStr">
        <is>
          <t>PGY2</t>
        </is>
      </c>
      <c r="C223" t="n">
        <v>41</v>
      </c>
      <c r="D223" t="inlineStr">
        <is>
          <t>ID</t>
        </is>
      </c>
      <c r="E223" t="n">
        <v>2</v>
      </c>
      <c r="F223">
        <f>SCHEDULE!BK41</f>
        <v/>
      </c>
      <c r="G223">
        <f>MAX(0, E223-F223)</f>
        <v/>
      </c>
      <c r="H223">
        <f>IF(G223&gt;0,"DEFICIT","")</f>
        <v/>
      </c>
    </row>
    <row r="224">
      <c r="A224" t="inlineStr">
        <is>
          <t>M. Osorio</t>
        </is>
      </c>
      <c r="B224" t="inlineStr">
        <is>
          <t>PGY2</t>
        </is>
      </c>
      <c r="C224" t="n">
        <v>41</v>
      </c>
      <c r="D224" t="inlineStr">
        <is>
          <t>ED</t>
        </is>
      </c>
      <c r="E224" t="n">
        <v>2</v>
      </c>
      <c r="F224">
        <f>SCHEDULE!BF41</f>
        <v/>
      </c>
      <c r="G224">
        <f>MAX(0, E224-F224)</f>
        <v/>
      </c>
      <c r="H224">
        <f>IF(G224&gt;0,"DEFICIT","")</f>
        <v/>
      </c>
    </row>
    <row r="225">
      <c r="A225" t="inlineStr">
        <is>
          <t>M. Osorio</t>
        </is>
      </c>
      <c r="B225" t="inlineStr">
        <is>
          <t>PGY2</t>
        </is>
      </c>
      <c r="C225" t="n">
        <v>41</v>
      </c>
      <c r="D225" t="inlineStr">
        <is>
          <t>NEURO</t>
        </is>
      </c>
      <c r="E225" t="n">
        <v>2</v>
      </c>
      <c r="F225">
        <f>SCHEDULE!BL41</f>
        <v/>
      </c>
      <c r="G225">
        <f>MAX(0, E225-F225)</f>
        <v/>
      </c>
      <c r="H225">
        <f>IF(G225&gt;0,"DEFICIT","")</f>
        <v/>
      </c>
    </row>
    <row r="226">
      <c r="A226" t="inlineStr">
        <is>
          <t>M. Osorio</t>
        </is>
      </c>
      <c r="B226" t="inlineStr">
        <is>
          <t>PGY2</t>
        </is>
      </c>
      <c r="C226" t="n">
        <v>41</v>
      </c>
      <c r="D226" t="inlineStr">
        <is>
          <t>VACATION</t>
        </is>
      </c>
      <c r="E226" t="n">
        <v>4</v>
      </c>
      <c r="F226">
        <f>SCHEDULE!BO41</f>
        <v/>
      </c>
      <c r="G226">
        <f>MAX(0, E226-F226)</f>
        <v/>
      </c>
      <c r="H226">
        <f>IF(G226&gt;0,"DEFICIT","")</f>
        <v/>
      </c>
    </row>
    <row r="227">
      <c r="A227" t="inlineStr">
        <is>
          <t>H. Hussain</t>
        </is>
      </c>
      <c r="B227" t="inlineStr">
        <is>
          <t>PGY2</t>
        </is>
      </c>
      <c r="C227" t="n">
        <v>42</v>
      </c>
      <c r="D227" t="inlineStr">
        <is>
          <t>ICU</t>
        </is>
      </c>
      <c r="E227" t="n">
        <v>8</v>
      </c>
      <c r="F227">
        <f>SCHEDULE!BH42</f>
        <v/>
      </c>
      <c r="G227">
        <f>MAX(0, E227-F227)</f>
        <v/>
      </c>
      <c r="H227">
        <f>IF(G227&gt;0,"DEFICIT","")</f>
        <v/>
      </c>
    </row>
    <row r="228">
      <c r="A228" t="inlineStr">
        <is>
          <t>H. Hussain</t>
        </is>
      </c>
      <c r="B228" t="inlineStr">
        <is>
          <t>PGY2</t>
        </is>
      </c>
      <c r="C228" t="n">
        <v>42</v>
      </c>
      <c r="D228" t="inlineStr">
        <is>
          <t>FLOORS</t>
        </is>
      </c>
      <c r="E228" t="n">
        <v>16</v>
      </c>
      <c r="F228">
        <f>SCHEDULE!BG42</f>
        <v/>
      </c>
      <c r="G228">
        <f>MAX(0, E228-F228)</f>
        <v/>
      </c>
      <c r="H228">
        <f>IF(G228&gt;0,"DEFICIT","")</f>
        <v/>
      </c>
    </row>
    <row r="229">
      <c r="A229" t="inlineStr">
        <is>
          <t>H. Hussain</t>
        </is>
      </c>
      <c r="B229" t="inlineStr">
        <is>
          <t>PGY2</t>
        </is>
      </c>
      <c r="C229" t="n">
        <v>42</v>
      </c>
      <c r="D229" t="inlineStr">
        <is>
          <t>CLINIC</t>
        </is>
      </c>
      <c r="E229" t="n">
        <v>14</v>
      </c>
      <c r="F229">
        <f>SCHEDULE!BE42</f>
        <v/>
      </c>
      <c r="G229">
        <f>MAX(0, E229-F229)</f>
        <v/>
      </c>
      <c r="H229">
        <f>IF(G229&gt;0,"DEFICIT","")</f>
        <v/>
      </c>
    </row>
    <row r="230">
      <c r="A230" t="inlineStr">
        <is>
          <t>H. Hussain</t>
        </is>
      </c>
      <c r="B230" t="inlineStr">
        <is>
          <t>PGY2</t>
        </is>
      </c>
      <c r="C230" t="n">
        <v>42</v>
      </c>
      <c r="D230" t="inlineStr">
        <is>
          <t>CARDIO</t>
        </is>
      </c>
      <c r="E230" t="n">
        <v>4</v>
      </c>
      <c r="F230">
        <f>SCHEDULE!BD42</f>
        <v/>
      </c>
      <c r="G230">
        <f>MAX(0, E230-F230)</f>
        <v/>
      </c>
      <c r="H230">
        <f>IF(G230&gt;0,"DEFICIT","")</f>
        <v/>
      </c>
    </row>
    <row r="231">
      <c r="A231" t="inlineStr">
        <is>
          <t>H. Hussain</t>
        </is>
      </c>
      <c r="B231" t="inlineStr">
        <is>
          <t>PGY2</t>
        </is>
      </c>
      <c r="C231" t="n">
        <v>42</v>
      </c>
      <c r="D231" t="inlineStr">
        <is>
          <t>ID</t>
        </is>
      </c>
      <c r="E231" t="n">
        <v>2</v>
      </c>
      <c r="F231">
        <f>SCHEDULE!BK42</f>
        <v/>
      </c>
      <c r="G231">
        <f>MAX(0, E231-F231)</f>
        <v/>
      </c>
      <c r="H231">
        <f>IF(G231&gt;0,"DEFICIT","")</f>
        <v/>
      </c>
    </row>
    <row r="232">
      <c r="A232" t="inlineStr">
        <is>
          <t>H. Hussain</t>
        </is>
      </c>
      <c r="B232" t="inlineStr">
        <is>
          <t>PGY2</t>
        </is>
      </c>
      <c r="C232" t="n">
        <v>42</v>
      </c>
      <c r="D232" t="inlineStr">
        <is>
          <t>ED</t>
        </is>
      </c>
      <c r="E232" t="n">
        <v>2</v>
      </c>
      <c r="F232">
        <f>SCHEDULE!BF42</f>
        <v/>
      </c>
      <c r="G232">
        <f>MAX(0, E232-F232)</f>
        <v/>
      </c>
      <c r="H232">
        <f>IF(G232&gt;0,"DEFICIT","")</f>
        <v/>
      </c>
    </row>
    <row r="233">
      <c r="A233" t="inlineStr">
        <is>
          <t>H. Hussain</t>
        </is>
      </c>
      <c r="B233" t="inlineStr">
        <is>
          <t>PGY2</t>
        </is>
      </c>
      <c r="C233" t="n">
        <v>42</v>
      </c>
      <c r="D233" t="inlineStr">
        <is>
          <t>NEURO</t>
        </is>
      </c>
      <c r="E233" t="n">
        <v>2</v>
      </c>
      <c r="F233">
        <f>SCHEDULE!BL42</f>
        <v/>
      </c>
      <c r="G233">
        <f>MAX(0, E233-F233)</f>
        <v/>
      </c>
      <c r="H233">
        <f>IF(G233&gt;0,"DEFICIT","")</f>
        <v/>
      </c>
    </row>
    <row r="234">
      <c r="A234" t="inlineStr">
        <is>
          <t>H. Hussain</t>
        </is>
      </c>
      <c r="B234" t="inlineStr">
        <is>
          <t>PGY2</t>
        </is>
      </c>
      <c r="C234" t="n">
        <v>42</v>
      </c>
      <c r="D234" t="inlineStr">
        <is>
          <t>VACATION</t>
        </is>
      </c>
      <c r="E234" t="n">
        <v>4</v>
      </c>
      <c r="F234">
        <f>SCHEDULE!BO42</f>
        <v/>
      </c>
      <c r="G234">
        <f>MAX(0, E234-F234)</f>
        <v/>
      </c>
      <c r="H234">
        <f>IF(G234&gt;0,"DEFICIT","")</f>
        <v/>
      </c>
    </row>
    <row r="235">
      <c r="A235" t="inlineStr">
        <is>
          <t>M. De Mello</t>
        </is>
      </c>
      <c r="B235" t="inlineStr">
        <is>
          <t>PGY2</t>
        </is>
      </c>
      <c r="C235" t="n">
        <v>43</v>
      </c>
      <c r="D235" t="inlineStr">
        <is>
          <t>ICU</t>
        </is>
      </c>
      <c r="E235" t="n">
        <v>8</v>
      </c>
      <c r="F235">
        <f>SCHEDULE!BH43</f>
        <v/>
      </c>
      <c r="G235">
        <f>MAX(0, E235-F235)</f>
        <v/>
      </c>
      <c r="H235">
        <f>IF(G235&gt;0,"DEFICIT","")</f>
        <v/>
      </c>
    </row>
    <row r="236">
      <c r="A236" t="inlineStr">
        <is>
          <t>M. De Mello</t>
        </is>
      </c>
      <c r="B236" t="inlineStr">
        <is>
          <t>PGY2</t>
        </is>
      </c>
      <c r="C236" t="n">
        <v>43</v>
      </c>
      <c r="D236" t="inlineStr">
        <is>
          <t>FLOORS</t>
        </is>
      </c>
      <c r="E236" t="n">
        <v>16</v>
      </c>
      <c r="F236">
        <f>SCHEDULE!BG43</f>
        <v/>
      </c>
      <c r="G236">
        <f>MAX(0, E236-F236)</f>
        <v/>
      </c>
      <c r="H236">
        <f>IF(G236&gt;0,"DEFICIT","")</f>
        <v/>
      </c>
    </row>
    <row r="237">
      <c r="A237" t="inlineStr">
        <is>
          <t>M. De Mello</t>
        </is>
      </c>
      <c r="B237" t="inlineStr">
        <is>
          <t>PGY2</t>
        </is>
      </c>
      <c r="C237" t="n">
        <v>43</v>
      </c>
      <c r="D237" t="inlineStr">
        <is>
          <t>CLINIC</t>
        </is>
      </c>
      <c r="E237" t="n">
        <v>14</v>
      </c>
      <c r="F237">
        <f>SCHEDULE!BE43</f>
        <v/>
      </c>
      <c r="G237">
        <f>MAX(0, E237-F237)</f>
        <v/>
      </c>
      <c r="H237">
        <f>IF(G237&gt;0,"DEFICIT","")</f>
        <v/>
      </c>
    </row>
    <row r="238">
      <c r="A238" t="inlineStr">
        <is>
          <t>M. De Mello</t>
        </is>
      </c>
      <c r="B238" t="inlineStr">
        <is>
          <t>PGY2</t>
        </is>
      </c>
      <c r="C238" t="n">
        <v>43</v>
      </c>
      <c r="D238" t="inlineStr">
        <is>
          <t>CARDIO</t>
        </is>
      </c>
      <c r="E238" t="n">
        <v>4</v>
      </c>
      <c r="F238">
        <f>SCHEDULE!BD43</f>
        <v/>
      </c>
      <c r="G238">
        <f>MAX(0, E238-F238)</f>
        <v/>
      </c>
      <c r="H238">
        <f>IF(G238&gt;0,"DEFICIT","")</f>
        <v/>
      </c>
    </row>
    <row r="239">
      <c r="A239" t="inlineStr">
        <is>
          <t>M. De Mello</t>
        </is>
      </c>
      <c r="B239" t="inlineStr">
        <is>
          <t>PGY2</t>
        </is>
      </c>
      <c r="C239" t="n">
        <v>43</v>
      </c>
      <c r="D239" t="inlineStr">
        <is>
          <t>ID</t>
        </is>
      </c>
      <c r="E239" t="n">
        <v>2</v>
      </c>
      <c r="F239">
        <f>SCHEDULE!BK43</f>
        <v/>
      </c>
      <c r="G239">
        <f>MAX(0, E239-F239)</f>
        <v/>
      </c>
      <c r="H239">
        <f>IF(G239&gt;0,"DEFICIT","")</f>
        <v/>
      </c>
    </row>
    <row r="240">
      <c r="A240" t="inlineStr">
        <is>
          <t>M. De Mello</t>
        </is>
      </c>
      <c r="B240" t="inlineStr">
        <is>
          <t>PGY2</t>
        </is>
      </c>
      <c r="C240" t="n">
        <v>43</v>
      </c>
      <c r="D240" t="inlineStr">
        <is>
          <t>ED</t>
        </is>
      </c>
      <c r="E240" t="n">
        <v>2</v>
      </c>
      <c r="F240">
        <f>SCHEDULE!BF43</f>
        <v/>
      </c>
      <c r="G240">
        <f>MAX(0, E240-F240)</f>
        <v/>
      </c>
      <c r="H240">
        <f>IF(G240&gt;0,"DEFICIT","")</f>
        <v/>
      </c>
    </row>
    <row r="241">
      <c r="A241" t="inlineStr">
        <is>
          <t>M. De Mello</t>
        </is>
      </c>
      <c r="B241" t="inlineStr">
        <is>
          <t>PGY2</t>
        </is>
      </c>
      <c r="C241" t="n">
        <v>43</v>
      </c>
      <c r="D241" t="inlineStr">
        <is>
          <t>NEURO</t>
        </is>
      </c>
      <c r="E241" t="n">
        <v>2</v>
      </c>
      <c r="F241">
        <f>SCHEDULE!BL43</f>
        <v/>
      </c>
      <c r="G241">
        <f>MAX(0, E241-F241)</f>
        <v/>
      </c>
      <c r="H241">
        <f>IF(G241&gt;0,"DEFICIT","")</f>
        <v/>
      </c>
    </row>
    <row r="242">
      <c r="A242" t="inlineStr">
        <is>
          <t>M. De Mello</t>
        </is>
      </c>
      <c r="B242" t="inlineStr">
        <is>
          <t>PGY2</t>
        </is>
      </c>
      <c r="C242" t="n">
        <v>43</v>
      </c>
      <c r="D242" t="inlineStr">
        <is>
          <t>VACATION</t>
        </is>
      </c>
      <c r="E242" t="n">
        <v>4</v>
      </c>
      <c r="F242">
        <f>SCHEDULE!BO43</f>
        <v/>
      </c>
      <c r="G242">
        <f>MAX(0, E242-F242)</f>
        <v/>
      </c>
      <c r="H242">
        <f>IF(G242&gt;0,"DEFICIT","")</f>
        <v/>
      </c>
    </row>
    <row r="243">
      <c r="A243" t="inlineStr">
        <is>
          <t>A. Pueyo</t>
        </is>
      </c>
      <c r="B243" t="inlineStr">
        <is>
          <t>PGY2</t>
        </is>
      </c>
      <c r="C243" t="n">
        <v>44</v>
      </c>
      <c r="D243" t="inlineStr">
        <is>
          <t>ICU</t>
        </is>
      </c>
      <c r="E243" t="n">
        <v>8</v>
      </c>
      <c r="F243">
        <f>SCHEDULE!BH44</f>
        <v/>
      </c>
      <c r="G243">
        <f>MAX(0, E243-F243)</f>
        <v/>
      </c>
      <c r="H243">
        <f>IF(G243&gt;0,"DEFICIT","")</f>
        <v/>
      </c>
    </row>
    <row r="244">
      <c r="A244" t="inlineStr">
        <is>
          <t>A. Pueyo</t>
        </is>
      </c>
      <c r="B244" t="inlineStr">
        <is>
          <t>PGY2</t>
        </is>
      </c>
      <c r="C244" t="n">
        <v>44</v>
      </c>
      <c r="D244" t="inlineStr">
        <is>
          <t>FLOORS</t>
        </is>
      </c>
      <c r="E244" t="n">
        <v>16</v>
      </c>
      <c r="F244">
        <f>SCHEDULE!BG44</f>
        <v/>
      </c>
      <c r="G244">
        <f>MAX(0, E244-F244)</f>
        <v/>
      </c>
      <c r="H244">
        <f>IF(G244&gt;0,"DEFICIT","")</f>
        <v/>
      </c>
    </row>
    <row r="245">
      <c r="A245" t="inlineStr">
        <is>
          <t>A. Pueyo</t>
        </is>
      </c>
      <c r="B245" t="inlineStr">
        <is>
          <t>PGY2</t>
        </is>
      </c>
      <c r="C245" t="n">
        <v>44</v>
      </c>
      <c r="D245" t="inlineStr">
        <is>
          <t>CLINIC</t>
        </is>
      </c>
      <c r="E245" t="n">
        <v>14</v>
      </c>
      <c r="F245">
        <f>SCHEDULE!BE44</f>
        <v/>
      </c>
      <c r="G245">
        <f>MAX(0, E245-F245)</f>
        <v/>
      </c>
      <c r="H245">
        <f>IF(G245&gt;0,"DEFICIT","")</f>
        <v/>
      </c>
    </row>
    <row r="246">
      <c r="A246" t="inlineStr">
        <is>
          <t>A. Pueyo</t>
        </is>
      </c>
      <c r="B246" t="inlineStr">
        <is>
          <t>PGY2</t>
        </is>
      </c>
      <c r="C246" t="n">
        <v>44</v>
      </c>
      <c r="D246" t="inlineStr">
        <is>
          <t>CARDIO</t>
        </is>
      </c>
      <c r="E246" t="n">
        <v>4</v>
      </c>
      <c r="F246">
        <f>SCHEDULE!BD44</f>
        <v/>
      </c>
      <c r="G246">
        <f>MAX(0, E246-F246)</f>
        <v/>
      </c>
      <c r="H246">
        <f>IF(G246&gt;0,"DEFICIT","")</f>
        <v/>
      </c>
    </row>
    <row r="247">
      <c r="A247" t="inlineStr">
        <is>
          <t>A. Pueyo</t>
        </is>
      </c>
      <c r="B247" t="inlineStr">
        <is>
          <t>PGY2</t>
        </is>
      </c>
      <c r="C247" t="n">
        <v>44</v>
      </c>
      <c r="D247" t="inlineStr">
        <is>
          <t>ID</t>
        </is>
      </c>
      <c r="E247" t="n">
        <v>2</v>
      </c>
      <c r="F247">
        <f>SCHEDULE!BK44</f>
        <v/>
      </c>
      <c r="G247">
        <f>MAX(0, E247-F247)</f>
        <v/>
      </c>
      <c r="H247">
        <f>IF(G247&gt;0,"DEFICIT","")</f>
        <v/>
      </c>
    </row>
    <row r="248">
      <c r="A248" t="inlineStr">
        <is>
          <t>A. Pueyo</t>
        </is>
      </c>
      <c r="B248" t="inlineStr">
        <is>
          <t>PGY2</t>
        </is>
      </c>
      <c r="C248" t="n">
        <v>44</v>
      </c>
      <c r="D248" t="inlineStr">
        <is>
          <t>ED</t>
        </is>
      </c>
      <c r="E248" t="n">
        <v>2</v>
      </c>
      <c r="F248">
        <f>SCHEDULE!BF44</f>
        <v/>
      </c>
      <c r="G248">
        <f>MAX(0, E248-F248)</f>
        <v/>
      </c>
      <c r="H248">
        <f>IF(G248&gt;0,"DEFICIT","")</f>
        <v/>
      </c>
    </row>
    <row r="249">
      <c r="A249" t="inlineStr">
        <is>
          <t>A. Pueyo</t>
        </is>
      </c>
      <c r="B249" t="inlineStr">
        <is>
          <t>PGY2</t>
        </is>
      </c>
      <c r="C249" t="n">
        <v>44</v>
      </c>
      <c r="D249" t="inlineStr">
        <is>
          <t>NEURO</t>
        </is>
      </c>
      <c r="E249" t="n">
        <v>2</v>
      </c>
      <c r="F249">
        <f>SCHEDULE!BL44</f>
        <v/>
      </c>
      <c r="G249">
        <f>MAX(0, E249-F249)</f>
        <v/>
      </c>
      <c r="H249">
        <f>IF(G249&gt;0,"DEFICIT","")</f>
        <v/>
      </c>
    </row>
    <row r="250">
      <c r="A250" t="inlineStr">
        <is>
          <t>A. Pueyo</t>
        </is>
      </c>
      <c r="B250" t="inlineStr">
        <is>
          <t>PGY2</t>
        </is>
      </c>
      <c r="C250" t="n">
        <v>44</v>
      </c>
      <c r="D250" t="inlineStr">
        <is>
          <t>VACATION</t>
        </is>
      </c>
      <c r="E250" t="n">
        <v>4</v>
      </c>
      <c r="F250">
        <f>SCHEDULE!BO44</f>
        <v/>
      </c>
      <c r="G250">
        <f>MAX(0, E250-F250)</f>
        <v/>
      </c>
      <c r="H250">
        <f>IF(G250&gt;0,"DEFICIT","")</f>
        <v/>
      </c>
    </row>
    <row r="251">
      <c r="A251" t="inlineStr">
        <is>
          <t>A. Ortiz</t>
        </is>
      </c>
      <c r="B251" t="inlineStr">
        <is>
          <t>PGY3</t>
        </is>
      </c>
      <c r="C251" t="n">
        <v>45</v>
      </c>
      <c r="D251" t="inlineStr">
        <is>
          <t>FLOORS</t>
        </is>
      </c>
      <c r="E251" t="n">
        <v>16</v>
      </c>
      <c r="F251">
        <f>SCHEDULE!BG45</f>
        <v/>
      </c>
      <c r="G251">
        <f>MAX(0, E251-F251)</f>
        <v/>
      </c>
      <c r="H251">
        <f>IF(G251&gt;0,"DEFICIT","")</f>
        <v/>
      </c>
    </row>
    <row r="252">
      <c r="A252" t="inlineStr">
        <is>
          <t>A. Ortiz</t>
        </is>
      </c>
      <c r="B252" t="inlineStr">
        <is>
          <t>PGY3</t>
        </is>
      </c>
      <c r="C252" t="n">
        <v>45</v>
      </c>
      <c r="D252" t="inlineStr">
        <is>
          <t>CLINIC</t>
        </is>
      </c>
      <c r="E252" t="n">
        <v>14</v>
      </c>
      <c r="F252">
        <f>SCHEDULE!BE45</f>
        <v/>
      </c>
      <c r="G252">
        <f>MAX(0, E252-F252)</f>
        <v/>
      </c>
      <c r="H252">
        <f>IF(G252&gt;0,"DEFICIT","")</f>
        <v/>
      </c>
    </row>
    <row r="253">
      <c r="A253" t="inlineStr">
        <is>
          <t>A. Ortiz</t>
        </is>
      </c>
      <c r="B253" t="inlineStr">
        <is>
          <t>PGY3</t>
        </is>
      </c>
      <c r="C253" t="n">
        <v>45</v>
      </c>
      <c r="D253" t="inlineStr">
        <is>
          <t>VACATION</t>
        </is>
      </c>
      <c r="E253" t="n">
        <v>4</v>
      </c>
      <c r="F253">
        <f>SCHEDULE!BO45</f>
        <v/>
      </c>
      <c r="G253">
        <f>MAX(0, E253-F253)</f>
        <v/>
      </c>
      <c r="H253">
        <f>IF(G253&gt;0,"DEFICIT","")</f>
        <v/>
      </c>
    </row>
    <row r="254">
      <c r="A254" t="inlineStr">
        <is>
          <t>A. Lopez</t>
        </is>
      </c>
      <c r="B254" t="inlineStr">
        <is>
          <t>PGY3</t>
        </is>
      </c>
      <c r="C254" t="n">
        <v>46</v>
      </c>
      <c r="D254" t="inlineStr">
        <is>
          <t>FLOORS</t>
        </is>
      </c>
      <c r="E254" t="n">
        <v>16</v>
      </c>
      <c r="F254">
        <f>SCHEDULE!BG46</f>
        <v/>
      </c>
      <c r="G254">
        <f>MAX(0, E254-F254)</f>
        <v/>
      </c>
      <c r="H254">
        <f>IF(G254&gt;0,"DEFICIT","")</f>
        <v/>
      </c>
    </row>
    <row r="255">
      <c r="A255" t="inlineStr">
        <is>
          <t>A. Lopez</t>
        </is>
      </c>
      <c r="B255" t="inlineStr">
        <is>
          <t>PGY3</t>
        </is>
      </c>
      <c r="C255" t="n">
        <v>46</v>
      </c>
      <c r="D255" t="inlineStr">
        <is>
          <t>CLINIC</t>
        </is>
      </c>
      <c r="E255" t="n">
        <v>14</v>
      </c>
      <c r="F255">
        <f>SCHEDULE!BE46</f>
        <v/>
      </c>
      <c r="G255">
        <f>MAX(0, E255-F255)</f>
        <v/>
      </c>
      <c r="H255">
        <f>IF(G255&gt;0,"DEFICIT","")</f>
        <v/>
      </c>
    </row>
    <row r="256">
      <c r="A256" t="inlineStr">
        <is>
          <t>A. Lopez</t>
        </is>
      </c>
      <c r="B256" t="inlineStr">
        <is>
          <t>PGY3</t>
        </is>
      </c>
      <c r="C256" t="n">
        <v>46</v>
      </c>
      <c r="D256" t="inlineStr">
        <is>
          <t>VACATION</t>
        </is>
      </c>
      <c r="E256" t="n">
        <v>4</v>
      </c>
      <c r="F256">
        <f>SCHEDULE!BO46</f>
        <v/>
      </c>
      <c r="G256">
        <f>MAX(0, E256-F256)</f>
        <v/>
      </c>
      <c r="H256">
        <f>IF(G256&gt;0,"DEFICIT","")</f>
        <v/>
      </c>
    </row>
    <row r="257">
      <c r="A257" t="inlineStr">
        <is>
          <t>J. Kourkoumelis</t>
        </is>
      </c>
      <c r="B257" t="inlineStr">
        <is>
          <t>TY</t>
        </is>
      </c>
      <c r="C257" t="n">
        <v>49</v>
      </c>
      <c r="D257" t="inlineStr">
        <is>
          <t>ICU</t>
        </is>
      </c>
      <c r="E257" t="n">
        <v>8</v>
      </c>
      <c r="F257">
        <f>SCHEDULE!BH49</f>
        <v/>
      </c>
      <c r="G257">
        <f>MAX(0, E257-F257)</f>
        <v/>
      </c>
      <c r="H257">
        <f>IF(G257&gt;0,"DEFICIT","")</f>
        <v/>
      </c>
    </row>
    <row r="258">
      <c r="A258" t="inlineStr">
        <is>
          <t>J. Kourkoumelis</t>
        </is>
      </c>
      <c r="B258" t="inlineStr">
        <is>
          <t>TY</t>
        </is>
      </c>
      <c r="C258" t="n">
        <v>49</v>
      </c>
      <c r="D258" t="inlineStr">
        <is>
          <t>FLOORS</t>
        </is>
      </c>
      <c r="E258" t="n">
        <v>20</v>
      </c>
      <c r="F258">
        <f>SCHEDULE!BG49</f>
        <v/>
      </c>
      <c r="G258">
        <f>MAX(0, E258-F258)</f>
        <v/>
      </c>
      <c r="H258">
        <f>IF(G258&gt;0,"DEFICIT","")</f>
        <v/>
      </c>
    </row>
    <row r="259">
      <c r="A259" t="inlineStr">
        <is>
          <t>J. Kourkoumelis</t>
        </is>
      </c>
      <c r="B259" t="inlineStr">
        <is>
          <t>TY</t>
        </is>
      </c>
      <c r="C259" t="n">
        <v>49</v>
      </c>
      <c r="D259" t="inlineStr">
        <is>
          <t>CLINIC</t>
        </is>
      </c>
      <c r="E259" t="n">
        <v>4</v>
      </c>
      <c r="F259">
        <f>SCHEDULE!BE49</f>
        <v/>
      </c>
      <c r="G259">
        <f>MAX(0, E259-F259)</f>
        <v/>
      </c>
      <c r="H259">
        <f>IF(G259&gt;0,"DEFICIT","")</f>
        <v/>
      </c>
    </row>
    <row r="260">
      <c r="A260" t="inlineStr">
        <is>
          <t>J. Kourkoumelis</t>
        </is>
      </c>
      <c r="B260" t="inlineStr">
        <is>
          <t>TY</t>
        </is>
      </c>
      <c r="C260" t="n">
        <v>49</v>
      </c>
      <c r="D260" t="inlineStr">
        <is>
          <t>ID</t>
        </is>
      </c>
      <c r="E260" t="n">
        <v>2</v>
      </c>
      <c r="F260">
        <f>SCHEDULE!BK49</f>
        <v/>
      </c>
      <c r="G260">
        <f>MAX(0, E260-F260)</f>
        <v/>
      </c>
      <c r="H260">
        <f>IF(G260&gt;0,"DEFICIT","")</f>
        <v/>
      </c>
    </row>
    <row r="261">
      <c r="A261" t="inlineStr">
        <is>
          <t>J. Kourkoumelis</t>
        </is>
      </c>
      <c r="B261" t="inlineStr">
        <is>
          <t>TY</t>
        </is>
      </c>
      <c r="C261" t="n">
        <v>49</v>
      </c>
      <c r="D261" t="inlineStr">
        <is>
          <t>ED</t>
        </is>
      </c>
      <c r="E261" t="n">
        <v>2</v>
      </c>
      <c r="F261">
        <f>SCHEDULE!BF49</f>
        <v/>
      </c>
      <c r="G261">
        <f>MAX(0, E261-F261)</f>
        <v/>
      </c>
      <c r="H261">
        <f>IF(G261&gt;0,"DEFICIT","")</f>
        <v/>
      </c>
    </row>
    <row r="262">
      <c r="A262" t="inlineStr">
        <is>
          <t>J. Kourkoumelis</t>
        </is>
      </c>
      <c r="B262" t="inlineStr">
        <is>
          <t>TY</t>
        </is>
      </c>
      <c r="C262" t="n">
        <v>49</v>
      </c>
      <c r="D262" t="inlineStr">
        <is>
          <t>VACATION</t>
        </is>
      </c>
      <c r="E262" t="n">
        <v>4</v>
      </c>
      <c r="F262">
        <f>SCHEDULE!BO49</f>
        <v/>
      </c>
      <c r="G262">
        <f>MAX(0, E262-F262)</f>
        <v/>
      </c>
      <c r="H262">
        <f>IF(G262&gt;0,"DEFICIT","")</f>
        <v/>
      </c>
    </row>
    <row r="263">
      <c r="A263" t="inlineStr">
        <is>
          <t>F. Mendez</t>
        </is>
      </c>
      <c r="B263" t="inlineStr">
        <is>
          <t>TY</t>
        </is>
      </c>
      <c r="C263" t="n">
        <v>50</v>
      </c>
      <c r="D263" t="inlineStr">
        <is>
          <t>ICU</t>
        </is>
      </c>
      <c r="E263" t="n">
        <v>8</v>
      </c>
      <c r="F263">
        <f>SCHEDULE!BH50</f>
        <v/>
      </c>
      <c r="G263">
        <f>MAX(0, E263-F263)</f>
        <v/>
      </c>
      <c r="H263">
        <f>IF(G263&gt;0,"DEFICIT","")</f>
        <v/>
      </c>
    </row>
    <row r="264">
      <c r="A264" t="inlineStr">
        <is>
          <t>F. Mendez</t>
        </is>
      </c>
      <c r="B264" t="inlineStr">
        <is>
          <t>TY</t>
        </is>
      </c>
      <c r="C264" t="n">
        <v>50</v>
      </c>
      <c r="D264" t="inlineStr">
        <is>
          <t>FLOORS</t>
        </is>
      </c>
      <c r="E264" t="n">
        <v>20</v>
      </c>
      <c r="F264">
        <f>SCHEDULE!BG50</f>
        <v/>
      </c>
      <c r="G264">
        <f>MAX(0, E264-F264)</f>
        <v/>
      </c>
      <c r="H264">
        <f>IF(G264&gt;0,"DEFICIT","")</f>
        <v/>
      </c>
    </row>
    <row r="265">
      <c r="A265" t="inlineStr">
        <is>
          <t>F. Mendez</t>
        </is>
      </c>
      <c r="B265" t="inlineStr">
        <is>
          <t>TY</t>
        </is>
      </c>
      <c r="C265" t="n">
        <v>50</v>
      </c>
      <c r="D265" t="inlineStr">
        <is>
          <t>CLINIC</t>
        </is>
      </c>
      <c r="E265" t="n">
        <v>4</v>
      </c>
      <c r="F265">
        <f>SCHEDULE!BE50</f>
        <v/>
      </c>
      <c r="G265">
        <f>MAX(0, E265-F265)</f>
        <v/>
      </c>
      <c r="H265">
        <f>IF(G265&gt;0,"DEFICIT","")</f>
        <v/>
      </c>
    </row>
    <row r="266">
      <c r="A266" t="inlineStr">
        <is>
          <t>F. Mendez</t>
        </is>
      </c>
      <c r="B266" t="inlineStr">
        <is>
          <t>TY</t>
        </is>
      </c>
      <c r="C266" t="n">
        <v>50</v>
      </c>
      <c r="D266" t="inlineStr">
        <is>
          <t>ID</t>
        </is>
      </c>
      <c r="E266" t="n">
        <v>2</v>
      </c>
      <c r="F266">
        <f>SCHEDULE!BK50</f>
        <v/>
      </c>
      <c r="G266">
        <f>MAX(0, E266-F266)</f>
        <v/>
      </c>
      <c r="H266">
        <f>IF(G266&gt;0,"DEFICIT","")</f>
        <v/>
      </c>
    </row>
    <row r="267">
      <c r="A267" t="inlineStr">
        <is>
          <t>F. Mendez</t>
        </is>
      </c>
      <c r="B267" t="inlineStr">
        <is>
          <t>TY</t>
        </is>
      </c>
      <c r="C267" t="n">
        <v>50</v>
      </c>
      <c r="D267" t="inlineStr">
        <is>
          <t>ED</t>
        </is>
      </c>
      <c r="E267" t="n">
        <v>2</v>
      </c>
      <c r="F267">
        <f>SCHEDULE!BF50</f>
        <v/>
      </c>
      <c r="G267">
        <f>MAX(0, E267-F267)</f>
        <v/>
      </c>
      <c r="H267">
        <f>IF(G267&gt;0,"DEFICIT","")</f>
        <v/>
      </c>
    </row>
    <row r="268">
      <c r="A268" t="inlineStr">
        <is>
          <t>F. Mendez</t>
        </is>
      </c>
      <c r="B268" t="inlineStr">
        <is>
          <t>TY</t>
        </is>
      </c>
      <c r="C268" t="n">
        <v>50</v>
      </c>
      <c r="D268" t="inlineStr">
        <is>
          <t>VACATION</t>
        </is>
      </c>
      <c r="E268" t="n">
        <v>4</v>
      </c>
      <c r="F268">
        <f>SCHEDULE!BO50</f>
        <v/>
      </c>
      <c r="G268">
        <f>MAX(0, E268-F268)</f>
        <v/>
      </c>
      <c r="H268">
        <f>IF(G268&gt;0,"DEFICIT","")</f>
        <v/>
      </c>
    </row>
    <row r="269">
      <c r="A269" t="inlineStr">
        <is>
          <t>B. To</t>
        </is>
      </c>
      <c r="B269" t="inlineStr">
        <is>
          <t>TY</t>
        </is>
      </c>
      <c r="C269" t="n">
        <v>51</v>
      </c>
      <c r="D269" t="inlineStr">
        <is>
          <t>ICU</t>
        </is>
      </c>
      <c r="E269" t="n">
        <v>8</v>
      </c>
      <c r="F269">
        <f>SCHEDULE!BH51</f>
        <v/>
      </c>
      <c r="G269">
        <f>MAX(0, E269-F269)</f>
        <v/>
      </c>
      <c r="H269">
        <f>IF(G269&gt;0,"DEFICIT","")</f>
        <v/>
      </c>
    </row>
    <row r="270">
      <c r="A270" t="inlineStr">
        <is>
          <t>B. To</t>
        </is>
      </c>
      <c r="B270" t="inlineStr">
        <is>
          <t>TY</t>
        </is>
      </c>
      <c r="C270" t="n">
        <v>51</v>
      </c>
      <c r="D270" t="inlineStr">
        <is>
          <t>FLOORS</t>
        </is>
      </c>
      <c r="E270" t="n">
        <v>20</v>
      </c>
      <c r="F270">
        <f>SCHEDULE!BG51</f>
        <v/>
      </c>
      <c r="G270">
        <f>MAX(0, E270-F270)</f>
        <v/>
      </c>
      <c r="H270">
        <f>IF(G270&gt;0,"DEFICIT","")</f>
        <v/>
      </c>
    </row>
    <row r="271">
      <c r="A271" t="inlineStr">
        <is>
          <t>B. To</t>
        </is>
      </c>
      <c r="B271" t="inlineStr">
        <is>
          <t>TY</t>
        </is>
      </c>
      <c r="C271" t="n">
        <v>51</v>
      </c>
      <c r="D271" t="inlineStr">
        <is>
          <t>CLINIC</t>
        </is>
      </c>
      <c r="E271" t="n">
        <v>4</v>
      </c>
      <c r="F271">
        <f>SCHEDULE!BE51</f>
        <v/>
      </c>
      <c r="G271">
        <f>MAX(0, E271-F271)</f>
        <v/>
      </c>
      <c r="H271">
        <f>IF(G271&gt;0,"DEFICIT","")</f>
        <v/>
      </c>
    </row>
    <row r="272">
      <c r="A272" t="inlineStr">
        <is>
          <t>B. To</t>
        </is>
      </c>
      <c r="B272" t="inlineStr">
        <is>
          <t>TY</t>
        </is>
      </c>
      <c r="C272" t="n">
        <v>51</v>
      </c>
      <c r="D272" t="inlineStr">
        <is>
          <t>ID</t>
        </is>
      </c>
      <c r="E272" t="n">
        <v>2</v>
      </c>
      <c r="F272">
        <f>SCHEDULE!BK51</f>
        <v/>
      </c>
      <c r="G272">
        <f>MAX(0, E272-F272)</f>
        <v/>
      </c>
      <c r="H272">
        <f>IF(G272&gt;0,"DEFICIT","")</f>
        <v/>
      </c>
    </row>
    <row r="273">
      <c r="A273" t="inlineStr">
        <is>
          <t>B. To</t>
        </is>
      </c>
      <c r="B273" t="inlineStr">
        <is>
          <t>TY</t>
        </is>
      </c>
      <c r="C273" t="n">
        <v>51</v>
      </c>
      <c r="D273" t="inlineStr">
        <is>
          <t>ED</t>
        </is>
      </c>
      <c r="E273" t="n">
        <v>2</v>
      </c>
      <c r="F273">
        <f>SCHEDULE!BF51</f>
        <v/>
      </c>
      <c r="G273">
        <f>MAX(0, E273-F273)</f>
        <v/>
      </c>
      <c r="H273">
        <f>IF(G273&gt;0,"DEFICIT","")</f>
        <v/>
      </c>
    </row>
    <row r="274">
      <c r="A274" t="inlineStr">
        <is>
          <t>B. To</t>
        </is>
      </c>
      <c r="B274" t="inlineStr">
        <is>
          <t>TY</t>
        </is>
      </c>
      <c r="C274" t="n">
        <v>51</v>
      </c>
      <c r="D274" t="inlineStr">
        <is>
          <t>VACATION</t>
        </is>
      </c>
      <c r="E274" t="n">
        <v>4</v>
      </c>
      <c r="F274">
        <f>SCHEDULE!BO51</f>
        <v/>
      </c>
      <c r="G274">
        <f>MAX(0, E274-F274)</f>
        <v/>
      </c>
      <c r="H274">
        <f>IF(G274&gt;0,"DEFICIT","")</f>
        <v/>
      </c>
    </row>
    <row r="275">
      <c r="A275" t="inlineStr">
        <is>
          <t>O. Conde</t>
        </is>
      </c>
      <c r="B275" t="inlineStr">
        <is>
          <t>TY</t>
        </is>
      </c>
      <c r="C275" t="n">
        <v>52</v>
      </c>
      <c r="D275" t="inlineStr">
        <is>
          <t>ICU</t>
        </is>
      </c>
      <c r="E275" t="n">
        <v>8</v>
      </c>
      <c r="F275">
        <f>SCHEDULE!BH52</f>
        <v/>
      </c>
      <c r="G275">
        <f>MAX(0, E275-F275)</f>
        <v/>
      </c>
      <c r="H275">
        <f>IF(G275&gt;0,"DEFICIT","")</f>
        <v/>
      </c>
    </row>
    <row r="276">
      <c r="A276" t="inlineStr">
        <is>
          <t>O. Conde</t>
        </is>
      </c>
      <c r="B276" t="inlineStr">
        <is>
          <t>TY</t>
        </is>
      </c>
      <c r="C276" t="n">
        <v>52</v>
      </c>
      <c r="D276" t="inlineStr">
        <is>
          <t>FLOORS</t>
        </is>
      </c>
      <c r="E276" t="n">
        <v>20</v>
      </c>
      <c r="F276">
        <f>SCHEDULE!BG52</f>
        <v/>
      </c>
      <c r="G276">
        <f>MAX(0, E276-F276)</f>
        <v/>
      </c>
      <c r="H276">
        <f>IF(G276&gt;0,"DEFICIT","")</f>
        <v/>
      </c>
    </row>
    <row r="277">
      <c r="A277" t="inlineStr">
        <is>
          <t>O. Conde</t>
        </is>
      </c>
      <c r="B277" t="inlineStr">
        <is>
          <t>TY</t>
        </is>
      </c>
      <c r="C277" t="n">
        <v>52</v>
      </c>
      <c r="D277" t="inlineStr">
        <is>
          <t>CLINIC</t>
        </is>
      </c>
      <c r="E277" t="n">
        <v>4</v>
      </c>
      <c r="F277">
        <f>SCHEDULE!BE52</f>
        <v/>
      </c>
      <c r="G277">
        <f>MAX(0, E277-F277)</f>
        <v/>
      </c>
      <c r="H277">
        <f>IF(G277&gt;0,"DEFICIT","")</f>
        <v/>
      </c>
    </row>
    <row r="278">
      <c r="A278" t="inlineStr">
        <is>
          <t>O. Conde</t>
        </is>
      </c>
      <c r="B278" t="inlineStr">
        <is>
          <t>TY</t>
        </is>
      </c>
      <c r="C278" t="n">
        <v>52</v>
      </c>
      <c r="D278" t="inlineStr">
        <is>
          <t>ID</t>
        </is>
      </c>
      <c r="E278" t="n">
        <v>2</v>
      </c>
      <c r="F278">
        <f>SCHEDULE!BK52</f>
        <v/>
      </c>
      <c r="G278">
        <f>MAX(0, E278-F278)</f>
        <v/>
      </c>
      <c r="H278">
        <f>IF(G278&gt;0,"DEFICIT","")</f>
        <v/>
      </c>
    </row>
    <row r="279">
      <c r="A279" t="inlineStr">
        <is>
          <t>O. Conde</t>
        </is>
      </c>
      <c r="B279" t="inlineStr">
        <is>
          <t>TY</t>
        </is>
      </c>
      <c r="C279" t="n">
        <v>52</v>
      </c>
      <c r="D279" t="inlineStr">
        <is>
          <t>ED</t>
        </is>
      </c>
      <c r="E279" t="n">
        <v>2</v>
      </c>
      <c r="F279">
        <f>SCHEDULE!BF52</f>
        <v/>
      </c>
      <c r="G279">
        <f>MAX(0, E279-F279)</f>
        <v/>
      </c>
      <c r="H279">
        <f>IF(G279&gt;0,"DEFICIT","")</f>
        <v/>
      </c>
    </row>
    <row r="280">
      <c r="A280" t="inlineStr">
        <is>
          <t>O. Conde</t>
        </is>
      </c>
      <c r="B280" t="inlineStr">
        <is>
          <t>TY</t>
        </is>
      </c>
      <c r="C280" t="n">
        <v>52</v>
      </c>
      <c r="D280" t="inlineStr">
        <is>
          <t>VACATION</t>
        </is>
      </c>
      <c r="E280" t="n">
        <v>4</v>
      </c>
      <c r="F280">
        <f>SCHEDULE!BO52</f>
        <v/>
      </c>
      <c r="G280">
        <f>MAX(0, E280-F280)</f>
        <v/>
      </c>
      <c r="H280">
        <f>IF(G280&gt;0,"DEFICIT","")</f>
        <v/>
      </c>
    </row>
    <row r="281">
      <c r="A281" t="inlineStr">
        <is>
          <t>A. Dereje</t>
        </is>
      </c>
      <c r="B281" t="inlineStr">
        <is>
          <t>TY</t>
        </is>
      </c>
      <c r="C281" t="n">
        <v>53</v>
      </c>
      <c r="D281" t="inlineStr">
        <is>
          <t>ICU</t>
        </is>
      </c>
      <c r="E281" t="n">
        <v>8</v>
      </c>
      <c r="F281">
        <f>SCHEDULE!BH53</f>
        <v/>
      </c>
      <c r="G281">
        <f>MAX(0, E281-F281)</f>
        <v/>
      </c>
      <c r="H281">
        <f>IF(G281&gt;0,"DEFICIT","")</f>
        <v/>
      </c>
    </row>
    <row r="282">
      <c r="A282" t="inlineStr">
        <is>
          <t>A. Dereje</t>
        </is>
      </c>
      <c r="B282" t="inlineStr">
        <is>
          <t>TY</t>
        </is>
      </c>
      <c r="C282" t="n">
        <v>53</v>
      </c>
      <c r="D282" t="inlineStr">
        <is>
          <t>FLOORS</t>
        </is>
      </c>
      <c r="E282" t="n">
        <v>20</v>
      </c>
      <c r="F282">
        <f>SCHEDULE!BG53</f>
        <v/>
      </c>
      <c r="G282">
        <f>MAX(0, E282-F282)</f>
        <v/>
      </c>
      <c r="H282">
        <f>IF(G282&gt;0,"DEFICIT","")</f>
        <v/>
      </c>
    </row>
    <row r="283">
      <c r="A283" t="inlineStr">
        <is>
          <t>A. Dereje</t>
        </is>
      </c>
      <c r="B283" t="inlineStr">
        <is>
          <t>TY</t>
        </is>
      </c>
      <c r="C283" t="n">
        <v>53</v>
      </c>
      <c r="D283" t="inlineStr">
        <is>
          <t>CLINIC</t>
        </is>
      </c>
      <c r="E283" t="n">
        <v>4</v>
      </c>
      <c r="F283">
        <f>SCHEDULE!BE53</f>
        <v/>
      </c>
      <c r="G283">
        <f>MAX(0, E283-F283)</f>
        <v/>
      </c>
      <c r="H283">
        <f>IF(G283&gt;0,"DEFICIT","")</f>
        <v/>
      </c>
    </row>
    <row r="284">
      <c r="A284" t="inlineStr">
        <is>
          <t>A. Dereje</t>
        </is>
      </c>
      <c r="B284" t="inlineStr">
        <is>
          <t>TY</t>
        </is>
      </c>
      <c r="C284" t="n">
        <v>53</v>
      </c>
      <c r="D284" t="inlineStr">
        <is>
          <t>ID</t>
        </is>
      </c>
      <c r="E284" t="n">
        <v>2</v>
      </c>
      <c r="F284">
        <f>SCHEDULE!BK53</f>
        <v/>
      </c>
      <c r="G284">
        <f>MAX(0, E284-F284)</f>
        <v/>
      </c>
      <c r="H284">
        <f>IF(G284&gt;0,"DEFICIT","")</f>
        <v/>
      </c>
    </row>
    <row r="285">
      <c r="A285" t="inlineStr">
        <is>
          <t>A. Dereje</t>
        </is>
      </c>
      <c r="B285" t="inlineStr">
        <is>
          <t>TY</t>
        </is>
      </c>
      <c r="C285" t="n">
        <v>53</v>
      </c>
      <c r="D285" t="inlineStr">
        <is>
          <t>ED</t>
        </is>
      </c>
      <c r="E285" t="n">
        <v>2</v>
      </c>
      <c r="F285">
        <f>SCHEDULE!BF53</f>
        <v/>
      </c>
      <c r="G285">
        <f>MAX(0, E285-F285)</f>
        <v/>
      </c>
      <c r="H285">
        <f>IF(G285&gt;0,"DEFICIT","")</f>
        <v/>
      </c>
    </row>
    <row r="286">
      <c r="A286" t="inlineStr">
        <is>
          <t>A. Dereje</t>
        </is>
      </c>
      <c r="B286" t="inlineStr">
        <is>
          <t>TY</t>
        </is>
      </c>
      <c r="C286" t="n">
        <v>53</v>
      </c>
      <c r="D286" t="inlineStr">
        <is>
          <t>VACATION</t>
        </is>
      </c>
      <c r="E286" t="n">
        <v>4</v>
      </c>
      <c r="F286">
        <f>SCHEDULE!BO53</f>
        <v/>
      </c>
      <c r="G286">
        <f>MAX(0, E286-F286)</f>
        <v/>
      </c>
      <c r="H286">
        <f>IF(G286&gt;0,"DEFICIT","")</f>
        <v/>
      </c>
    </row>
    <row r="287">
      <c r="A287" t="inlineStr">
        <is>
          <t>T. Araujo</t>
        </is>
      </c>
      <c r="B287" t="inlineStr">
        <is>
          <t>TY</t>
        </is>
      </c>
      <c r="C287" t="n">
        <v>54</v>
      </c>
      <c r="D287" t="inlineStr">
        <is>
          <t>ICU</t>
        </is>
      </c>
      <c r="E287" t="n">
        <v>8</v>
      </c>
      <c r="F287">
        <f>SCHEDULE!BH54</f>
        <v/>
      </c>
      <c r="G287">
        <f>MAX(0, E287-F287)</f>
        <v/>
      </c>
      <c r="H287">
        <f>IF(G287&gt;0,"DEFICIT","")</f>
        <v/>
      </c>
    </row>
    <row r="288">
      <c r="A288" t="inlineStr">
        <is>
          <t>T. Araujo</t>
        </is>
      </c>
      <c r="B288" t="inlineStr">
        <is>
          <t>TY</t>
        </is>
      </c>
      <c r="C288" t="n">
        <v>54</v>
      </c>
      <c r="D288" t="inlineStr">
        <is>
          <t>FLOORS</t>
        </is>
      </c>
      <c r="E288" t="n">
        <v>20</v>
      </c>
      <c r="F288">
        <f>SCHEDULE!BG54</f>
        <v/>
      </c>
      <c r="G288">
        <f>MAX(0, E288-F288)</f>
        <v/>
      </c>
      <c r="H288">
        <f>IF(G288&gt;0,"DEFICIT","")</f>
        <v/>
      </c>
    </row>
    <row r="289">
      <c r="A289" t="inlineStr">
        <is>
          <t>T. Araujo</t>
        </is>
      </c>
      <c r="B289" t="inlineStr">
        <is>
          <t>TY</t>
        </is>
      </c>
      <c r="C289" t="n">
        <v>54</v>
      </c>
      <c r="D289" t="inlineStr">
        <is>
          <t>CLINIC</t>
        </is>
      </c>
      <c r="E289" t="n">
        <v>4</v>
      </c>
      <c r="F289">
        <f>SCHEDULE!BE54</f>
        <v/>
      </c>
      <c r="G289">
        <f>MAX(0, E289-F289)</f>
        <v/>
      </c>
      <c r="H289">
        <f>IF(G289&gt;0,"DEFICIT","")</f>
        <v/>
      </c>
    </row>
    <row r="290">
      <c r="A290" t="inlineStr">
        <is>
          <t>T. Araujo</t>
        </is>
      </c>
      <c r="B290" t="inlineStr">
        <is>
          <t>TY</t>
        </is>
      </c>
      <c r="C290" t="n">
        <v>54</v>
      </c>
      <c r="D290" t="inlineStr">
        <is>
          <t>ID</t>
        </is>
      </c>
      <c r="E290" t="n">
        <v>2</v>
      </c>
      <c r="F290">
        <f>SCHEDULE!BK54</f>
        <v/>
      </c>
      <c r="G290">
        <f>MAX(0, E290-F290)</f>
        <v/>
      </c>
      <c r="H290">
        <f>IF(G290&gt;0,"DEFICIT","")</f>
        <v/>
      </c>
    </row>
    <row r="291">
      <c r="A291" t="inlineStr">
        <is>
          <t>T. Araujo</t>
        </is>
      </c>
      <c r="B291" t="inlineStr">
        <is>
          <t>TY</t>
        </is>
      </c>
      <c r="C291" t="n">
        <v>54</v>
      </c>
      <c r="D291" t="inlineStr">
        <is>
          <t>ED</t>
        </is>
      </c>
      <c r="E291" t="n">
        <v>2</v>
      </c>
      <c r="F291">
        <f>SCHEDULE!BF54</f>
        <v/>
      </c>
      <c r="G291">
        <f>MAX(0, E291-F291)</f>
        <v/>
      </c>
      <c r="H291">
        <f>IF(G291&gt;0,"DEFICIT","")</f>
        <v/>
      </c>
    </row>
    <row r="292">
      <c r="A292" t="inlineStr">
        <is>
          <t>T. Araujo</t>
        </is>
      </c>
      <c r="B292" t="inlineStr">
        <is>
          <t>TY</t>
        </is>
      </c>
      <c r="C292" t="n">
        <v>54</v>
      </c>
      <c r="D292" t="inlineStr">
        <is>
          <t>VACATION</t>
        </is>
      </c>
      <c r="E292" t="n">
        <v>4</v>
      </c>
      <c r="F292">
        <f>SCHEDULE!BO54</f>
        <v/>
      </c>
      <c r="G292">
        <f>MAX(0, E292-F292)</f>
        <v/>
      </c>
      <c r="H292">
        <f>IF(G292&gt;0,"DEFICIT","")</f>
        <v/>
      </c>
    </row>
    <row r="293">
      <c r="A293" t="inlineStr">
        <is>
          <t>C. Pandya</t>
        </is>
      </c>
      <c r="B293" t="inlineStr">
        <is>
          <t>TY</t>
        </is>
      </c>
      <c r="C293" t="n">
        <v>55</v>
      </c>
      <c r="D293" t="inlineStr">
        <is>
          <t>ICU</t>
        </is>
      </c>
      <c r="E293" t="n">
        <v>8</v>
      </c>
      <c r="F293">
        <f>SCHEDULE!BH55</f>
        <v/>
      </c>
      <c r="G293">
        <f>MAX(0, E293-F293)</f>
        <v/>
      </c>
      <c r="H293">
        <f>IF(G293&gt;0,"DEFICIT","")</f>
        <v/>
      </c>
    </row>
    <row r="294">
      <c r="A294" t="inlineStr">
        <is>
          <t>C. Pandya</t>
        </is>
      </c>
      <c r="B294" t="inlineStr">
        <is>
          <t>TY</t>
        </is>
      </c>
      <c r="C294" t="n">
        <v>55</v>
      </c>
      <c r="D294" t="inlineStr">
        <is>
          <t>FLOORS</t>
        </is>
      </c>
      <c r="E294" t="n">
        <v>20</v>
      </c>
      <c r="F294">
        <f>SCHEDULE!BG55</f>
        <v/>
      </c>
      <c r="G294">
        <f>MAX(0, E294-F294)</f>
        <v/>
      </c>
      <c r="H294">
        <f>IF(G294&gt;0,"DEFICIT","")</f>
        <v/>
      </c>
    </row>
    <row r="295">
      <c r="A295" t="inlineStr">
        <is>
          <t>C. Pandya</t>
        </is>
      </c>
      <c r="B295" t="inlineStr">
        <is>
          <t>TY</t>
        </is>
      </c>
      <c r="C295" t="n">
        <v>55</v>
      </c>
      <c r="D295" t="inlineStr">
        <is>
          <t>CLINIC</t>
        </is>
      </c>
      <c r="E295" t="n">
        <v>4</v>
      </c>
      <c r="F295">
        <f>SCHEDULE!BE55</f>
        <v/>
      </c>
      <c r="G295">
        <f>MAX(0, E295-F295)</f>
        <v/>
      </c>
      <c r="H295">
        <f>IF(G295&gt;0,"DEFICIT","")</f>
        <v/>
      </c>
    </row>
    <row r="296">
      <c r="A296" t="inlineStr">
        <is>
          <t>C. Pandya</t>
        </is>
      </c>
      <c r="B296" t="inlineStr">
        <is>
          <t>TY</t>
        </is>
      </c>
      <c r="C296" t="n">
        <v>55</v>
      </c>
      <c r="D296" t="inlineStr">
        <is>
          <t>ID</t>
        </is>
      </c>
      <c r="E296" t="n">
        <v>2</v>
      </c>
      <c r="F296">
        <f>SCHEDULE!BK55</f>
        <v/>
      </c>
      <c r="G296">
        <f>MAX(0, E296-F296)</f>
        <v/>
      </c>
      <c r="H296">
        <f>IF(G296&gt;0,"DEFICIT","")</f>
        <v/>
      </c>
    </row>
    <row r="297">
      <c r="A297" t="inlineStr">
        <is>
          <t>C. Pandya</t>
        </is>
      </c>
      <c r="B297" t="inlineStr">
        <is>
          <t>TY</t>
        </is>
      </c>
      <c r="C297" t="n">
        <v>55</v>
      </c>
      <c r="D297" t="inlineStr">
        <is>
          <t>ED</t>
        </is>
      </c>
      <c r="E297" t="n">
        <v>2</v>
      </c>
      <c r="F297">
        <f>SCHEDULE!BF55</f>
        <v/>
      </c>
      <c r="G297">
        <f>MAX(0, E297-F297)</f>
        <v/>
      </c>
      <c r="H297">
        <f>IF(G297&gt;0,"DEFICIT","")</f>
        <v/>
      </c>
    </row>
    <row r="298">
      <c r="A298" t="inlineStr">
        <is>
          <t>C. Pandya</t>
        </is>
      </c>
      <c r="B298" t="inlineStr">
        <is>
          <t>TY</t>
        </is>
      </c>
      <c r="C298" t="n">
        <v>55</v>
      </c>
      <c r="D298" t="inlineStr">
        <is>
          <t>VACATION</t>
        </is>
      </c>
      <c r="E298" t="n">
        <v>4</v>
      </c>
      <c r="F298">
        <f>SCHEDULE!BO55</f>
        <v/>
      </c>
      <c r="G298">
        <f>MAX(0, E298-F298)</f>
        <v/>
      </c>
      <c r="H298">
        <f>IF(G298&gt;0,"DEFICIT","")</f>
        <v/>
      </c>
    </row>
    <row r="299">
      <c r="A299" t="inlineStr">
        <is>
          <t>D. Rente</t>
        </is>
      </c>
      <c r="B299" t="inlineStr">
        <is>
          <t>TY</t>
        </is>
      </c>
      <c r="C299" t="n">
        <v>56</v>
      </c>
      <c r="D299" t="inlineStr">
        <is>
          <t>ICU</t>
        </is>
      </c>
      <c r="E299" t="n">
        <v>8</v>
      </c>
      <c r="F299">
        <f>SCHEDULE!BH56</f>
        <v/>
      </c>
      <c r="G299">
        <f>MAX(0, E299-F299)</f>
        <v/>
      </c>
      <c r="H299">
        <f>IF(G299&gt;0,"DEFICIT","")</f>
        <v/>
      </c>
    </row>
    <row r="300">
      <c r="A300" t="inlineStr">
        <is>
          <t>D. Rente</t>
        </is>
      </c>
      <c r="B300" t="inlineStr">
        <is>
          <t>TY</t>
        </is>
      </c>
      <c r="C300" t="n">
        <v>56</v>
      </c>
      <c r="D300" t="inlineStr">
        <is>
          <t>FLOORS</t>
        </is>
      </c>
      <c r="E300" t="n">
        <v>20</v>
      </c>
      <c r="F300">
        <f>SCHEDULE!BG56</f>
        <v/>
      </c>
      <c r="G300">
        <f>MAX(0, E300-F300)</f>
        <v/>
      </c>
      <c r="H300">
        <f>IF(G300&gt;0,"DEFICIT","")</f>
        <v/>
      </c>
    </row>
    <row r="301">
      <c r="A301" t="inlineStr">
        <is>
          <t>D. Rente</t>
        </is>
      </c>
      <c r="B301" t="inlineStr">
        <is>
          <t>TY</t>
        </is>
      </c>
      <c r="C301" t="n">
        <v>56</v>
      </c>
      <c r="D301" t="inlineStr">
        <is>
          <t>CLINIC</t>
        </is>
      </c>
      <c r="E301" t="n">
        <v>4</v>
      </c>
      <c r="F301">
        <f>SCHEDULE!BE56</f>
        <v/>
      </c>
      <c r="G301">
        <f>MAX(0, E301-F301)</f>
        <v/>
      </c>
      <c r="H301">
        <f>IF(G301&gt;0,"DEFICIT","")</f>
        <v/>
      </c>
    </row>
    <row r="302">
      <c r="A302" t="inlineStr">
        <is>
          <t>D. Rente</t>
        </is>
      </c>
      <c r="B302" t="inlineStr">
        <is>
          <t>TY</t>
        </is>
      </c>
      <c r="C302" t="n">
        <v>56</v>
      </c>
      <c r="D302" t="inlineStr">
        <is>
          <t>ID</t>
        </is>
      </c>
      <c r="E302" t="n">
        <v>2</v>
      </c>
      <c r="F302">
        <f>SCHEDULE!BK56</f>
        <v/>
      </c>
      <c r="G302">
        <f>MAX(0, E302-F302)</f>
        <v/>
      </c>
      <c r="H302">
        <f>IF(G302&gt;0,"DEFICIT","")</f>
        <v/>
      </c>
    </row>
    <row r="303">
      <c r="A303" t="inlineStr">
        <is>
          <t>D. Rente</t>
        </is>
      </c>
      <c r="B303" t="inlineStr">
        <is>
          <t>TY</t>
        </is>
      </c>
      <c r="C303" t="n">
        <v>56</v>
      </c>
      <c r="D303" t="inlineStr">
        <is>
          <t>ED</t>
        </is>
      </c>
      <c r="E303" t="n">
        <v>2</v>
      </c>
      <c r="F303">
        <f>SCHEDULE!BF56</f>
        <v/>
      </c>
      <c r="G303">
        <f>MAX(0, E303-F303)</f>
        <v/>
      </c>
      <c r="H303">
        <f>IF(G303&gt;0,"DEFICIT","")</f>
        <v/>
      </c>
    </row>
    <row r="304">
      <c r="A304" t="inlineStr">
        <is>
          <t>D. Rente</t>
        </is>
      </c>
      <c r="B304" t="inlineStr">
        <is>
          <t>TY</t>
        </is>
      </c>
      <c r="C304" t="n">
        <v>56</v>
      </c>
      <c r="D304" t="inlineStr">
        <is>
          <t>VACATION</t>
        </is>
      </c>
      <c r="E304" t="n">
        <v>4</v>
      </c>
      <c r="F304">
        <f>SCHEDULE!BO56</f>
        <v/>
      </c>
      <c r="G304">
        <f>MAX(0, E304-F304)</f>
        <v/>
      </c>
      <c r="H304">
        <f>IF(G304&gt;0,"DEFICIT","")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MIRIAM LARA</dc:creator>
  <dcterms:created xsi:type="dcterms:W3CDTF">2022-06-29T14:07:39Z</dcterms:created>
  <dcterms:modified xsi:type="dcterms:W3CDTF">2026-02-13T12:51:08Z</dcterms:modified>
</cp:coreProperties>
</file>